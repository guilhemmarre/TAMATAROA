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810" yWindow="15" windowWidth="10710" windowHeight="8610" tabRatio="908"/>
  </bookViews>
  <sheets>
    <sheet name="Table_MPS" sheetId="1" r:id="rId1"/>
    <sheet name="Location Grid" sheetId="3" r:id="rId2"/>
    <sheet name="Moon" sheetId="10" r:id="rId3"/>
    <sheet name="Tidal_coeficient" sheetId="11" r:id="rId4"/>
    <sheet name="Table Club" sheetId="9" r:id="rId5"/>
  </sheets>
  <externalReferences>
    <externalReference r:id="rId6"/>
  </externalReferences>
  <definedNames>
    <definedName name="Categorie_MoonPhase" localSheetId="2">TblMoon[Moon_Phase]</definedName>
    <definedName name="Categorie_MoonPhase" localSheetId="3">[1]!TblMoon[Moon_Phase]</definedName>
    <definedName name="Categorie_MoonPhase">#REF!</definedName>
    <definedName name="Categorie_ObservedAttitude" localSheetId="2">[1]!TblAttitude[Observed_Attitude]</definedName>
    <definedName name="Categorie_ObservedAttitude" localSheetId="3">[1]!TblAttitude[Observed_Attitude]</definedName>
    <definedName name="Categorie_ObservedAttitude">#REF!</definedName>
    <definedName name="Categorie_ObserverName" localSheetId="2">[1]!TblObservers[Observer_Name]</definedName>
    <definedName name="Categorie_ObserverName" localSheetId="3">[1]!TblObservers[Observer_Name]</definedName>
    <definedName name="Categorie_ObserverName">#REF!</definedName>
    <definedName name="FusionNomPrenom_Observers" localSheetId="2">[1]!TblObservers[[#This Row],[Observer Last Name]]&amp;" "&amp;[1]!TblObservers[[#This Row],[Observer First Name]]</definedName>
    <definedName name="FusionNomPrenom_Observers" localSheetId="3">[1]!TblObservers[[#This Row],[Observer Last Name]]&amp;" "&amp;[1]!TblObservers[[#This Row],[Observer First Name]]</definedName>
    <definedName name="FusionNomPrenom_Observers">#REF!&amp;" "&amp;#REF!</definedName>
  </definedNames>
  <calcPr calcId="125725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130" i="1"/>
  <c r="AH130"/>
  <c r="AI76"/>
  <c r="AH76"/>
  <c r="AG76"/>
  <c r="AG77"/>
  <c r="J63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AI124" l="1"/>
  <c r="AI113"/>
  <c r="AI114"/>
  <c r="AI115"/>
  <c r="AI116"/>
  <c r="AI117"/>
  <c r="AI118"/>
  <c r="AI119"/>
  <c r="AI120"/>
  <c r="AI121"/>
  <c r="AH113"/>
  <c r="AH114"/>
  <c r="AH115"/>
  <c r="AH116"/>
  <c r="AH117"/>
  <c r="AH118"/>
  <c r="AH119"/>
  <c r="AH120"/>
  <c r="AH121"/>
  <c r="AG114"/>
  <c r="AG115"/>
  <c r="AG116"/>
  <c r="AG117"/>
  <c r="AG118"/>
  <c r="AG119"/>
  <c r="AG120"/>
  <c r="AG121"/>
  <c r="AG122"/>
  <c r="AG123"/>
  <c r="AG124"/>
  <c r="AG127"/>
  <c r="AI129"/>
  <c r="AG130"/>
  <c r="AG135"/>
  <c r="AI3"/>
  <c r="AI4"/>
  <c r="AI5"/>
  <c r="AI6"/>
  <c r="AI7"/>
  <c r="AI8"/>
  <c r="AI11"/>
  <c r="AI12"/>
  <c r="AI14"/>
  <c r="AI15"/>
  <c r="AI16"/>
  <c r="AI17"/>
  <c r="AI18"/>
  <c r="AI19"/>
  <c r="AI29"/>
  <c r="AI31"/>
  <c r="AI32"/>
  <c r="AI33"/>
  <c r="AI34"/>
  <c r="AI36"/>
  <c r="AI37"/>
  <c r="AI38"/>
  <c r="AI39"/>
  <c r="AI40"/>
  <c r="AI44"/>
  <c r="AI45"/>
  <c r="AI47"/>
  <c r="AI48"/>
  <c r="AI49"/>
  <c r="AI54"/>
  <c r="AI55"/>
  <c r="AI57"/>
  <c r="AI58"/>
  <c r="AI59"/>
  <c r="AI60"/>
  <c r="AI61"/>
  <c r="AI62"/>
  <c r="AI63"/>
  <c r="AI64"/>
  <c r="AI65"/>
  <c r="AI66"/>
  <c r="AI67"/>
  <c r="AI69"/>
  <c r="AI70"/>
  <c r="AI82"/>
  <c r="AI83"/>
  <c r="AI84"/>
  <c r="AI85"/>
  <c r="AI86"/>
  <c r="AI87"/>
  <c r="AI88"/>
  <c r="AI89"/>
  <c r="AI90"/>
  <c r="AI91"/>
  <c r="AI92"/>
  <c r="AI94"/>
  <c r="AI95"/>
  <c r="AI96"/>
  <c r="AI99"/>
  <c r="AI104"/>
  <c r="AI105"/>
  <c r="AI106"/>
  <c r="AI107"/>
  <c r="AI108"/>
  <c r="AI111"/>
  <c r="AI125"/>
  <c r="AI126"/>
  <c r="AI128"/>
  <c r="AI131"/>
  <c r="AI132"/>
  <c r="AI133"/>
  <c r="AI134"/>
  <c r="AI136"/>
  <c r="AH4"/>
  <c r="AH2"/>
  <c r="AH3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22"/>
  <c r="AH123"/>
  <c r="AH124"/>
  <c r="AH125"/>
  <c r="AH126"/>
  <c r="AH127"/>
  <c r="AH128"/>
  <c r="AH129"/>
  <c r="AH131"/>
  <c r="AH132"/>
  <c r="AH133"/>
  <c r="AH134"/>
  <c r="AH135"/>
  <c r="AH136"/>
  <c r="R3"/>
  <c r="S3" s="1"/>
  <c r="R4"/>
  <c r="S4" s="1"/>
  <c r="R5"/>
  <c r="S5" s="1"/>
  <c r="R6"/>
  <c r="S6" s="1"/>
  <c r="R7"/>
  <c r="S7" s="1"/>
  <c r="R8"/>
  <c r="S8" s="1"/>
  <c r="R9"/>
  <c r="S9" s="1"/>
  <c r="R10"/>
  <c r="S10" s="1"/>
  <c r="R11"/>
  <c r="S11" s="1"/>
  <c r="R12"/>
  <c r="S12" s="1"/>
  <c r="R13"/>
  <c r="S13" s="1"/>
  <c r="R14"/>
  <c r="S14" s="1"/>
  <c r="R15"/>
  <c r="S15" s="1"/>
  <c r="R16"/>
  <c r="S16" s="1"/>
  <c r="R17"/>
  <c r="S17" s="1"/>
  <c r="R18"/>
  <c r="S18" s="1"/>
  <c r="R19"/>
  <c r="S19" s="1"/>
  <c r="R20"/>
  <c r="S20" s="1"/>
  <c r="R21"/>
  <c r="S21" s="1"/>
  <c r="R22"/>
  <c r="S22" s="1"/>
  <c r="R23"/>
  <c r="S23" s="1"/>
  <c r="R24"/>
  <c r="S24" s="1"/>
  <c r="R25"/>
  <c r="S25" s="1"/>
  <c r="R26"/>
  <c r="S26" s="1"/>
  <c r="R27"/>
  <c r="S27" s="1"/>
  <c r="R28"/>
  <c r="S28" s="1"/>
  <c r="R29"/>
  <c r="S29" s="1"/>
  <c r="R30"/>
  <c r="S30" s="1"/>
  <c r="R31"/>
  <c r="S31" s="1"/>
  <c r="R32"/>
  <c r="S32" s="1"/>
  <c r="R33"/>
  <c r="S33" s="1"/>
  <c r="R34"/>
  <c r="S34" s="1"/>
  <c r="R35"/>
  <c r="S35" s="1"/>
  <c r="R36"/>
  <c r="S36" s="1"/>
  <c r="R37"/>
  <c r="S37" s="1"/>
  <c r="R38"/>
  <c r="S38" s="1"/>
  <c r="R39"/>
  <c r="S39" s="1"/>
  <c r="R40"/>
  <c r="S40" s="1"/>
  <c r="R41"/>
  <c r="S41" s="1"/>
  <c r="R42"/>
  <c r="S42" s="1"/>
  <c r="R43"/>
  <c r="S43" s="1"/>
  <c r="R44"/>
  <c r="S44" s="1"/>
  <c r="R45"/>
  <c r="S45" s="1"/>
  <c r="R46"/>
  <c r="S46" s="1"/>
  <c r="R47"/>
  <c r="S47" s="1"/>
  <c r="R48"/>
  <c r="S48" s="1"/>
  <c r="R49"/>
  <c r="S49" s="1"/>
  <c r="R50"/>
  <c r="S50" s="1"/>
  <c r="R51"/>
  <c r="S51" s="1"/>
  <c r="R52"/>
  <c r="S52" s="1"/>
  <c r="R53"/>
  <c r="S53" s="1"/>
  <c r="R54"/>
  <c r="S54" s="1"/>
  <c r="R55"/>
  <c r="S55" s="1"/>
  <c r="R56"/>
  <c r="S56" s="1"/>
  <c r="R57"/>
  <c r="S57" s="1"/>
  <c r="R58"/>
  <c r="S58" s="1"/>
  <c r="R59"/>
  <c r="S59" s="1"/>
  <c r="R60"/>
  <c r="S60" s="1"/>
  <c r="R61"/>
  <c r="S61" s="1"/>
  <c r="R62"/>
  <c r="S62" s="1"/>
  <c r="R63"/>
  <c r="S63" s="1"/>
  <c r="R64"/>
  <c r="S64" s="1"/>
  <c r="R65"/>
  <c r="S65" s="1"/>
  <c r="R66"/>
  <c r="S66" s="1"/>
  <c r="R67"/>
  <c r="S67" s="1"/>
  <c r="R68"/>
  <c r="S68" s="1"/>
  <c r="R69"/>
  <c r="S69" s="1"/>
  <c r="R70"/>
  <c r="S70" s="1"/>
  <c r="R71"/>
  <c r="S71" s="1"/>
  <c r="R72"/>
  <c r="S72" s="1"/>
  <c r="R73"/>
  <c r="S73" s="1"/>
  <c r="R74"/>
  <c r="S74" s="1"/>
  <c r="R75"/>
  <c r="S75" s="1"/>
  <c r="R76"/>
  <c r="S76" s="1"/>
  <c r="R77"/>
  <c r="S77" s="1"/>
  <c r="R78"/>
  <c r="S78" s="1"/>
  <c r="R79"/>
  <c r="S79" s="1"/>
  <c r="R80"/>
  <c r="S80" s="1"/>
  <c r="R81"/>
  <c r="S81" s="1"/>
  <c r="R82"/>
  <c r="S82" s="1"/>
  <c r="R83"/>
  <c r="S83" s="1"/>
  <c r="R84"/>
  <c r="S84" s="1"/>
  <c r="R85"/>
  <c r="S85" s="1"/>
  <c r="R86"/>
  <c r="S86" s="1"/>
  <c r="R87"/>
  <c r="S87" s="1"/>
  <c r="R88"/>
  <c r="S88" s="1"/>
  <c r="R89"/>
  <c r="S89" s="1"/>
  <c r="R90"/>
  <c r="S90" s="1"/>
  <c r="R91"/>
  <c r="S91" s="1"/>
  <c r="R92"/>
  <c r="S92" s="1"/>
  <c r="R93"/>
  <c r="S93" s="1"/>
  <c r="R94"/>
  <c r="S94" s="1"/>
  <c r="R95"/>
  <c r="S95" s="1"/>
  <c r="R96"/>
  <c r="S96" s="1"/>
  <c r="R97"/>
  <c r="S97" s="1"/>
  <c r="R98"/>
  <c r="S98" s="1"/>
  <c r="R99"/>
  <c r="S99" s="1"/>
  <c r="R100"/>
  <c r="S100" s="1"/>
  <c r="R101"/>
  <c r="S101" s="1"/>
  <c r="R102"/>
  <c r="S102" s="1"/>
  <c r="R103"/>
  <c r="S103" s="1"/>
  <c r="R104"/>
  <c r="S104" s="1"/>
  <c r="R105"/>
  <c r="S105" s="1"/>
  <c r="R106"/>
  <c r="S106" s="1"/>
  <c r="R107"/>
  <c r="S107" s="1"/>
  <c r="R108"/>
  <c r="S108" s="1"/>
  <c r="R109"/>
  <c r="S109" s="1"/>
  <c r="R110"/>
  <c r="S110" s="1"/>
  <c r="R111"/>
  <c r="S111" s="1"/>
  <c r="R112"/>
  <c r="S112" s="1"/>
  <c r="R113"/>
  <c r="S113" s="1"/>
  <c r="R114"/>
  <c r="S114" s="1"/>
  <c r="R115"/>
  <c r="S115" s="1"/>
  <c r="R116"/>
  <c r="S116" s="1"/>
  <c r="R117"/>
  <c r="S117" s="1"/>
  <c r="R118"/>
  <c r="S118" s="1"/>
  <c r="R119"/>
  <c r="S119" s="1"/>
  <c r="R120"/>
  <c r="S120" s="1"/>
  <c r="R121"/>
  <c r="S121" s="1"/>
  <c r="R122"/>
  <c r="S122" s="1"/>
  <c r="R123"/>
  <c r="S123" s="1"/>
  <c r="R124"/>
  <c r="S124" s="1"/>
  <c r="R125"/>
  <c r="S125" s="1"/>
  <c r="R126"/>
  <c r="S126" s="1"/>
  <c r="R127"/>
  <c r="S127" s="1"/>
  <c r="R128"/>
  <c r="S128" s="1"/>
  <c r="R129"/>
  <c r="S129" s="1"/>
  <c r="R130"/>
  <c r="S130" s="1"/>
  <c r="R131"/>
  <c r="S131" s="1"/>
  <c r="R132"/>
  <c r="S132" s="1"/>
  <c r="R133"/>
  <c r="S133" s="1"/>
  <c r="R134"/>
  <c r="S134" s="1"/>
  <c r="R135"/>
  <c r="S135" s="1"/>
  <c r="R136"/>
  <c r="S136" s="1"/>
  <c r="R2"/>
  <c r="S2" s="1"/>
  <c r="B7018" i="10"/>
  <c r="B7017"/>
  <c r="B7016"/>
  <c r="B7015"/>
  <c r="B7014"/>
  <c r="B7013"/>
  <c r="B7012"/>
  <c r="B7011"/>
  <c r="B7010"/>
  <c r="B7009"/>
  <c r="B7008"/>
  <c r="B7007"/>
  <c r="B7006"/>
  <c r="B7005"/>
  <c r="B7004"/>
  <c r="B7003"/>
  <c r="B7002"/>
  <c r="B7001"/>
  <c r="B7000"/>
  <c r="B6999"/>
  <c r="B6998"/>
  <c r="B6997"/>
  <c r="B6996"/>
  <c r="B6995"/>
  <c r="B6994"/>
  <c r="B6993"/>
  <c r="B6992"/>
  <c r="B6991"/>
  <c r="B6990"/>
  <c r="B6989"/>
  <c r="B6988"/>
  <c r="B6987"/>
  <c r="B6986"/>
  <c r="B6985"/>
  <c r="B6984"/>
  <c r="B6983"/>
  <c r="B6982"/>
  <c r="B6981"/>
  <c r="B6980"/>
  <c r="B6979"/>
  <c r="B6978"/>
  <c r="B6977"/>
  <c r="B6976"/>
  <c r="B6975"/>
  <c r="B6974"/>
  <c r="B6973"/>
  <c r="B6972"/>
  <c r="B6971"/>
  <c r="B6970"/>
  <c r="B6969"/>
  <c r="B6968"/>
  <c r="B6967"/>
  <c r="B6966"/>
  <c r="B6965"/>
  <c r="B6964"/>
  <c r="B6963"/>
  <c r="B6962"/>
  <c r="B6961"/>
  <c r="B6960"/>
  <c r="B6959"/>
  <c r="B6958"/>
  <c r="B6957"/>
  <c r="B6956"/>
  <c r="B6955"/>
  <c r="B6954"/>
  <c r="B6953"/>
  <c r="B6952"/>
  <c r="B6951"/>
  <c r="B6950"/>
  <c r="B6949"/>
  <c r="B6948"/>
  <c r="B6947"/>
  <c r="B6946"/>
  <c r="B6945"/>
  <c r="B6944"/>
  <c r="B6943"/>
  <c r="B6942"/>
  <c r="B6941"/>
  <c r="B6940"/>
  <c r="B6939"/>
  <c r="B6938"/>
  <c r="B6937"/>
  <c r="B6936"/>
  <c r="B6935"/>
  <c r="B6934"/>
  <c r="B6933"/>
  <c r="B6932"/>
  <c r="B6931"/>
  <c r="B6930"/>
  <c r="B6929"/>
  <c r="B6928"/>
  <c r="B6927"/>
  <c r="B6926"/>
  <c r="B6925"/>
  <c r="B6924"/>
  <c r="B6923"/>
  <c r="B6922"/>
  <c r="B6921"/>
  <c r="B6920"/>
  <c r="B6919"/>
  <c r="B6918"/>
  <c r="B6917"/>
  <c r="B6916"/>
  <c r="B6915"/>
  <c r="B6914"/>
  <c r="B6913"/>
  <c r="B6912"/>
  <c r="B6911"/>
  <c r="B6910"/>
  <c r="B6909"/>
  <c r="B6908"/>
  <c r="B6907"/>
  <c r="B6906"/>
  <c r="B6905"/>
  <c r="B6904"/>
  <c r="B6903"/>
  <c r="B6902"/>
  <c r="B6901"/>
  <c r="B6900"/>
  <c r="B6899"/>
  <c r="B6898"/>
  <c r="B6897"/>
  <c r="B6896"/>
  <c r="B6895"/>
  <c r="B6894"/>
  <c r="B6893"/>
  <c r="B6892"/>
  <c r="B6891"/>
  <c r="B6890"/>
  <c r="B6889"/>
  <c r="B6888"/>
  <c r="B6887"/>
  <c r="B6886"/>
  <c r="B6885"/>
  <c r="B6884"/>
  <c r="B6883"/>
  <c r="B6882"/>
  <c r="B6881"/>
  <c r="B6880"/>
  <c r="B6879"/>
  <c r="B6878"/>
  <c r="B6877"/>
  <c r="B6876"/>
  <c r="B6875"/>
  <c r="B6874"/>
  <c r="B6873"/>
  <c r="B6872"/>
  <c r="B6871"/>
  <c r="B6870"/>
  <c r="B6869"/>
  <c r="B6868"/>
  <c r="B6867"/>
  <c r="B6866"/>
  <c r="B6865"/>
  <c r="B6864"/>
  <c r="B6863"/>
  <c r="B6862"/>
  <c r="B6861"/>
  <c r="B6860"/>
  <c r="B6859"/>
  <c r="B6858"/>
  <c r="B6857"/>
  <c r="B6856"/>
  <c r="B6855"/>
  <c r="B6854"/>
  <c r="B6853"/>
  <c r="B6852"/>
  <c r="B6851"/>
  <c r="B6850"/>
  <c r="B6849"/>
  <c r="B6848"/>
  <c r="B6847"/>
  <c r="B6846"/>
  <c r="B6845"/>
  <c r="B6844"/>
  <c r="B6843"/>
  <c r="B6842"/>
  <c r="B6841"/>
  <c r="B6840"/>
  <c r="B6839"/>
  <c r="B6838"/>
  <c r="B6837"/>
  <c r="B6836"/>
  <c r="B6835"/>
  <c r="B6834"/>
  <c r="B6833"/>
  <c r="B6832"/>
  <c r="B6831"/>
  <c r="B6830"/>
  <c r="B6829"/>
  <c r="B6828"/>
  <c r="B6827"/>
  <c r="B6826"/>
  <c r="B6825"/>
  <c r="B6824"/>
  <c r="B6823"/>
  <c r="B6822"/>
  <c r="B6821"/>
  <c r="B6820"/>
  <c r="B6819"/>
  <c r="B6818"/>
  <c r="B6817"/>
  <c r="B6816"/>
  <c r="B6815"/>
  <c r="B6814"/>
  <c r="B6813"/>
  <c r="B6812"/>
  <c r="B6811"/>
  <c r="B6810"/>
  <c r="B6809"/>
  <c r="B6808"/>
  <c r="B6807"/>
  <c r="B6806"/>
  <c r="B6805"/>
  <c r="B6804"/>
  <c r="B6803"/>
  <c r="B6802"/>
  <c r="B6801"/>
  <c r="B6800"/>
  <c r="B6799"/>
  <c r="B6798"/>
  <c r="B6797"/>
  <c r="B6796"/>
  <c r="B6795"/>
  <c r="B6794"/>
  <c r="B6793"/>
  <c r="B6792"/>
  <c r="B6791"/>
  <c r="B6790"/>
  <c r="B6789"/>
  <c r="B6788"/>
  <c r="B6787"/>
  <c r="B6786"/>
  <c r="B6785"/>
  <c r="B6784"/>
  <c r="B6783"/>
  <c r="B6782"/>
  <c r="B6781"/>
  <c r="B6780"/>
  <c r="B6779"/>
  <c r="B6778"/>
  <c r="B6777"/>
  <c r="B6776"/>
  <c r="B6775"/>
  <c r="B6774"/>
  <c r="B6773"/>
  <c r="B6772"/>
  <c r="B6771"/>
  <c r="B6770"/>
  <c r="B6769"/>
  <c r="B6768"/>
  <c r="B6767"/>
  <c r="B6766"/>
  <c r="B6765"/>
  <c r="B6764"/>
  <c r="B6763"/>
  <c r="B6762"/>
  <c r="B6761"/>
  <c r="B6760"/>
  <c r="B6759"/>
  <c r="B6758"/>
  <c r="B6757"/>
  <c r="B6756"/>
  <c r="B6755"/>
  <c r="B6754"/>
  <c r="B6753"/>
  <c r="B6752"/>
  <c r="B6751"/>
  <c r="B6750"/>
  <c r="B6749"/>
  <c r="B6748"/>
  <c r="B6747"/>
  <c r="B6746"/>
  <c r="B6745"/>
  <c r="B6744"/>
  <c r="B6743"/>
  <c r="B6742"/>
  <c r="B6741"/>
  <c r="B6740"/>
  <c r="B6739"/>
  <c r="B6738"/>
  <c r="B6737"/>
  <c r="B6736"/>
  <c r="B6735"/>
  <c r="B6734"/>
  <c r="B6733"/>
  <c r="B6732"/>
  <c r="B6731"/>
  <c r="B6730"/>
  <c r="B6729"/>
  <c r="B6728"/>
  <c r="B6727"/>
  <c r="B6726"/>
  <c r="B6725"/>
  <c r="B6724"/>
  <c r="B6723"/>
  <c r="B6722"/>
  <c r="B6721"/>
  <c r="B6720"/>
  <c r="B6719"/>
  <c r="B6718"/>
  <c r="B6717"/>
  <c r="B6716"/>
  <c r="B6715"/>
  <c r="B6714"/>
  <c r="B6713"/>
  <c r="B6712"/>
  <c r="B6711"/>
  <c r="B6710"/>
  <c r="B6709"/>
  <c r="B6708"/>
  <c r="B6707"/>
  <c r="B6706"/>
  <c r="B6705"/>
  <c r="B6704"/>
  <c r="B6703"/>
  <c r="B6702"/>
  <c r="B6701"/>
  <c r="B6700"/>
  <c r="B6699"/>
  <c r="B6698"/>
  <c r="B6697"/>
  <c r="B6696"/>
  <c r="B6695"/>
  <c r="B6694"/>
  <c r="B6693"/>
  <c r="B6692"/>
  <c r="B6691"/>
  <c r="B6690"/>
  <c r="B6689"/>
  <c r="B6688"/>
  <c r="B6687"/>
  <c r="B6686"/>
  <c r="B6685"/>
  <c r="B6684"/>
  <c r="B6683"/>
  <c r="B6682"/>
  <c r="B6681"/>
  <c r="B6680"/>
  <c r="B6679"/>
  <c r="B6678"/>
  <c r="B6677"/>
  <c r="B6676"/>
  <c r="B6675"/>
  <c r="B6674"/>
  <c r="B6673"/>
  <c r="B6672"/>
  <c r="B6671"/>
  <c r="B6670"/>
  <c r="B6669"/>
  <c r="B6668"/>
  <c r="B6667"/>
  <c r="B6666"/>
  <c r="B6665"/>
  <c r="B6664"/>
  <c r="B6663"/>
  <c r="B6662"/>
  <c r="B6661"/>
  <c r="B6660"/>
  <c r="B6659"/>
  <c r="B6658"/>
  <c r="B6657"/>
  <c r="B6656"/>
  <c r="B6655"/>
  <c r="B6654"/>
  <c r="B6653"/>
  <c r="B6652"/>
  <c r="B6651"/>
  <c r="B6650"/>
  <c r="B6649"/>
  <c r="B6648"/>
  <c r="B6647"/>
  <c r="B6646"/>
  <c r="B6645"/>
  <c r="B6644"/>
  <c r="B6643"/>
  <c r="B6642"/>
  <c r="B6641"/>
  <c r="B6640"/>
  <c r="B6639"/>
  <c r="B6638"/>
  <c r="B6637"/>
  <c r="B6636"/>
  <c r="B6635"/>
  <c r="B6634"/>
  <c r="B6633"/>
  <c r="B6632"/>
  <c r="B6631"/>
  <c r="B6630"/>
  <c r="B6629"/>
  <c r="B6628"/>
  <c r="B6627"/>
  <c r="B6626"/>
  <c r="B6625"/>
  <c r="B6624"/>
  <c r="B6623"/>
  <c r="B6622"/>
  <c r="B6621"/>
  <c r="B6620"/>
  <c r="B6619"/>
  <c r="B6618"/>
  <c r="B6617"/>
  <c r="B6616"/>
  <c r="B6615"/>
  <c r="B6614"/>
  <c r="B6613"/>
  <c r="B6612"/>
  <c r="B6611"/>
  <c r="B6610"/>
  <c r="B6609"/>
  <c r="B6608"/>
  <c r="B6607"/>
  <c r="B6606"/>
  <c r="B6605"/>
  <c r="B6604"/>
  <c r="B6603"/>
  <c r="B6602"/>
  <c r="B6601"/>
  <c r="B6600"/>
  <c r="B6599"/>
  <c r="B6598"/>
  <c r="B6597"/>
  <c r="B6596"/>
  <c r="B6595"/>
  <c r="B6594"/>
  <c r="B6593"/>
  <c r="B6592"/>
  <c r="B6591"/>
  <c r="B6590"/>
  <c r="B6589"/>
  <c r="B6588"/>
  <c r="B6587"/>
  <c r="B6586"/>
  <c r="B6585"/>
  <c r="B6584"/>
  <c r="B6583"/>
  <c r="B6582"/>
  <c r="B6581"/>
  <c r="B6580"/>
  <c r="B6579"/>
  <c r="B6578"/>
  <c r="B6577"/>
  <c r="B6576"/>
  <c r="B6575"/>
  <c r="B6574"/>
  <c r="B6573"/>
  <c r="B6572"/>
  <c r="B6571"/>
  <c r="B6570"/>
  <c r="B6569"/>
  <c r="B6568"/>
  <c r="B6567"/>
  <c r="B6566"/>
  <c r="B6565"/>
  <c r="B6564"/>
  <c r="B6563"/>
  <c r="B6562"/>
  <c r="B6561"/>
  <c r="B6560"/>
  <c r="B6559"/>
  <c r="B6558"/>
  <c r="B6557"/>
  <c r="B6556"/>
  <c r="B6555"/>
  <c r="B6554"/>
  <c r="B6553"/>
  <c r="B6552"/>
  <c r="B6551"/>
  <c r="B6550"/>
  <c r="B6549"/>
  <c r="B6548"/>
  <c r="B6547"/>
  <c r="B6546"/>
  <c r="B6545"/>
  <c r="B6544"/>
  <c r="B6543"/>
  <c r="B6542"/>
  <c r="B6541"/>
  <c r="B6540"/>
  <c r="B6539"/>
  <c r="B6538"/>
  <c r="B6537"/>
  <c r="B6536"/>
  <c r="B6535"/>
  <c r="B6534"/>
  <c r="B6533"/>
  <c r="B6532"/>
  <c r="B6531"/>
  <c r="B6530"/>
  <c r="B6529"/>
  <c r="B6528"/>
  <c r="B6527"/>
  <c r="B6526"/>
  <c r="B6525"/>
  <c r="B6524"/>
  <c r="B6523"/>
  <c r="B6522"/>
  <c r="B6521"/>
  <c r="B6520"/>
  <c r="B6519"/>
  <c r="B6518"/>
  <c r="B6517"/>
  <c r="B6516"/>
  <c r="B6515"/>
  <c r="B6514"/>
  <c r="B6513"/>
  <c r="B6512"/>
  <c r="B6511"/>
  <c r="B6510"/>
  <c r="B6509"/>
  <c r="B6508"/>
  <c r="B6507"/>
  <c r="B6506"/>
  <c r="B6505"/>
  <c r="B6504"/>
  <c r="B6503"/>
  <c r="B6502"/>
  <c r="B6501"/>
  <c r="B6500"/>
  <c r="B6499"/>
  <c r="B6498"/>
  <c r="B6497"/>
  <c r="B6496"/>
  <c r="B6495"/>
  <c r="B6494"/>
  <c r="B6493"/>
  <c r="B6492"/>
  <c r="B6491"/>
  <c r="B6490"/>
  <c r="B6489"/>
  <c r="B6488"/>
  <c r="B6487"/>
  <c r="B6486"/>
  <c r="B6485"/>
  <c r="B6484"/>
  <c r="B6483"/>
  <c r="B6482"/>
  <c r="B6481"/>
  <c r="B6480"/>
  <c r="B6479"/>
  <c r="B6478"/>
  <c r="B6477"/>
  <c r="B6476"/>
  <c r="B6475"/>
  <c r="B6474"/>
  <c r="B6473"/>
  <c r="B6472"/>
  <c r="B6471"/>
  <c r="B6470"/>
  <c r="B6469"/>
  <c r="B6468"/>
  <c r="B6467"/>
  <c r="B6466"/>
  <c r="B6465"/>
  <c r="B6464"/>
  <c r="B6463"/>
  <c r="B6462"/>
  <c r="B6461"/>
  <c r="B6460"/>
  <c r="B6459"/>
  <c r="B6458"/>
  <c r="B6457"/>
  <c r="B6456"/>
  <c r="B6455"/>
  <c r="B6454"/>
  <c r="B6453"/>
  <c r="B6452"/>
  <c r="B6451"/>
  <c r="B6450"/>
  <c r="B6449"/>
  <c r="B6448"/>
  <c r="B6447"/>
  <c r="B6446"/>
  <c r="B6445"/>
  <c r="B6444"/>
  <c r="B6443"/>
  <c r="B6442"/>
  <c r="B6441"/>
  <c r="B6440"/>
  <c r="B6439"/>
  <c r="B6438"/>
  <c r="B6437"/>
  <c r="B6436"/>
  <c r="B6435"/>
  <c r="B6434"/>
  <c r="B6433"/>
  <c r="B6432"/>
  <c r="B6431"/>
  <c r="B6430"/>
  <c r="B6429"/>
  <c r="B6428"/>
  <c r="B6427"/>
  <c r="B6426"/>
  <c r="B6425"/>
  <c r="B6424"/>
  <c r="B6423"/>
  <c r="B6422"/>
  <c r="B6421"/>
  <c r="B6420"/>
  <c r="B6419"/>
  <c r="B6418"/>
  <c r="B6417"/>
  <c r="B6416"/>
  <c r="B6415"/>
  <c r="B6414"/>
  <c r="B6413"/>
  <c r="B6412"/>
  <c r="B6411"/>
  <c r="B6410"/>
  <c r="B6409"/>
  <c r="B6408"/>
  <c r="B6407"/>
  <c r="B6406"/>
  <c r="B6405"/>
  <c r="B6404"/>
  <c r="B6403"/>
  <c r="B6402"/>
  <c r="B6401"/>
  <c r="B6400"/>
  <c r="B6399"/>
  <c r="B6398"/>
  <c r="B6397"/>
  <c r="B6396"/>
  <c r="B6395"/>
  <c r="B6394"/>
  <c r="B6393"/>
  <c r="B6392"/>
  <c r="B6391"/>
  <c r="B6390"/>
  <c r="B6389"/>
  <c r="B6388"/>
  <c r="B6387"/>
  <c r="B6386"/>
  <c r="B6385"/>
  <c r="B6384"/>
  <c r="B6383"/>
  <c r="B6382"/>
  <c r="B6381"/>
  <c r="B6380"/>
  <c r="B6379"/>
  <c r="B6378"/>
  <c r="B6377"/>
  <c r="B6376"/>
  <c r="B6375"/>
  <c r="B6374"/>
  <c r="B6373"/>
  <c r="B6372"/>
  <c r="B6371"/>
  <c r="B6370"/>
  <c r="B6369"/>
  <c r="B6368"/>
  <c r="B6367"/>
  <c r="B6366"/>
  <c r="B6365"/>
  <c r="B6364"/>
  <c r="B6363"/>
  <c r="B6362"/>
  <c r="B6361"/>
  <c r="B6360"/>
  <c r="B6359"/>
  <c r="B6358"/>
  <c r="B6357"/>
  <c r="B6356"/>
  <c r="B6355"/>
  <c r="B6354"/>
  <c r="B6353"/>
  <c r="B6352"/>
  <c r="B6351"/>
  <c r="B6350"/>
  <c r="B6349"/>
  <c r="B6348"/>
  <c r="B6347"/>
  <c r="B6346"/>
  <c r="B6345"/>
  <c r="B6344"/>
  <c r="B6343"/>
  <c r="B6342"/>
  <c r="B6341"/>
  <c r="B6340"/>
  <c r="B6339"/>
  <c r="B6338"/>
  <c r="B6337"/>
  <c r="B6336"/>
  <c r="B6335"/>
  <c r="B6334"/>
  <c r="B6333"/>
  <c r="B6332"/>
  <c r="B6331"/>
  <c r="B6330"/>
  <c r="B6329"/>
  <c r="B6328"/>
  <c r="B6327"/>
  <c r="B6326"/>
  <c r="B6325"/>
  <c r="B6324"/>
  <c r="B6323"/>
  <c r="B6322"/>
  <c r="B6321"/>
  <c r="B6320"/>
  <c r="B6319"/>
  <c r="B6318"/>
  <c r="B6317"/>
  <c r="B6316"/>
  <c r="B6315"/>
  <c r="B6314"/>
  <c r="B6313"/>
  <c r="B6312"/>
  <c r="B6311"/>
  <c r="B6310"/>
  <c r="B6309"/>
  <c r="B6308"/>
  <c r="B6307"/>
  <c r="B6306"/>
  <c r="B6305"/>
  <c r="B6304"/>
  <c r="B6303"/>
  <c r="B6302"/>
  <c r="B6301"/>
  <c r="B6300"/>
  <c r="B6299"/>
  <c r="B6298"/>
  <c r="B6297"/>
  <c r="B6296"/>
  <c r="B6295"/>
  <c r="B6294"/>
  <c r="B6293"/>
  <c r="B6292"/>
  <c r="B6291"/>
  <c r="B6290"/>
  <c r="B6289"/>
  <c r="B6288"/>
  <c r="B6287"/>
  <c r="B6286"/>
  <c r="B6285"/>
  <c r="B6284"/>
  <c r="B6283"/>
  <c r="B6282"/>
  <c r="B6281"/>
  <c r="B6280"/>
  <c r="B6279"/>
  <c r="B6278"/>
  <c r="B6277"/>
  <c r="B6276"/>
  <c r="B6275"/>
  <c r="B6274"/>
  <c r="B6273"/>
  <c r="B6272"/>
  <c r="B6271"/>
  <c r="B6270"/>
  <c r="B6269"/>
  <c r="B6268"/>
  <c r="B6267"/>
  <c r="B6266"/>
  <c r="B6265"/>
  <c r="B6264"/>
  <c r="B6263"/>
  <c r="B6262"/>
  <c r="B6261"/>
  <c r="B6260"/>
  <c r="B6259"/>
  <c r="B6258"/>
  <c r="B6257"/>
  <c r="B6256"/>
  <c r="B6255"/>
  <c r="B6254"/>
  <c r="B6253"/>
  <c r="B6252"/>
  <c r="B6251"/>
  <c r="B6250"/>
  <c r="B6249"/>
  <c r="B6248"/>
  <c r="B6247"/>
  <c r="B6246"/>
  <c r="B6245"/>
  <c r="B6244"/>
  <c r="B6243"/>
  <c r="B6242"/>
  <c r="B6241"/>
  <c r="B6240"/>
  <c r="B6239"/>
  <c r="B6238"/>
  <c r="B6237"/>
  <c r="B6236"/>
  <c r="B6235"/>
  <c r="B6234"/>
  <c r="B6233"/>
  <c r="B6232"/>
  <c r="B6231"/>
  <c r="B6230"/>
  <c r="B6229"/>
  <c r="B6228"/>
  <c r="B6227"/>
  <c r="B6226"/>
  <c r="B6225"/>
  <c r="B6224"/>
  <c r="B6223"/>
  <c r="B6222"/>
  <c r="B6221"/>
  <c r="B6220"/>
  <c r="B6219"/>
  <c r="B6218"/>
  <c r="B6217"/>
  <c r="B6216"/>
  <c r="B6215"/>
  <c r="B6214"/>
  <c r="B6213"/>
  <c r="B6212"/>
  <c r="B6211"/>
  <c r="B6210"/>
  <c r="B6209"/>
  <c r="B6208"/>
  <c r="B6207"/>
  <c r="B6206"/>
  <c r="B6205"/>
  <c r="B6204"/>
  <c r="B6203"/>
  <c r="B6202"/>
  <c r="B6201"/>
  <c r="B6200"/>
  <c r="B6199"/>
  <c r="B6198"/>
  <c r="B6197"/>
  <c r="B6196"/>
  <c r="B6195"/>
  <c r="B6194"/>
  <c r="B6193"/>
  <c r="B6192"/>
  <c r="B6191"/>
  <c r="B6190"/>
  <c r="B6189"/>
  <c r="B6188"/>
  <c r="B6187"/>
  <c r="B6186"/>
  <c r="B6185"/>
  <c r="B6184"/>
  <c r="B6183"/>
  <c r="B6182"/>
  <c r="B6181"/>
  <c r="B6180"/>
  <c r="B6179"/>
  <c r="B6178"/>
  <c r="B6177"/>
  <c r="B6176"/>
  <c r="B6175"/>
  <c r="B6174"/>
  <c r="B6173"/>
  <c r="B6172"/>
  <c r="B6171"/>
  <c r="B6170"/>
  <c r="B6169"/>
  <c r="B6168"/>
  <c r="B6167"/>
  <c r="B6166"/>
  <c r="B6165"/>
  <c r="B6164"/>
  <c r="B6163"/>
  <c r="B6162"/>
  <c r="B6161"/>
  <c r="B6160"/>
  <c r="B6159"/>
  <c r="B6158"/>
  <c r="B6157"/>
  <c r="B6156"/>
  <c r="B6155"/>
  <c r="B6154"/>
  <c r="B6153"/>
  <c r="B6152"/>
  <c r="B6151"/>
  <c r="B6150"/>
  <c r="B6149"/>
  <c r="B6148"/>
  <c r="B6147"/>
  <c r="B6146"/>
  <c r="B6145"/>
  <c r="B6144"/>
  <c r="B6143"/>
  <c r="B6142"/>
  <c r="B6141"/>
  <c r="B6140"/>
  <c r="B6139"/>
  <c r="B6138"/>
  <c r="B6137"/>
  <c r="B6136"/>
  <c r="B6135"/>
  <c r="B6134"/>
  <c r="B6133"/>
  <c r="B6132"/>
  <c r="B6131"/>
  <c r="B6130"/>
  <c r="B6129"/>
  <c r="B6128"/>
  <c r="B6127"/>
  <c r="B6126"/>
  <c r="B6125"/>
  <c r="B6124"/>
  <c r="B6123"/>
  <c r="B6122"/>
  <c r="B6121"/>
  <c r="B6120"/>
  <c r="B6119"/>
  <c r="B6118"/>
  <c r="B6117"/>
  <c r="B6116"/>
  <c r="B6115"/>
  <c r="B6114"/>
  <c r="B6113"/>
  <c r="B6112"/>
  <c r="B6111"/>
  <c r="B6110"/>
  <c r="B6109"/>
  <c r="B6108"/>
  <c r="B6107"/>
  <c r="B6106"/>
  <c r="B6105"/>
  <c r="B6104"/>
  <c r="B6103"/>
  <c r="B6102"/>
  <c r="B6101"/>
  <c r="B6100"/>
  <c r="B6099"/>
  <c r="B6098"/>
  <c r="B6097"/>
  <c r="B6096"/>
  <c r="B6095"/>
  <c r="B6094"/>
  <c r="B6093"/>
  <c r="B6092"/>
  <c r="B6091"/>
  <c r="B6090"/>
  <c r="B6089"/>
  <c r="B6088"/>
  <c r="B6087"/>
  <c r="B6086"/>
  <c r="B6085"/>
  <c r="B6084"/>
  <c r="B6083"/>
  <c r="B6082"/>
  <c r="B6081"/>
  <c r="B6080"/>
  <c r="B6079"/>
  <c r="B6078"/>
  <c r="B6077"/>
  <c r="B6076"/>
  <c r="B6075"/>
  <c r="B6074"/>
  <c r="B6073"/>
  <c r="B6072"/>
  <c r="B6071"/>
  <c r="B6070"/>
  <c r="B6069"/>
  <c r="B6068"/>
  <c r="B6067"/>
  <c r="B6066"/>
  <c r="B6065"/>
  <c r="B6064"/>
  <c r="B6063"/>
  <c r="B6062"/>
  <c r="B6061"/>
  <c r="B6060"/>
  <c r="B6059"/>
  <c r="B6058"/>
  <c r="B6057"/>
  <c r="B6056"/>
  <c r="B6055"/>
  <c r="B6054"/>
  <c r="B6053"/>
  <c r="B6052"/>
  <c r="B6051"/>
  <c r="B6050"/>
  <c r="B6049"/>
  <c r="B6048"/>
  <c r="B6047"/>
  <c r="B6046"/>
  <c r="B6045"/>
  <c r="B6044"/>
  <c r="B6043"/>
  <c r="B6042"/>
  <c r="B6041"/>
  <c r="B6040"/>
  <c r="B6039"/>
  <c r="B6038"/>
  <c r="B6037"/>
  <c r="B6036"/>
  <c r="B6035"/>
  <c r="B6034"/>
  <c r="B6033"/>
  <c r="B6032"/>
  <c r="B6031"/>
  <c r="B6030"/>
  <c r="B6029"/>
  <c r="B6028"/>
  <c r="B6027"/>
  <c r="B6026"/>
  <c r="B6025"/>
  <c r="B6024"/>
  <c r="B6023"/>
  <c r="B6022"/>
  <c r="B6021"/>
  <c r="B6020"/>
  <c r="B6019"/>
  <c r="B6018"/>
  <c r="B6017"/>
  <c r="B6016"/>
  <c r="B6015"/>
  <c r="B6014"/>
  <c r="B6013"/>
  <c r="B6012"/>
  <c r="B6011"/>
  <c r="B6010"/>
  <c r="B6009"/>
  <c r="B6008"/>
  <c r="B6007"/>
  <c r="B6006"/>
  <c r="B6005"/>
  <c r="B6004"/>
  <c r="B6003"/>
  <c r="B6002"/>
  <c r="B6001"/>
  <c r="B6000"/>
  <c r="B5999"/>
  <c r="B5998"/>
  <c r="B5997"/>
  <c r="B5996"/>
  <c r="B5995"/>
  <c r="B5994"/>
  <c r="B5993"/>
  <c r="B5992"/>
  <c r="B5991"/>
  <c r="B5990"/>
  <c r="B5989"/>
  <c r="B5988"/>
  <c r="B5987"/>
  <c r="B5986"/>
  <c r="B5985"/>
  <c r="B5984"/>
  <c r="B5983"/>
  <c r="B5982"/>
  <c r="B5981"/>
  <c r="B5980"/>
  <c r="B5979"/>
  <c r="B5978"/>
  <c r="B5977"/>
  <c r="B5976"/>
  <c r="B5975"/>
  <c r="B5974"/>
  <c r="B5973"/>
  <c r="B5972"/>
  <c r="B5971"/>
  <c r="B5970"/>
  <c r="B5969"/>
  <c r="B5968"/>
  <c r="B5967"/>
  <c r="B5966"/>
  <c r="B5965"/>
  <c r="B5964"/>
  <c r="B5963"/>
  <c r="B5962"/>
  <c r="B5961"/>
  <c r="B5960"/>
  <c r="B5959"/>
  <c r="B5958"/>
  <c r="B5957"/>
  <c r="B5956"/>
  <c r="B5955"/>
  <c r="B5954"/>
  <c r="B5953"/>
  <c r="B5952"/>
  <c r="B5951"/>
  <c r="B5950"/>
  <c r="B5949"/>
  <c r="B5948"/>
  <c r="B5947"/>
  <c r="B5946"/>
  <c r="B5945"/>
  <c r="B5944"/>
  <c r="B5943"/>
  <c r="B5942"/>
  <c r="B5941"/>
  <c r="B5940"/>
  <c r="B5939"/>
  <c r="B5938"/>
  <c r="B5937"/>
  <c r="B5936"/>
  <c r="B5935"/>
  <c r="B5934"/>
  <c r="B5933"/>
  <c r="B5932"/>
  <c r="B5931"/>
  <c r="B5930"/>
  <c r="B5929"/>
  <c r="B5928"/>
  <c r="B5927"/>
  <c r="B5926"/>
  <c r="B5925"/>
  <c r="B5924"/>
  <c r="B5923"/>
  <c r="B5922"/>
  <c r="B5921"/>
  <c r="B5920"/>
  <c r="B5919"/>
  <c r="B5918"/>
  <c r="B5917"/>
  <c r="B5916"/>
  <c r="B5915"/>
  <c r="B5914"/>
  <c r="B5913"/>
  <c r="B5912"/>
  <c r="B5911"/>
  <c r="B5910"/>
  <c r="B5909"/>
  <c r="B5908"/>
  <c r="B5907"/>
  <c r="B5906"/>
  <c r="B5905"/>
  <c r="B5904"/>
  <c r="B5903"/>
  <c r="B5902"/>
  <c r="B5901"/>
  <c r="B5900"/>
  <c r="B5899"/>
  <c r="B5898"/>
  <c r="B5897"/>
  <c r="B5896"/>
  <c r="B5895"/>
  <c r="B5894"/>
  <c r="B5893"/>
  <c r="B5892"/>
  <c r="B5891"/>
  <c r="B5890"/>
  <c r="B5889"/>
  <c r="B5888"/>
  <c r="B5887"/>
  <c r="B5886"/>
  <c r="B5885"/>
  <c r="B5884"/>
  <c r="B5883"/>
  <c r="B5882"/>
  <c r="B5881"/>
  <c r="B5880"/>
  <c r="B5879"/>
  <c r="B5878"/>
  <c r="B5877"/>
  <c r="B5876"/>
  <c r="B5875"/>
  <c r="B5874"/>
  <c r="B5873"/>
  <c r="B5872"/>
  <c r="B5871"/>
  <c r="B5870"/>
  <c r="B5869"/>
  <c r="B5868"/>
  <c r="B5867"/>
  <c r="B5866"/>
  <c r="B5865"/>
  <c r="B5864"/>
  <c r="B5863"/>
  <c r="B5862"/>
  <c r="B5861"/>
  <c r="B5860"/>
  <c r="B5859"/>
  <c r="B5858"/>
  <c r="B5857"/>
  <c r="B5856"/>
  <c r="B5855"/>
  <c r="B5854"/>
  <c r="B5853"/>
  <c r="B5852"/>
  <c r="B5851"/>
  <c r="B5850"/>
  <c r="B5849"/>
  <c r="B5848"/>
  <c r="B5847"/>
  <c r="B5846"/>
  <c r="B5845"/>
  <c r="B5844"/>
  <c r="B5843"/>
  <c r="B5842"/>
  <c r="B5841"/>
  <c r="B5840"/>
  <c r="B5839"/>
  <c r="B5838"/>
  <c r="B5837"/>
  <c r="B5836"/>
  <c r="B5835"/>
  <c r="B5834"/>
  <c r="B5833"/>
  <c r="B5832"/>
  <c r="B5831"/>
  <c r="B5830"/>
  <c r="B5829"/>
  <c r="B5828"/>
  <c r="B5827"/>
  <c r="B5826"/>
  <c r="B5825"/>
  <c r="B5824"/>
  <c r="B5823"/>
  <c r="B5822"/>
  <c r="B5821"/>
  <c r="B5820"/>
  <c r="B5819"/>
  <c r="B5818"/>
  <c r="B5817"/>
  <c r="B5816"/>
  <c r="B5815"/>
  <c r="B5814"/>
  <c r="B5813"/>
  <c r="B5812"/>
  <c r="B5811"/>
  <c r="B5810"/>
  <c r="B5809"/>
  <c r="B5808"/>
  <c r="B5807"/>
  <c r="B5806"/>
  <c r="B5805"/>
  <c r="B5804"/>
  <c r="B5803"/>
  <c r="B5802"/>
  <c r="B5801"/>
  <c r="B5800"/>
  <c r="B5799"/>
  <c r="B5798"/>
  <c r="B5797"/>
  <c r="B5796"/>
  <c r="B5795"/>
  <c r="B5794"/>
  <c r="B5793"/>
  <c r="B5792"/>
  <c r="B5791"/>
  <c r="B5790"/>
  <c r="B5789"/>
  <c r="B5788"/>
  <c r="B5787"/>
  <c r="B5786"/>
  <c r="B5785"/>
  <c r="B5784"/>
  <c r="B5783"/>
  <c r="B5782"/>
  <c r="B5781"/>
  <c r="B5780"/>
  <c r="B5779"/>
  <c r="B5778"/>
  <c r="B5777"/>
  <c r="B5776"/>
  <c r="B5775"/>
  <c r="B5774"/>
  <c r="B5773"/>
  <c r="B5772"/>
  <c r="B5771"/>
  <c r="B5770"/>
  <c r="B5769"/>
  <c r="B5768"/>
  <c r="B5767"/>
  <c r="B5766"/>
  <c r="B5765"/>
  <c r="B5764"/>
  <c r="B5763"/>
  <c r="B5762"/>
  <c r="B5761"/>
  <c r="B5760"/>
  <c r="B5759"/>
  <c r="B5758"/>
  <c r="B5757"/>
  <c r="B5756"/>
  <c r="B5755"/>
  <c r="B5754"/>
  <c r="B5753"/>
  <c r="B5752"/>
  <c r="B5751"/>
  <c r="B5750"/>
  <c r="B5749"/>
  <c r="B5748"/>
  <c r="B5747"/>
  <c r="B5746"/>
  <c r="B5745"/>
  <c r="B5744"/>
  <c r="B5743"/>
  <c r="B5742"/>
  <c r="B5741"/>
  <c r="B5740"/>
  <c r="B5739"/>
  <c r="B5738"/>
  <c r="B5737"/>
  <c r="B5736"/>
  <c r="B5735"/>
  <c r="B5734"/>
  <c r="B5733"/>
  <c r="B5732"/>
  <c r="B5731"/>
  <c r="B5730"/>
  <c r="B5729"/>
  <c r="B5728"/>
  <c r="B5727"/>
  <c r="B5726"/>
  <c r="B5725"/>
  <c r="B5724"/>
  <c r="B5723"/>
  <c r="B5722"/>
  <c r="B5721"/>
  <c r="B5720"/>
  <c r="B5719"/>
  <c r="B5718"/>
  <c r="B5717"/>
  <c r="B5716"/>
  <c r="B5715"/>
  <c r="B5714"/>
  <c r="B5713"/>
  <c r="B5712"/>
  <c r="B5711"/>
  <c r="B5710"/>
  <c r="B5709"/>
  <c r="B5708"/>
  <c r="B5707"/>
  <c r="B5706"/>
  <c r="B5705"/>
  <c r="B5704"/>
  <c r="B5703"/>
  <c r="B5702"/>
  <c r="B5701"/>
  <c r="B5700"/>
  <c r="B5699"/>
  <c r="B5698"/>
  <c r="B5697"/>
  <c r="B5696"/>
  <c r="B5695"/>
  <c r="B5694"/>
  <c r="B5693"/>
  <c r="B5692"/>
  <c r="B5691"/>
  <c r="B5690"/>
  <c r="B5689"/>
  <c r="B5688"/>
  <c r="B5687"/>
  <c r="B5686"/>
  <c r="B5685"/>
  <c r="B5684"/>
  <c r="B5683"/>
  <c r="B5682"/>
  <c r="B5681"/>
  <c r="B5680"/>
  <c r="B5679"/>
  <c r="B5678"/>
  <c r="B5677"/>
  <c r="B5676"/>
  <c r="B5675"/>
  <c r="B5674"/>
  <c r="B5673"/>
  <c r="B5672"/>
  <c r="B5671"/>
  <c r="B5670"/>
  <c r="B5669"/>
  <c r="B5668"/>
  <c r="B5667"/>
  <c r="B5666"/>
  <c r="B5665"/>
  <c r="B5664"/>
  <c r="B5663"/>
  <c r="B5662"/>
  <c r="B5661"/>
  <c r="B5660"/>
  <c r="B5659"/>
  <c r="B5658"/>
  <c r="B5657"/>
  <c r="B5656"/>
  <c r="B5655"/>
  <c r="B5654"/>
  <c r="B5653"/>
  <c r="B5652"/>
  <c r="B5651"/>
  <c r="B5650"/>
  <c r="B5649"/>
  <c r="B5648"/>
  <c r="B5647"/>
  <c r="B5646"/>
  <c r="B5645"/>
  <c r="B5644"/>
  <c r="B5643"/>
  <c r="B5642"/>
  <c r="B5641"/>
  <c r="B5640"/>
  <c r="B5639"/>
  <c r="B5638"/>
  <c r="B5637"/>
  <c r="B5636"/>
  <c r="B5635"/>
  <c r="B5634"/>
  <c r="B5633"/>
  <c r="B5632"/>
  <c r="B5631"/>
  <c r="B5630"/>
  <c r="B5629"/>
  <c r="B5628"/>
  <c r="B5627"/>
  <c r="B5626"/>
  <c r="B5625"/>
  <c r="B5624"/>
  <c r="B5623"/>
  <c r="B5622"/>
  <c r="B5621"/>
  <c r="B5620"/>
  <c r="B5619"/>
  <c r="B5618"/>
  <c r="B5617"/>
  <c r="B5616"/>
  <c r="B5615"/>
  <c r="B5614"/>
  <c r="B5613"/>
  <c r="B5612"/>
  <c r="B5611"/>
  <c r="B5610"/>
  <c r="B5609"/>
  <c r="B5608"/>
  <c r="B5607"/>
  <c r="B5606"/>
  <c r="B5605"/>
  <c r="B5604"/>
  <c r="B5603"/>
  <c r="B5602"/>
  <c r="B5601"/>
  <c r="B5600"/>
  <c r="B5599"/>
  <c r="B5598"/>
  <c r="B5597"/>
  <c r="B5596"/>
  <c r="B5595"/>
  <c r="B5594"/>
  <c r="B5593"/>
  <c r="B5592"/>
  <c r="B5591"/>
  <c r="B5590"/>
  <c r="B5589"/>
  <c r="B5588"/>
  <c r="B5587"/>
  <c r="B5586"/>
  <c r="B5585"/>
  <c r="B5584"/>
  <c r="B5583"/>
  <c r="B5582"/>
  <c r="B5581"/>
  <c r="B5580"/>
  <c r="B5579"/>
  <c r="B5578"/>
  <c r="B5577"/>
  <c r="B5576"/>
  <c r="B5575"/>
  <c r="B5574"/>
  <c r="B5573"/>
  <c r="B5572"/>
  <c r="B5571"/>
  <c r="B5570"/>
  <c r="B5569"/>
  <c r="B5568"/>
  <c r="B5567"/>
  <c r="B5566"/>
  <c r="B5565"/>
  <c r="B5564"/>
  <c r="B5563"/>
  <c r="B5562"/>
  <c r="B5561"/>
  <c r="B5560"/>
  <c r="B5559"/>
  <c r="B5558"/>
  <c r="B5557"/>
  <c r="B5556"/>
  <c r="B5555"/>
  <c r="B5554"/>
  <c r="B5553"/>
  <c r="B5552"/>
  <c r="B5551"/>
  <c r="B5550"/>
  <c r="B5549"/>
  <c r="B5548"/>
  <c r="B5547"/>
  <c r="B5546"/>
  <c r="B5545"/>
  <c r="B5544"/>
  <c r="B5543"/>
  <c r="B5542"/>
  <c r="B5541"/>
  <c r="B5540"/>
  <c r="B5539"/>
  <c r="B5538"/>
  <c r="B5537"/>
  <c r="B5536"/>
  <c r="B5535"/>
  <c r="B5534"/>
  <c r="B5533"/>
  <c r="B5532"/>
  <c r="B5531"/>
  <c r="B5530"/>
  <c r="B5529"/>
  <c r="B5528"/>
  <c r="B5527"/>
  <c r="B5526"/>
  <c r="B5525"/>
  <c r="B5524"/>
  <c r="B5523"/>
  <c r="B5522"/>
  <c r="B5521"/>
  <c r="B5520"/>
  <c r="B5519"/>
  <c r="B5518"/>
  <c r="B5517"/>
  <c r="B5516"/>
  <c r="B5515"/>
  <c r="B5514"/>
  <c r="B5513"/>
  <c r="B5512"/>
  <c r="B5511"/>
  <c r="B5510"/>
  <c r="B5509"/>
  <c r="B5508"/>
  <c r="B5507"/>
  <c r="B5506"/>
  <c r="B5505"/>
  <c r="B5504"/>
  <c r="B5503"/>
  <c r="B5502"/>
  <c r="B5501"/>
  <c r="B5500"/>
  <c r="B5499"/>
  <c r="B5498"/>
  <c r="B5497"/>
  <c r="B5496"/>
  <c r="B5495"/>
  <c r="B5494"/>
  <c r="B5493"/>
  <c r="B5492"/>
  <c r="B5491"/>
  <c r="B5490"/>
  <c r="B5489"/>
  <c r="B5488"/>
  <c r="B5487"/>
  <c r="B5486"/>
  <c r="B5485"/>
  <c r="B5484"/>
  <c r="B5483"/>
  <c r="B5482"/>
  <c r="B5481"/>
  <c r="B5480"/>
  <c r="B5479"/>
  <c r="B5478"/>
  <c r="B5477"/>
  <c r="B5476"/>
  <c r="B5475"/>
  <c r="B5474"/>
  <c r="B5473"/>
  <c r="B5472"/>
  <c r="B5471"/>
  <c r="B5470"/>
  <c r="B5469"/>
  <c r="B5468"/>
  <c r="B5467"/>
  <c r="B5466"/>
  <c r="B5465"/>
  <c r="B5464"/>
  <c r="B5463"/>
  <c r="B5462"/>
  <c r="B5461"/>
  <c r="B5460"/>
  <c r="B5459"/>
  <c r="B5458"/>
  <c r="B5457"/>
  <c r="B5456"/>
  <c r="B5455"/>
  <c r="B5454"/>
  <c r="B5453"/>
  <c r="B5452"/>
  <c r="B5451"/>
  <c r="B5450"/>
  <c r="B5449"/>
  <c r="B5448"/>
  <c r="B5447"/>
  <c r="B5446"/>
  <c r="B5445"/>
  <c r="B5444"/>
  <c r="B5443"/>
  <c r="B5442"/>
  <c r="B5441"/>
  <c r="B5440"/>
  <c r="B5439"/>
  <c r="B5438"/>
  <c r="B5437"/>
  <c r="B5436"/>
  <c r="B5435"/>
  <c r="B5434"/>
  <c r="B5433"/>
  <c r="B5432"/>
  <c r="B5431"/>
  <c r="B5430"/>
  <c r="B5429"/>
  <c r="B5428"/>
  <c r="B5427"/>
  <c r="B5426"/>
  <c r="B5425"/>
  <c r="B5424"/>
  <c r="B5423"/>
  <c r="B5422"/>
  <c r="B5421"/>
  <c r="B5420"/>
  <c r="B5419"/>
  <c r="B5418"/>
  <c r="B5417"/>
  <c r="B5416"/>
  <c r="B5415"/>
  <c r="B5414"/>
  <c r="B5413"/>
  <c r="B5412"/>
  <c r="B5411"/>
  <c r="B5410"/>
  <c r="B5409"/>
  <c r="B5408"/>
  <c r="B5407"/>
  <c r="B5406"/>
  <c r="B5405"/>
  <c r="B5404"/>
  <c r="B5403"/>
  <c r="B5402"/>
  <c r="B5401"/>
  <c r="B5400"/>
  <c r="B5399"/>
  <c r="B5398"/>
  <c r="B5397"/>
  <c r="B5396"/>
  <c r="B5395"/>
  <c r="B5394"/>
  <c r="B5393"/>
  <c r="B5392"/>
  <c r="B5391"/>
  <c r="B5390"/>
  <c r="B5389"/>
  <c r="B5388"/>
  <c r="B5387"/>
  <c r="B5386"/>
  <c r="B5385"/>
  <c r="B5384"/>
  <c r="B5383"/>
  <c r="B5382"/>
  <c r="B5381"/>
  <c r="B5380"/>
  <c r="B5379"/>
  <c r="B5378"/>
  <c r="B5377"/>
  <c r="B5376"/>
  <c r="B5375"/>
  <c r="B5374"/>
  <c r="B5373"/>
  <c r="B5372"/>
  <c r="B5371"/>
  <c r="B5370"/>
  <c r="B5369"/>
  <c r="B5368"/>
  <c r="B5367"/>
  <c r="B5366"/>
  <c r="B5365"/>
  <c r="B5364"/>
  <c r="B5363"/>
  <c r="B5362"/>
  <c r="B5361"/>
  <c r="B5360"/>
  <c r="B5359"/>
  <c r="B5358"/>
  <c r="B5357"/>
  <c r="B5356"/>
  <c r="B5355"/>
  <c r="B5354"/>
  <c r="B5353"/>
  <c r="B5352"/>
  <c r="B5351"/>
  <c r="B5350"/>
  <c r="B5349"/>
  <c r="B5348"/>
  <c r="B5347"/>
  <c r="B5346"/>
  <c r="B5345"/>
  <c r="B5344"/>
  <c r="B5343"/>
  <c r="B5342"/>
  <c r="B5341"/>
  <c r="B5340"/>
  <c r="B5339"/>
  <c r="B5338"/>
  <c r="B5337"/>
  <c r="B5336"/>
  <c r="B5335"/>
  <c r="B5334"/>
  <c r="B5333"/>
  <c r="B5332"/>
  <c r="B5331"/>
  <c r="B5330"/>
  <c r="B5329"/>
  <c r="B5328"/>
  <c r="B5327"/>
  <c r="B5326"/>
  <c r="B5325"/>
  <c r="B5324"/>
  <c r="B5323"/>
  <c r="B5322"/>
  <c r="B5321"/>
  <c r="B5320"/>
  <c r="B5319"/>
  <c r="B5318"/>
  <c r="B5317"/>
  <c r="B5316"/>
  <c r="B5315"/>
  <c r="B5314"/>
  <c r="B5313"/>
  <c r="B5312"/>
  <c r="B5311"/>
  <c r="B5310"/>
  <c r="B5309"/>
  <c r="B5308"/>
  <c r="B5307"/>
  <c r="B5306"/>
  <c r="B5305"/>
  <c r="B5304"/>
  <c r="B5303"/>
  <c r="B5302"/>
  <c r="B5301"/>
  <c r="B5300"/>
  <c r="B5299"/>
  <c r="B5298"/>
  <c r="B5297"/>
  <c r="B5296"/>
  <c r="B5295"/>
  <c r="B5294"/>
  <c r="B5293"/>
  <c r="B5292"/>
  <c r="B5291"/>
  <c r="B5290"/>
  <c r="B5289"/>
  <c r="B5288"/>
  <c r="B5287"/>
  <c r="B5286"/>
  <c r="B5285"/>
  <c r="B5284"/>
  <c r="B5283"/>
  <c r="B5282"/>
  <c r="B5281"/>
  <c r="B5280"/>
  <c r="B5279"/>
  <c r="B5278"/>
  <c r="B5277"/>
  <c r="B5276"/>
  <c r="B5275"/>
  <c r="B5274"/>
  <c r="B5273"/>
  <c r="B5272"/>
  <c r="B5271"/>
  <c r="B5270"/>
  <c r="B5269"/>
  <c r="B5268"/>
  <c r="B5267"/>
  <c r="B5266"/>
  <c r="B5265"/>
  <c r="B5264"/>
  <c r="B5263"/>
  <c r="B5262"/>
  <c r="B5261"/>
  <c r="B5260"/>
  <c r="B5259"/>
  <c r="B5258"/>
  <c r="B5257"/>
  <c r="B5256"/>
  <c r="B5255"/>
  <c r="B5254"/>
  <c r="B5253"/>
  <c r="B5252"/>
  <c r="B5251"/>
  <c r="B5250"/>
  <c r="B5249"/>
  <c r="B5248"/>
  <c r="B5247"/>
  <c r="B5246"/>
  <c r="B5245"/>
  <c r="B5244"/>
  <c r="B5243"/>
  <c r="B5242"/>
  <c r="B5241"/>
  <c r="B5240"/>
  <c r="B5239"/>
  <c r="B5238"/>
  <c r="B5237"/>
  <c r="B5236"/>
  <c r="B5235"/>
  <c r="B5234"/>
  <c r="B5233"/>
  <c r="B5232"/>
  <c r="B5231"/>
  <c r="B5230"/>
  <c r="B5229"/>
  <c r="B5228"/>
  <c r="B5227"/>
  <c r="B5226"/>
  <c r="B5225"/>
  <c r="B5224"/>
  <c r="B5223"/>
  <c r="B5222"/>
  <c r="B5221"/>
  <c r="B5220"/>
  <c r="B5219"/>
  <c r="B5218"/>
  <c r="B5217"/>
  <c r="B5216"/>
  <c r="B5215"/>
  <c r="B5214"/>
  <c r="B5213"/>
  <c r="B5212"/>
  <c r="B5211"/>
  <c r="B5210"/>
  <c r="B5209"/>
  <c r="B5208"/>
  <c r="B5207"/>
  <c r="B5206"/>
  <c r="B5205"/>
  <c r="B5204"/>
  <c r="B5203"/>
  <c r="B5202"/>
  <c r="B5201"/>
  <c r="B5200"/>
  <c r="B5199"/>
  <c r="B5198"/>
  <c r="B5197"/>
  <c r="B5196"/>
  <c r="B5195"/>
  <c r="B5194"/>
  <c r="B5193"/>
  <c r="B5192"/>
  <c r="B5191"/>
  <c r="B5190"/>
  <c r="B5189"/>
  <c r="B5188"/>
  <c r="B5187"/>
  <c r="B5186"/>
  <c r="B5185"/>
  <c r="B5184"/>
  <c r="B5183"/>
  <c r="B5182"/>
  <c r="B5181"/>
  <c r="B5180"/>
  <c r="B5179"/>
  <c r="B5178"/>
  <c r="B5177"/>
  <c r="B5176"/>
  <c r="B5175"/>
  <c r="B5174"/>
  <c r="B5173"/>
  <c r="B5172"/>
  <c r="B5171"/>
  <c r="B5170"/>
  <c r="B5169"/>
  <c r="B5168"/>
  <c r="B5167"/>
  <c r="B5166"/>
  <c r="B5165"/>
  <c r="B5164"/>
  <c r="B5163"/>
  <c r="B5162"/>
  <c r="B5161"/>
  <c r="B5160"/>
  <c r="B5159"/>
  <c r="B5158"/>
  <c r="B5157"/>
  <c r="B5156"/>
  <c r="B5155"/>
  <c r="B5154"/>
  <c r="B5153"/>
  <c r="B5152"/>
  <c r="B5151"/>
  <c r="B5150"/>
  <c r="B5149"/>
  <c r="B5148"/>
  <c r="B5147"/>
  <c r="B5146"/>
  <c r="B5145"/>
  <c r="B5144"/>
  <c r="B5143"/>
  <c r="B5142"/>
  <c r="B5141"/>
  <c r="B5140"/>
  <c r="B5139"/>
  <c r="B5138"/>
  <c r="B5137"/>
  <c r="B5136"/>
  <c r="B5135"/>
  <c r="B5134"/>
  <c r="B5133"/>
  <c r="B5132"/>
  <c r="B5131"/>
  <c r="B5130"/>
  <c r="B5129"/>
  <c r="B5128"/>
  <c r="B5127"/>
  <c r="B5126"/>
  <c r="B5125"/>
  <c r="B5124"/>
  <c r="B5123"/>
  <c r="B5122"/>
  <c r="B5121"/>
  <c r="B5120"/>
  <c r="B5119"/>
  <c r="B5118"/>
  <c r="B5117"/>
  <c r="B5116"/>
  <c r="B5115"/>
  <c r="B5114"/>
  <c r="B5113"/>
  <c r="B5112"/>
  <c r="B5111"/>
  <c r="B5110"/>
  <c r="B5109"/>
  <c r="B5108"/>
  <c r="B5107"/>
  <c r="B5106"/>
  <c r="B5105"/>
  <c r="B5104"/>
  <c r="B5103"/>
  <c r="B5102"/>
  <c r="B5101"/>
  <c r="B5100"/>
  <c r="B5099"/>
  <c r="B5098"/>
  <c r="B5097"/>
  <c r="B5096"/>
  <c r="B5095"/>
  <c r="B5094"/>
  <c r="B5093"/>
  <c r="B5092"/>
  <c r="B5091"/>
  <c r="B5090"/>
  <c r="B5089"/>
  <c r="B5088"/>
  <c r="B5087"/>
  <c r="B5086"/>
  <c r="B5085"/>
  <c r="B5084"/>
  <c r="B5083"/>
  <c r="B5082"/>
  <c r="B5081"/>
  <c r="B5080"/>
  <c r="B5079"/>
  <c r="B5078"/>
  <c r="B5077"/>
  <c r="B5076"/>
  <c r="B5075"/>
  <c r="B5074"/>
  <c r="B5073"/>
  <c r="B5072"/>
  <c r="B5071"/>
  <c r="B5070"/>
  <c r="B5069"/>
  <c r="B5068"/>
  <c r="B5067"/>
  <c r="B5066"/>
  <c r="B5065"/>
  <c r="B5064"/>
  <c r="B5063"/>
  <c r="B5062"/>
  <c r="B5061"/>
  <c r="B5060"/>
  <c r="B5059"/>
  <c r="B5058"/>
  <c r="B5057"/>
  <c r="B5056"/>
  <c r="B5055"/>
  <c r="B5054"/>
  <c r="B5053"/>
  <c r="B5052"/>
  <c r="B5051"/>
  <c r="B5050"/>
  <c r="B5049"/>
  <c r="B5048"/>
  <c r="B5047"/>
  <c r="B5046"/>
  <c r="B5045"/>
  <c r="B5044"/>
  <c r="B5043"/>
  <c r="B5042"/>
  <c r="B5041"/>
  <c r="B5040"/>
  <c r="B5039"/>
  <c r="B5038"/>
  <c r="B5037"/>
  <c r="B5036"/>
  <c r="B5035"/>
  <c r="B5034"/>
  <c r="B5033"/>
  <c r="B5032"/>
  <c r="B5031"/>
  <c r="B5030"/>
  <c r="B5029"/>
  <c r="B5028"/>
  <c r="B5027"/>
  <c r="B5026"/>
  <c r="B5025"/>
  <c r="B5024"/>
  <c r="B5023"/>
  <c r="B5022"/>
  <c r="B5021"/>
  <c r="B5020"/>
  <c r="B5019"/>
  <c r="B5018"/>
  <c r="B5017"/>
  <c r="B5016"/>
  <c r="B5015"/>
  <c r="B5014"/>
  <c r="B5013"/>
  <c r="B5012"/>
  <c r="B5011"/>
  <c r="B5010"/>
  <c r="B5009"/>
  <c r="B5008"/>
  <c r="B5007"/>
  <c r="B5006"/>
  <c r="B5005"/>
  <c r="B5004"/>
  <c r="B5003"/>
  <c r="B5002"/>
  <c r="B5001"/>
  <c r="B5000"/>
  <c r="B4999"/>
  <c r="B4998"/>
  <c r="B4997"/>
  <c r="B4996"/>
  <c r="B4995"/>
  <c r="B4994"/>
  <c r="B4993"/>
  <c r="B4992"/>
  <c r="B4991"/>
  <c r="B4990"/>
  <c r="B4989"/>
  <c r="B4988"/>
  <c r="B4987"/>
  <c r="B4986"/>
  <c r="B4985"/>
  <c r="B4984"/>
  <c r="B4983"/>
  <c r="B4982"/>
  <c r="B4981"/>
  <c r="B4980"/>
  <c r="B4979"/>
  <c r="B4978"/>
  <c r="B4977"/>
  <c r="B4976"/>
  <c r="B4975"/>
  <c r="B4974"/>
  <c r="B4973"/>
  <c r="B4972"/>
  <c r="B4971"/>
  <c r="B4970"/>
  <c r="B4969"/>
  <c r="B4968"/>
  <c r="B4967"/>
  <c r="B4966"/>
  <c r="B4965"/>
  <c r="B4964"/>
  <c r="B4963"/>
  <c r="B4962"/>
  <c r="B4961"/>
  <c r="B4960"/>
  <c r="B4959"/>
  <c r="B4958"/>
  <c r="B4957"/>
  <c r="B4956"/>
  <c r="B4955"/>
  <c r="B4954"/>
  <c r="B4953"/>
  <c r="B4952"/>
  <c r="B4951"/>
  <c r="B4950"/>
  <c r="B4949"/>
  <c r="B4948"/>
  <c r="B4947"/>
  <c r="B4946"/>
  <c r="B4945"/>
  <c r="B4944"/>
  <c r="B4943"/>
  <c r="B4942"/>
  <c r="B4941"/>
  <c r="B4940"/>
  <c r="B4939"/>
  <c r="B4938"/>
  <c r="B4937"/>
  <c r="B4936"/>
  <c r="B4935"/>
  <c r="B4934"/>
  <c r="B4933"/>
  <c r="B4932"/>
  <c r="B4931"/>
  <c r="B4930"/>
  <c r="B4929"/>
  <c r="B4928"/>
  <c r="B4927"/>
  <c r="B4926"/>
  <c r="B4925"/>
  <c r="B4924"/>
  <c r="B4923"/>
  <c r="B4922"/>
  <c r="B4921"/>
  <c r="B4920"/>
  <c r="B4919"/>
  <c r="B4918"/>
  <c r="B4917"/>
  <c r="B4916"/>
  <c r="B4915"/>
  <c r="B4914"/>
  <c r="B4913"/>
  <c r="B4912"/>
  <c r="B4911"/>
  <c r="B4910"/>
  <c r="B4909"/>
  <c r="B4908"/>
  <c r="B4907"/>
  <c r="B4906"/>
  <c r="B4905"/>
  <c r="B4904"/>
  <c r="B4903"/>
  <c r="B4902"/>
  <c r="B4901"/>
  <c r="B4900"/>
  <c r="B4899"/>
  <c r="B4898"/>
  <c r="B4897"/>
  <c r="B4896"/>
  <c r="B4895"/>
  <c r="B4894"/>
  <c r="B4893"/>
  <c r="B4892"/>
  <c r="B4891"/>
  <c r="B4890"/>
  <c r="B4889"/>
  <c r="B4888"/>
  <c r="B4887"/>
  <c r="B4886"/>
  <c r="B4885"/>
  <c r="B4884"/>
  <c r="B4883"/>
  <c r="B4882"/>
  <c r="B4881"/>
  <c r="B4880"/>
  <c r="B4879"/>
  <c r="B4878"/>
  <c r="B4877"/>
  <c r="B4876"/>
  <c r="B4875"/>
  <c r="B4874"/>
  <c r="B4873"/>
  <c r="B4872"/>
  <c r="B4871"/>
  <c r="B4870"/>
  <c r="B4869"/>
  <c r="B4868"/>
  <c r="B4867"/>
  <c r="B4866"/>
  <c r="B4865"/>
  <c r="B4864"/>
  <c r="B4863"/>
  <c r="B4862"/>
  <c r="B4861"/>
  <c r="B4860"/>
  <c r="B4859"/>
  <c r="B4858"/>
  <c r="B4857"/>
  <c r="B4856"/>
  <c r="B4855"/>
  <c r="B4854"/>
  <c r="B4853"/>
  <c r="B4852"/>
  <c r="B4851"/>
  <c r="B4850"/>
  <c r="B4849"/>
  <c r="B4848"/>
  <c r="B4847"/>
  <c r="B4846"/>
  <c r="B4845"/>
  <c r="B4844"/>
  <c r="B4843"/>
  <c r="B4842"/>
  <c r="B4841"/>
  <c r="B4840"/>
  <c r="B4839"/>
  <c r="B4838"/>
  <c r="B4837"/>
  <c r="B4836"/>
  <c r="B4835"/>
  <c r="B4834"/>
  <c r="B4833"/>
  <c r="B4832"/>
  <c r="B4831"/>
  <c r="B4830"/>
  <c r="B4829"/>
  <c r="B4828"/>
  <c r="B4827"/>
  <c r="B4826"/>
  <c r="B4825"/>
  <c r="B4824"/>
  <c r="B4823"/>
  <c r="B4822"/>
  <c r="B4821"/>
  <c r="B4820"/>
  <c r="B4819"/>
  <c r="B4818"/>
  <c r="B4817"/>
  <c r="B4816"/>
  <c r="B4815"/>
  <c r="B4814"/>
  <c r="B4813"/>
  <c r="B4812"/>
  <c r="B4811"/>
  <c r="B4810"/>
  <c r="B4809"/>
  <c r="B4808"/>
  <c r="B4807"/>
  <c r="B4806"/>
  <c r="B4805"/>
  <c r="B4804"/>
  <c r="B4803"/>
  <c r="B4802"/>
  <c r="B4801"/>
  <c r="B4800"/>
  <c r="B4799"/>
  <c r="B4798"/>
  <c r="B4797"/>
  <c r="B4796"/>
  <c r="B4795"/>
  <c r="B4794"/>
  <c r="B4793"/>
  <c r="B4792"/>
  <c r="B4791"/>
  <c r="B4790"/>
  <c r="B4789"/>
  <c r="B4788"/>
  <c r="B4787"/>
  <c r="B4786"/>
  <c r="B4785"/>
  <c r="B4784"/>
  <c r="B4783"/>
  <c r="B4782"/>
  <c r="B4781"/>
  <c r="B4780"/>
  <c r="B4779"/>
  <c r="B4778"/>
  <c r="B4777"/>
  <c r="B4776"/>
  <c r="B4775"/>
  <c r="B4774"/>
  <c r="B4773"/>
  <c r="B4772"/>
  <c r="B4771"/>
  <c r="B4770"/>
  <c r="B4769"/>
  <c r="B4768"/>
  <c r="B4767"/>
  <c r="B4766"/>
  <c r="B4765"/>
  <c r="B4764"/>
  <c r="B4763"/>
  <c r="B4762"/>
  <c r="B4761"/>
  <c r="B4760"/>
  <c r="B4759"/>
  <c r="B4758"/>
  <c r="B4757"/>
  <c r="B4756"/>
  <c r="B4755"/>
  <c r="B4754"/>
  <c r="B4753"/>
  <c r="B4752"/>
  <c r="B4751"/>
  <c r="B4750"/>
  <c r="B4749"/>
  <c r="B4748"/>
  <c r="B4747"/>
  <c r="B4746"/>
  <c r="B4745"/>
  <c r="B4744"/>
  <c r="B4743"/>
  <c r="B4742"/>
  <c r="B4741"/>
  <c r="B4740"/>
  <c r="B4739"/>
  <c r="B4738"/>
  <c r="B4737"/>
  <c r="B4736"/>
  <c r="B4735"/>
  <c r="B4734"/>
  <c r="B4733"/>
  <c r="B4732"/>
  <c r="B4731"/>
  <c r="B4730"/>
  <c r="B4729"/>
  <c r="B4728"/>
  <c r="B4727"/>
  <c r="B4726"/>
  <c r="B4725"/>
  <c r="B4724"/>
  <c r="B4723"/>
  <c r="B4722"/>
  <c r="B4721"/>
  <c r="B4720"/>
  <c r="B4719"/>
  <c r="B4718"/>
  <c r="B4717"/>
  <c r="B4716"/>
  <c r="B4715"/>
  <c r="B4714"/>
  <c r="B4713"/>
  <c r="B4712"/>
  <c r="B4711"/>
  <c r="B4710"/>
  <c r="B4709"/>
  <c r="B4708"/>
  <c r="B4707"/>
  <c r="B4706"/>
  <c r="B4705"/>
  <c r="B4704"/>
  <c r="B4703"/>
  <c r="B4702"/>
  <c r="B4701"/>
  <c r="B4700"/>
  <c r="B4699"/>
  <c r="B4698"/>
  <c r="B4697"/>
  <c r="B4696"/>
  <c r="B4695"/>
  <c r="B4694"/>
  <c r="B4693"/>
  <c r="B4692"/>
  <c r="B4691"/>
  <c r="B4690"/>
  <c r="B4689"/>
  <c r="B4688"/>
  <c r="B4687"/>
  <c r="B4686"/>
  <c r="B4685"/>
  <c r="B4684"/>
  <c r="B4683"/>
  <c r="B4682"/>
  <c r="B4681"/>
  <c r="B4680"/>
  <c r="B4679"/>
  <c r="B4678"/>
  <c r="B4677"/>
  <c r="B4676"/>
  <c r="B4675"/>
  <c r="B4674"/>
  <c r="B4673"/>
  <c r="B4672"/>
  <c r="B4671"/>
  <c r="B4670"/>
  <c r="B4669"/>
  <c r="B4668"/>
  <c r="B4667"/>
  <c r="B4666"/>
  <c r="B4665"/>
  <c r="B4664"/>
  <c r="B4663"/>
  <c r="B4662"/>
  <c r="B4661"/>
  <c r="B4660"/>
  <c r="B4659"/>
  <c r="B4658"/>
  <c r="B4657"/>
  <c r="B4656"/>
  <c r="B4655"/>
  <c r="B4654"/>
  <c r="B4653"/>
  <c r="B4652"/>
  <c r="B4651"/>
  <c r="B4650"/>
  <c r="B4649"/>
  <c r="B4648"/>
  <c r="B4647"/>
  <c r="B4646"/>
  <c r="B4645"/>
  <c r="B4644"/>
  <c r="B4643"/>
  <c r="B4642"/>
  <c r="B4641"/>
  <c r="B4640"/>
  <c r="B4639"/>
  <c r="B4638"/>
  <c r="B4637"/>
  <c r="B4636"/>
  <c r="B4635"/>
  <c r="B4634"/>
  <c r="B4633"/>
  <c r="B4632"/>
  <c r="B4631"/>
  <c r="B4630"/>
  <c r="B4629"/>
  <c r="B4628"/>
  <c r="B4627"/>
  <c r="B4626"/>
  <c r="B4625"/>
  <c r="B4624"/>
  <c r="B4623"/>
  <c r="B4622"/>
  <c r="B4621"/>
  <c r="B4620"/>
  <c r="B4619"/>
  <c r="B4618"/>
  <c r="B4617"/>
  <c r="B4616"/>
  <c r="B4615"/>
  <c r="B4614"/>
  <c r="B4613"/>
  <c r="B4612"/>
  <c r="B4611"/>
  <c r="B4610"/>
  <c r="B4609"/>
  <c r="B4608"/>
  <c r="B4607"/>
  <c r="B4606"/>
  <c r="B4605"/>
  <c r="B4604"/>
  <c r="B4603"/>
  <c r="B4602"/>
  <c r="B4601"/>
  <c r="B4600"/>
  <c r="B4599"/>
  <c r="B4598"/>
  <c r="B4597"/>
  <c r="B4596"/>
  <c r="B4595"/>
  <c r="B4594"/>
  <c r="B4593"/>
  <c r="B4592"/>
  <c r="B4591"/>
  <c r="B4590"/>
  <c r="B4589"/>
  <c r="B4588"/>
  <c r="B4587"/>
  <c r="B4586"/>
  <c r="B4585"/>
  <c r="B4584"/>
  <c r="B4583"/>
  <c r="B4582"/>
  <c r="B4581"/>
  <c r="B4580"/>
  <c r="B4579"/>
  <c r="B4578"/>
  <c r="B4577"/>
  <c r="B4576"/>
  <c r="B4575"/>
  <c r="B4574"/>
  <c r="B4573"/>
  <c r="B4572"/>
  <c r="B4571"/>
  <c r="B4570"/>
  <c r="B4569"/>
  <c r="B4568"/>
  <c r="B4567"/>
  <c r="B4566"/>
  <c r="B4565"/>
  <c r="B4564"/>
  <c r="B4563"/>
  <c r="B4562"/>
  <c r="B4561"/>
  <c r="B4560"/>
  <c r="B4559"/>
  <c r="B4558"/>
  <c r="B4557"/>
  <c r="B4556"/>
  <c r="B4555"/>
  <c r="B4554"/>
  <c r="B4553"/>
  <c r="B4552"/>
  <c r="B4551"/>
  <c r="B4550"/>
  <c r="B4549"/>
  <c r="B4548"/>
  <c r="B4547"/>
  <c r="B4546"/>
  <c r="B4545"/>
  <c r="B4544"/>
  <c r="B4543"/>
  <c r="B4542"/>
  <c r="B4541"/>
  <c r="B4540"/>
  <c r="B4539"/>
  <c r="B4538"/>
  <c r="B4537"/>
  <c r="B4536"/>
  <c r="B4535"/>
  <c r="B4534"/>
  <c r="B4533"/>
  <c r="B4532"/>
  <c r="B4531"/>
  <c r="B4530"/>
  <c r="B4529"/>
  <c r="B4528"/>
  <c r="B4527"/>
  <c r="B4526"/>
  <c r="B4525"/>
  <c r="B4524"/>
  <c r="B4523"/>
  <c r="B4522"/>
  <c r="B4521"/>
  <c r="B4520"/>
  <c r="B4519"/>
  <c r="B4518"/>
  <c r="B4517"/>
  <c r="B4516"/>
  <c r="B4515"/>
  <c r="B4514"/>
  <c r="B4513"/>
  <c r="B4512"/>
  <c r="B4511"/>
  <c r="B4510"/>
  <c r="B4509"/>
  <c r="B4508"/>
  <c r="B4507"/>
  <c r="B4506"/>
  <c r="B4505"/>
  <c r="B4504"/>
  <c r="B4503"/>
  <c r="B4502"/>
  <c r="B4501"/>
  <c r="B4500"/>
  <c r="B4499"/>
  <c r="B4498"/>
  <c r="B4497"/>
  <c r="B4496"/>
  <c r="B4495"/>
  <c r="B4494"/>
  <c r="B4493"/>
  <c r="B4492"/>
  <c r="B4491"/>
  <c r="B4490"/>
  <c r="B4489"/>
  <c r="B4488"/>
  <c r="B4487"/>
  <c r="B4486"/>
  <c r="B4485"/>
  <c r="B4484"/>
  <c r="B4483"/>
  <c r="B4482"/>
  <c r="B4481"/>
  <c r="B4480"/>
  <c r="B4479"/>
  <c r="B4478"/>
  <c r="B4477"/>
  <c r="B4476"/>
  <c r="B4475"/>
  <c r="B4474"/>
  <c r="B4473"/>
  <c r="B4472"/>
  <c r="B4471"/>
  <c r="B4470"/>
  <c r="B4469"/>
  <c r="B4468"/>
  <c r="B4467"/>
  <c r="B4466"/>
  <c r="B4465"/>
  <c r="B4464"/>
  <c r="B4463"/>
  <c r="B4462"/>
  <c r="B4461"/>
  <c r="B4460"/>
  <c r="B4459"/>
  <c r="B4458"/>
  <c r="B4457"/>
  <c r="B4456"/>
  <c r="B4455"/>
  <c r="B4454"/>
  <c r="B4453"/>
  <c r="B4452"/>
  <c r="B4451"/>
  <c r="B4450"/>
  <c r="B4449"/>
  <c r="B4448"/>
  <c r="B4447"/>
  <c r="B4446"/>
  <c r="B4445"/>
  <c r="B4444"/>
  <c r="B4443"/>
  <c r="B4442"/>
  <c r="B4441"/>
  <c r="B4440"/>
  <c r="B4439"/>
  <c r="B4438"/>
  <c r="B4437"/>
  <c r="B4436"/>
  <c r="B4435"/>
  <c r="B4434"/>
  <c r="B4433"/>
  <c r="B4432"/>
  <c r="B4431"/>
  <c r="B4430"/>
  <c r="B4429"/>
  <c r="B4428"/>
  <c r="B4427"/>
  <c r="B4426"/>
  <c r="B4425"/>
  <c r="B4424"/>
  <c r="B4423"/>
  <c r="B4422"/>
  <c r="B4421"/>
  <c r="B4420"/>
  <c r="B4419"/>
  <c r="B4418"/>
  <c r="B4417"/>
  <c r="B4416"/>
  <c r="B4415"/>
  <c r="B4414"/>
  <c r="B4413"/>
  <c r="B4412"/>
  <c r="B4411"/>
  <c r="B4410"/>
  <c r="B4409"/>
  <c r="B4408"/>
  <c r="B4407"/>
  <c r="B4406"/>
  <c r="B4405"/>
  <c r="B4404"/>
  <c r="B4403"/>
  <c r="B4402"/>
  <c r="B4401"/>
  <c r="B4400"/>
  <c r="B4399"/>
  <c r="B4398"/>
  <c r="B4397"/>
  <c r="B4396"/>
  <c r="B4395"/>
  <c r="B4394"/>
  <c r="B4393"/>
  <c r="B4392"/>
  <c r="B4391"/>
  <c r="B4390"/>
  <c r="B4389"/>
  <c r="B4388"/>
  <c r="B4387"/>
  <c r="B4386"/>
  <c r="B4385"/>
  <c r="B4384"/>
  <c r="B4383"/>
  <c r="B4382"/>
  <c r="B4381"/>
  <c r="B4380"/>
  <c r="B4379"/>
  <c r="B4378"/>
  <c r="B4377"/>
  <c r="B4376"/>
  <c r="B4375"/>
  <c r="B4374"/>
  <c r="B4373"/>
  <c r="B4372"/>
  <c r="B4371"/>
  <c r="B4370"/>
  <c r="B4369"/>
  <c r="B4368"/>
  <c r="B4367"/>
  <c r="B4366"/>
  <c r="B4365"/>
  <c r="B4364"/>
  <c r="B4363"/>
  <c r="B4362"/>
  <c r="B4361"/>
  <c r="B4360"/>
  <c r="B4359"/>
  <c r="B4358"/>
  <c r="B4357"/>
  <c r="B4356"/>
  <c r="B4355"/>
  <c r="B4354"/>
  <c r="B4353"/>
  <c r="B4352"/>
  <c r="B4351"/>
  <c r="B4350"/>
  <c r="B4349"/>
  <c r="B4348"/>
  <c r="B4347"/>
  <c r="B4346"/>
  <c r="B4345"/>
  <c r="B4344"/>
  <c r="B4343"/>
  <c r="B4342"/>
  <c r="B4341"/>
  <c r="B4340"/>
  <c r="B4339"/>
  <c r="B4338"/>
  <c r="B4337"/>
  <c r="B4336"/>
  <c r="B4335"/>
  <c r="B4334"/>
  <c r="B4333"/>
  <c r="B4332"/>
  <c r="B4331"/>
  <c r="B4330"/>
  <c r="B4329"/>
  <c r="B4328"/>
  <c r="B4327"/>
  <c r="B4326"/>
  <c r="B4325"/>
  <c r="B4324"/>
  <c r="B4323"/>
  <c r="B4322"/>
  <c r="B4321"/>
  <c r="B4320"/>
  <c r="B4319"/>
  <c r="B4318"/>
  <c r="B4317"/>
  <c r="B4316"/>
  <c r="B4315"/>
  <c r="B4314"/>
  <c r="B4313"/>
  <c r="B4312"/>
  <c r="B4311"/>
  <c r="B4310"/>
  <c r="B4309"/>
  <c r="B4308"/>
  <c r="B4307"/>
  <c r="B4306"/>
  <c r="B4305"/>
  <c r="B4304"/>
  <c r="B4303"/>
  <c r="B4302"/>
  <c r="B4301"/>
  <c r="B4300"/>
  <c r="B4299"/>
  <c r="B4298"/>
  <c r="B4297"/>
  <c r="B4296"/>
  <c r="B4295"/>
  <c r="B4294"/>
  <c r="B4293"/>
  <c r="B4292"/>
  <c r="B4291"/>
  <c r="B4290"/>
  <c r="B4289"/>
  <c r="B4288"/>
  <c r="B4287"/>
  <c r="B4286"/>
  <c r="B4285"/>
  <c r="B4284"/>
  <c r="B4283"/>
  <c r="B4282"/>
  <c r="B4281"/>
  <c r="B4280"/>
  <c r="B4279"/>
  <c r="B4278"/>
  <c r="B4277"/>
  <c r="B4276"/>
  <c r="B4275"/>
  <c r="B4274"/>
  <c r="B4273"/>
  <c r="B4272"/>
  <c r="B4271"/>
  <c r="B4270"/>
  <c r="B4269"/>
  <c r="B4268"/>
  <c r="B4267"/>
  <c r="B4266"/>
  <c r="B4265"/>
  <c r="B4264"/>
  <c r="B4263"/>
  <c r="B4262"/>
  <c r="B4261"/>
  <c r="B4260"/>
  <c r="B4259"/>
  <c r="B4258"/>
  <c r="B4257"/>
  <c r="B4256"/>
  <c r="B4255"/>
  <c r="B4254"/>
  <c r="B4253"/>
  <c r="B4252"/>
  <c r="B4251"/>
  <c r="B4250"/>
  <c r="B4249"/>
  <c r="B4248"/>
  <c r="B4247"/>
  <c r="B4246"/>
  <c r="B4245"/>
  <c r="B4244"/>
  <c r="B4243"/>
  <c r="B4242"/>
  <c r="B4241"/>
  <c r="B4240"/>
  <c r="B4239"/>
  <c r="B4238"/>
  <c r="B4237"/>
  <c r="B4236"/>
  <c r="B4235"/>
  <c r="B4234"/>
  <c r="B4233"/>
  <c r="B4232"/>
  <c r="B4231"/>
  <c r="B4230"/>
  <c r="B4229"/>
  <c r="B4228"/>
  <c r="B4227"/>
  <c r="B4226"/>
  <c r="B4225"/>
  <c r="B4224"/>
  <c r="B4223"/>
  <c r="B4222"/>
  <c r="B4221"/>
  <c r="B4220"/>
  <c r="B4219"/>
  <c r="B4218"/>
  <c r="B4217"/>
  <c r="B4216"/>
  <c r="B4215"/>
  <c r="B4214"/>
  <c r="B4213"/>
  <c r="B4212"/>
  <c r="B4211"/>
  <c r="B4210"/>
  <c r="B4209"/>
  <c r="B4208"/>
  <c r="B4207"/>
  <c r="B4206"/>
  <c r="B4205"/>
  <c r="B4204"/>
  <c r="B4203"/>
  <c r="B4202"/>
  <c r="B4201"/>
  <c r="B4200"/>
  <c r="B4199"/>
  <c r="B4198"/>
  <c r="B4197"/>
  <c r="B4196"/>
  <c r="B4195"/>
  <c r="B4194"/>
  <c r="B4193"/>
  <c r="B4192"/>
  <c r="B4191"/>
  <c r="B4190"/>
  <c r="B4189"/>
  <c r="B4188"/>
  <c r="B4187"/>
  <c r="B4186"/>
  <c r="B4185"/>
  <c r="B4184"/>
  <c r="B4183"/>
  <c r="B4182"/>
  <c r="B4181"/>
  <c r="B4180"/>
  <c r="B4179"/>
  <c r="B4178"/>
  <c r="B4177"/>
  <c r="B4176"/>
  <c r="B4175"/>
  <c r="B4174"/>
  <c r="B4173"/>
  <c r="B4172"/>
  <c r="B4171"/>
  <c r="B4170"/>
  <c r="B4169"/>
  <c r="B4168"/>
  <c r="B4167"/>
  <c r="B4166"/>
  <c r="B4165"/>
  <c r="B4164"/>
  <c r="B4163"/>
  <c r="B4162"/>
  <c r="B4161"/>
  <c r="B4160"/>
  <c r="B4159"/>
  <c r="B4158"/>
  <c r="B4157"/>
  <c r="B4156"/>
  <c r="B4155"/>
  <c r="B4154"/>
  <c r="B4153"/>
  <c r="B4152"/>
  <c r="B4151"/>
  <c r="B4150"/>
  <c r="B4149"/>
  <c r="B4148"/>
  <c r="B4147"/>
  <c r="B4146"/>
  <c r="B4145"/>
  <c r="B4144"/>
  <c r="B4143"/>
  <c r="B4142"/>
  <c r="B4141"/>
  <c r="B4140"/>
  <c r="B4139"/>
  <c r="B4138"/>
  <c r="B4137"/>
  <c r="B4136"/>
  <c r="B4135"/>
  <c r="B4134"/>
  <c r="B4133"/>
  <c r="B4132"/>
  <c r="B4131"/>
  <c r="B4130"/>
  <c r="B4129"/>
  <c r="B4128"/>
  <c r="B4127"/>
  <c r="B4126"/>
  <c r="B4125"/>
  <c r="B4124"/>
  <c r="B4123"/>
  <c r="B4122"/>
  <c r="B4121"/>
  <c r="B4120"/>
  <c r="B4119"/>
  <c r="B4118"/>
  <c r="B4117"/>
  <c r="B4116"/>
  <c r="B4115"/>
  <c r="B4114"/>
  <c r="B4113"/>
  <c r="B4112"/>
  <c r="B4111"/>
  <c r="B4110"/>
  <c r="B4109"/>
  <c r="B4108"/>
  <c r="B4107"/>
  <c r="B4106"/>
  <c r="B4105"/>
  <c r="B4104"/>
  <c r="B4103"/>
  <c r="B4102"/>
  <c r="B4101"/>
  <c r="B4100"/>
  <c r="B4099"/>
  <c r="B4098"/>
  <c r="B4097"/>
  <c r="B4096"/>
  <c r="B4095"/>
  <c r="B4094"/>
  <c r="B4093"/>
  <c r="B4092"/>
  <c r="B4091"/>
  <c r="B4090"/>
  <c r="B4089"/>
  <c r="B4088"/>
  <c r="B4087"/>
  <c r="B4086"/>
  <c r="B4085"/>
  <c r="B4084"/>
  <c r="B4083"/>
  <c r="B4082"/>
  <c r="B4081"/>
  <c r="B4080"/>
  <c r="B4079"/>
  <c r="B4078"/>
  <c r="B4077"/>
  <c r="B4076"/>
  <c r="B4075"/>
  <c r="B4074"/>
  <c r="B4073"/>
  <c r="B4072"/>
  <c r="B4071"/>
  <c r="B4070"/>
  <c r="B4069"/>
  <c r="B4068"/>
  <c r="B4067"/>
  <c r="B4066"/>
  <c r="B4065"/>
  <c r="B4064"/>
  <c r="B4063"/>
  <c r="B4062"/>
  <c r="B4061"/>
  <c r="B4060"/>
  <c r="B4059"/>
  <c r="B4058"/>
  <c r="B4057"/>
  <c r="B4056"/>
  <c r="B4055"/>
  <c r="B4054"/>
  <c r="B4053"/>
  <c r="B4052"/>
  <c r="B4051"/>
  <c r="B4050"/>
  <c r="B4049"/>
  <c r="B4048"/>
  <c r="B4047"/>
  <c r="B4046"/>
  <c r="B4045"/>
  <c r="B4044"/>
  <c r="B4043"/>
  <c r="B4042"/>
  <c r="B4041"/>
  <c r="B4040"/>
  <c r="B4039"/>
  <c r="B4038"/>
  <c r="B4037"/>
  <c r="B4036"/>
  <c r="B4035"/>
  <c r="B4034"/>
  <c r="B4033"/>
  <c r="B4032"/>
  <c r="B4031"/>
  <c r="B4030"/>
  <c r="B4029"/>
  <c r="B4028"/>
  <c r="B4027"/>
  <c r="B4026"/>
  <c r="B4025"/>
  <c r="B4024"/>
  <c r="B4023"/>
  <c r="B4022"/>
  <c r="B4021"/>
  <c r="B4020"/>
  <c r="B4019"/>
  <c r="B4018"/>
  <c r="B4017"/>
  <c r="B4016"/>
  <c r="B4015"/>
  <c r="B4014"/>
  <c r="B4013"/>
  <c r="B4012"/>
  <c r="B4011"/>
  <c r="B4010"/>
  <c r="B4009"/>
  <c r="B4008"/>
  <c r="B4007"/>
  <c r="B4006"/>
  <c r="B4005"/>
  <c r="B4004"/>
  <c r="B4003"/>
  <c r="B4002"/>
  <c r="B4001"/>
  <c r="B4000"/>
  <c r="B3999"/>
  <c r="B3998"/>
  <c r="B3997"/>
  <c r="B3996"/>
  <c r="B3995"/>
  <c r="B3994"/>
  <c r="B3993"/>
  <c r="B3992"/>
  <c r="B3991"/>
  <c r="B3990"/>
  <c r="B3989"/>
  <c r="B3988"/>
  <c r="B3987"/>
  <c r="B3986"/>
  <c r="B3985"/>
  <c r="B3984"/>
  <c r="B3983"/>
  <c r="B3982"/>
  <c r="B3981"/>
  <c r="B3980"/>
  <c r="B3979"/>
  <c r="B3978"/>
  <c r="B3977"/>
  <c r="B3976"/>
  <c r="B3975"/>
  <c r="B3974"/>
  <c r="B3973"/>
  <c r="B3972"/>
  <c r="B3971"/>
  <c r="B3970"/>
  <c r="B3969"/>
  <c r="B3968"/>
  <c r="B3967"/>
  <c r="B3966"/>
  <c r="B3965"/>
  <c r="B3964"/>
  <c r="B3963"/>
  <c r="B3962"/>
  <c r="B3961"/>
  <c r="B3960"/>
  <c r="B3959"/>
  <c r="B3958"/>
  <c r="B3957"/>
  <c r="B3956"/>
  <c r="B3955"/>
  <c r="B3954"/>
  <c r="B3953"/>
  <c r="B3952"/>
  <c r="B3951"/>
  <c r="B3950"/>
  <c r="B3949"/>
  <c r="B3948"/>
  <c r="B3947"/>
  <c r="B3946"/>
  <c r="B3945"/>
  <c r="B3944"/>
  <c r="B3943"/>
  <c r="B3942"/>
  <c r="B3941"/>
  <c r="B3940"/>
  <c r="B3939"/>
  <c r="B3938"/>
  <c r="B3937"/>
  <c r="B3936"/>
  <c r="B3935"/>
  <c r="B3934"/>
  <c r="B3933"/>
  <c r="B3932"/>
  <c r="B3931"/>
  <c r="B3930"/>
  <c r="B3929"/>
  <c r="B3928"/>
  <c r="B3927"/>
  <c r="B3926"/>
  <c r="B3925"/>
  <c r="B3924"/>
  <c r="B3923"/>
  <c r="B3922"/>
  <c r="B3921"/>
  <c r="B3920"/>
  <c r="B3919"/>
  <c r="B3918"/>
  <c r="B3917"/>
  <c r="B3916"/>
  <c r="B3915"/>
  <c r="B3914"/>
  <c r="B3913"/>
  <c r="B3912"/>
  <c r="B3911"/>
  <c r="B3910"/>
  <c r="B3909"/>
  <c r="B3908"/>
  <c r="B3907"/>
  <c r="B3906"/>
  <c r="B3905"/>
  <c r="B3904"/>
  <c r="B3903"/>
  <c r="B3902"/>
  <c r="B3901"/>
  <c r="B3900"/>
  <c r="B3899"/>
  <c r="B3898"/>
  <c r="B3897"/>
  <c r="B3896"/>
  <c r="B3895"/>
  <c r="B3894"/>
  <c r="B3893"/>
  <c r="B3892"/>
  <c r="B3891"/>
  <c r="B3890"/>
  <c r="B3889"/>
  <c r="B3888"/>
  <c r="B3887"/>
  <c r="B3886"/>
  <c r="B3885"/>
  <c r="B3884"/>
  <c r="B3883"/>
  <c r="B3882"/>
  <c r="B3881"/>
  <c r="B3880"/>
  <c r="B3879"/>
  <c r="B3878"/>
  <c r="B3877"/>
  <c r="B3876"/>
  <c r="B3875"/>
  <c r="B3874"/>
  <c r="B3873"/>
  <c r="B3872"/>
  <c r="B3871"/>
  <c r="B3870"/>
  <c r="B3869"/>
  <c r="B3868"/>
  <c r="B3867"/>
  <c r="B3866"/>
  <c r="B3865"/>
  <c r="B3864"/>
  <c r="B3863"/>
  <c r="B3862"/>
  <c r="B3861"/>
  <c r="B3860"/>
  <c r="B3859"/>
  <c r="B3858"/>
  <c r="B3857"/>
  <c r="B3856"/>
  <c r="B3855"/>
  <c r="B3854"/>
  <c r="B3853"/>
  <c r="B3852"/>
  <c r="B3851"/>
  <c r="B3850"/>
  <c r="B3849"/>
  <c r="B3848"/>
  <c r="B3847"/>
  <c r="B3846"/>
  <c r="B3845"/>
  <c r="B3844"/>
  <c r="B3843"/>
  <c r="B3842"/>
  <c r="B3841"/>
  <c r="B3840"/>
  <c r="B3839"/>
  <c r="B3838"/>
  <c r="B3837"/>
  <c r="B3836"/>
  <c r="B3835"/>
  <c r="B3834"/>
  <c r="B3833"/>
  <c r="B3832"/>
  <c r="B3831"/>
  <c r="B3830"/>
  <c r="B3829"/>
  <c r="B3828"/>
  <c r="B3827"/>
  <c r="B3826"/>
  <c r="B3825"/>
  <c r="B3824"/>
  <c r="B3823"/>
  <c r="B3822"/>
  <c r="B3821"/>
  <c r="B3820"/>
  <c r="B3819"/>
  <c r="B3818"/>
  <c r="B3817"/>
  <c r="B3816"/>
  <c r="B3815"/>
  <c r="B3814"/>
  <c r="B3813"/>
  <c r="B3812"/>
  <c r="B3811"/>
  <c r="B3810"/>
  <c r="B3809"/>
  <c r="B3808"/>
  <c r="B3807"/>
  <c r="B3806"/>
  <c r="B3805"/>
  <c r="B3804"/>
  <c r="B3803"/>
  <c r="B3802"/>
  <c r="B3801"/>
  <c r="B3800"/>
  <c r="B3799"/>
  <c r="B3798"/>
  <c r="B3797"/>
  <c r="B3796"/>
  <c r="B3795"/>
  <c r="B3794"/>
  <c r="B3793"/>
  <c r="B3792"/>
  <c r="B3791"/>
  <c r="B3790"/>
  <c r="B3789"/>
  <c r="B3788"/>
  <c r="B3787"/>
  <c r="B3786"/>
  <c r="B3785"/>
  <c r="B3784"/>
  <c r="B3783"/>
  <c r="B3782"/>
  <c r="B3781"/>
  <c r="B3780"/>
  <c r="B3779"/>
  <c r="B3778"/>
  <c r="B3777"/>
  <c r="B3776"/>
  <c r="B3775"/>
  <c r="B3774"/>
  <c r="B3773"/>
  <c r="B3772"/>
  <c r="B3771"/>
  <c r="B3770"/>
  <c r="B3769"/>
  <c r="B3768"/>
  <c r="B3767"/>
  <c r="B3766"/>
  <c r="B3765"/>
  <c r="B3764"/>
  <c r="B3763"/>
  <c r="B3762"/>
  <c r="B3761"/>
  <c r="B3760"/>
  <c r="B3759"/>
  <c r="B3758"/>
  <c r="B3757"/>
  <c r="B3756"/>
  <c r="B3755"/>
  <c r="B3754"/>
  <c r="B3753"/>
  <c r="B3752"/>
  <c r="B3751"/>
  <c r="B3750"/>
  <c r="B3749"/>
  <c r="B3748"/>
  <c r="B3747"/>
  <c r="B3746"/>
  <c r="B3745"/>
  <c r="B3744"/>
  <c r="B3743"/>
  <c r="B3742"/>
  <c r="B3741"/>
  <c r="B3740"/>
  <c r="B3739"/>
  <c r="B3738"/>
  <c r="B3737"/>
  <c r="B3736"/>
  <c r="B3735"/>
  <c r="B3734"/>
  <c r="B3733"/>
  <c r="B3732"/>
  <c r="B3731"/>
  <c r="B3730"/>
  <c r="B3729"/>
  <c r="B3728"/>
  <c r="B3727"/>
  <c r="B3726"/>
  <c r="B3725"/>
  <c r="B3724"/>
  <c r="B3723"/>
  <c r="B3722"/>
  <c r="B3721"/>
  <c r="B3720"/>
  <c r="B3719"/>
  <c r="B3718"/>
  <c r="B3717"/>
  <c r="B3716"/>
  <c r="B3715"/>
  <c r="B3714"/>
  <c r="B3713"/>
  <c r="B3712"/>
  <c r="B3711"/>
  <c r="B3710"/>
  <c r="B3709"/>
  <c r="B3708"/>
  <c r="B3707"/>
  <c r="B3706"/>
  <c r="B3705"/>
  <c r="B3704"/>
  <c r="B3703"/>
  <c r="B3702"/>
  <c r="B3701"/>
  <c r="B3700"/>
  <c r="B3699"/>
  <c r="B3698"/>
  <c r="B3697"/>
  <c r="B3696"/>
  <c r="B3695"/>
  <c r="B3694"/>
  <c r="B3693"/>
  <c r="B3692"/>
  <c r="B3691"/>
  <c r="B3690"/>
  <c r="B3689"/>
  <c r="B3688"/>
  <c r="B3687"/>
  <c r="B3686"/>
  <c r="B3685"/>
  <c r="B3684"/>
  <c r="B3683"/>
  <c r="B3682"/>
  <c r="B3681"/>
  <c r="B3680"/>
  <c r="B3679"/>
  <c r="B3678"/>
  <c r="B3677"/>
  <c r="B3676"/>
  <c r="B3675"/>
  <c r="B3674"/>
  <c r="B3673"/>
  <c r="B3672"/>
  <c r="B3671"/>
  <c r="B3670"/>
  <c r="B3669"/>
  <c r="B3668"/>
  <c r="B3667"/>
  <c r="B3666"/>
  <c r="B3665"/>
  <c r="B3664"/>
  <c r="B3663"/>
  <c r="B3662"/>
  <c r="B3661"/>
  <c r="B3660"/>
  <c r="B3659"/>
  <c r="B3658"/>
  <c r="B3657"/>
  <c r="B3656"/>
  <c r="B3655"/>
  <c r="B3654"/>
  <c r="B3653"/>
  <c r="B3652"/>
  <c r="B3651"/>
  <c r="B3650"/>
  <c r="B3649"/>
  <c r="B3648"/>
  <c r="B3647"/>
  <c r="B3646"/>
  <c r="B3645"/>
  <c r="B3644"/>
  <c r="B3643"/>
  <c r="B3642"/>
  <c r="B3641"/>
  <c r="B3640"/>
  <c r="B3639"/>
  <c r="B3638"/>
  <c r="B3637"/>
  <c r="B3636"/>
  <c r="B3635"/>
  <c r="B3634"/>
  <c r="B3633"/>
  <c r="B3632"/>
  <c r="B3631"/>
  <c r="B3630"/>
  <c r="B3629"/>
  <c r="B3628"/>
  <c r="B3627"/>
  <c r="B3626"/>
  <c r="B3625"/>
  <c r="B3624"/>
  <c r="B3623"/>
  <c r="B3622"/>
  <c r="B3621"/>
  <c r="B3620"/>
  <c r="B3619"/>
  <c r="B3618"/>
  <c r="B3617"/>
  <c r="B3616"/>
  <c r="B3615"/>
  <c r="B3614"/>
  <c r="B3613"/>
  <c r="B3612"/>
  <c r="B3611"/>
  <c r="B3610"/>
  <c r="B3609"/>
  <c r="B3608"/>
  <c r="B3607"/>
  <c r="B3606"/>
  <c r="B3605"/>
  <c r="B3604"/>
  <c r="B3603"/>
  <c r="B3602"/>
  <c r="B3601"/>
  <c r="B3600"/>
  <c r="B3599"/>
  <c r="B3598"/>
  <c r="B3597"/>
  <c r="B3596"/>
  <c r="B3595"/>
  <c r="B3594"/>
  <c r="B3593"/>
  <c r="B3592"/>
  <c r="B3591"/>
  <c r="B3590"/>
  <c r="B3589"/>
  <c r="B3588"/>
  <c r="B3587"/>
  <c r="B3586"/>
  <c r="B3585"/>
  <c r="B3584"/>
  <c r="B3583"/>
  <c r="B3582"/>
  <c r="B3581"/>
  <c r="B3580"/>
  <c r="B3579"/>
  <c r="B3578"/>
  <c r="B3577"/>
  <c r="B3576"/>
  <c r="B3575"/>
  <c r="B3574"/>
  <c r="B3573"/>
  <c r="B3572"/>
  <c r="B3571"/>
  <c r="B3570"/>
  <c r="B3569"/>
  <c r="B3568"/>
  <c r="B3567"/>
  <c r="B3566"/>
  <c r="B3565"/>
  <c r="B3564"/>
  <c r="B3563"/>
  <c r="B3562"/>
  <c r="B3561"/>
  <c r="B3560"/>
  <c r="B3559"/>
  <c r="B3558"/>
  <c r="B3557"/>
  <c r="B3556"/>
  <c r="B3555"/>
  <c r="B3554"/>
  <c r="B3553"/>
  <c r="B3552"/>
  <c r="B3551"/>
  <c r="B3550"/>
  <c r="B3549"/>
  <c r="B3548"/>
  <c r="B3547"/>
  <c r="B3546"/>
  <c r="B3545"/>
  <c r="B3544"/>
  <c r="B3543"/>
  <c r="B3542"/>
  <c r="B3541"/>
  <c r="B3540"/>
  <c r="B3539"/>
  <c r="B3538"/>
  <c r="B3537"/>
  <c r="B3536"/>
  <c r="B3535"/>
  <c r="B3534"/>
  <c r="B3533"/>
  <c r="B3532"/>
  <c r="B3531"/>
  <c r="B3530"/>
  <c r="B3529"/>
  <c r="B3528"/>
  <c r="B3527"/>
  <c r="B3526"/>
  <c r="B3525"/>
  <c r="B3524"/>
  <c r="B3523"/>
  <c r="B3522"/>
  <c r="B3521"/>
  <c r="B3520"/>
  <c r="B3519"/>
  <c r="B3518"/>
  <c r="B3517"/>
  <c r="B3516"/>
  <c r="B3515"/>
  <c r="B3514"/>
  <c r="B3513"/>
  <c r="B3512"/>
  <c r="B3511"/>
  <c r="B3510"/>
  <c r="B3509"/>
  <c r="B3508"/>
  <c r="B3507"/>
  <c r="B3506"/>
  <c r="B3505"/>
  <c r="B3504"/>
  <c r="B3503"/>
  <c r="B3502"/>
  <c r="B3501"/>
  <c r="B3500"/>
  <c r="B3499"/>
  <c r="B3498"/>
  <c r="B3497"/>
  <c r="B3496"/>
  <c r="B3495"/>
  <c r="B3494"/>
  <c r="B3493"/>
  <c r="B3492"/>
  <c r="B3491"/>
  <c r="B3490"/>
  <c r="B3489"/>
  <c r="B3488"/>
  <c r="B3487"/>
  <c r="B3486"/>
  <c r="B3485"/>
  <c r="B3484"/>
  <c r="B3483"/>
  <c r="B3482"/>
  <c r="B3481"/>
  <c r="B3480"/>
  <c r="B3479"/>
  <c r="B3478"/>
  <c r="B3477"/>
  <c r="B3476"/>
  <c r="B3475"/>
  <c r="B3474"/>
  <c r="B3473"/>
  <c r="B3472"/>
  <c r="B3471"/>
  <c r="B3470"/>
  <c r="B3469"/>
  <c r="B3468"/>
  <c r="B3467"/>
  <c r="B3466"/>
  <c r="B3465"/>
  <c r="B3464"/>
  <c r="B3463"/>
  <c r="B3462"/>
  <c r="B3461"/>
  <c r="B3460"/>
  <c r="B3459"/>
  <c r="B3458"/>
  <c r="B3457"/>
  <c r="B3456"/>
  <c r="B3455"/>
  <c r="B3454"/>
  <c r="B3453"/>
  <c r="B3452"/>
  <c r="B3451"/>
  <c r="B3450"/>
  <c r="B3449"/>
  <c r="B3448"/>
  <c r="B3447"/>
  <c r="B3446"/>
  <c r="B3445"/>
  <c r="B3444"/>
  <c r="B3443"/>
  <c r="B3442"/>
  <c r="B3441"/>
  <c r="B3440"/>
  <c r="B3439"/>
  <c r="B3438"/>
  <c r="B3437"/>
  <c r="B3436"/>
  <c r="B3435"/>
  <c r="B3434"/>
  <c r="B3433"/>
  <c r="B3432"/>
  <c r="B3431"/>
  <c r="B3430"/>
  <c r="B3429"/>
  <c r="B3428"/>
  <c r="B3427"/>
  <c r="B3426"/>
  <c r="B3425"/>
  <c r="B3424"/>
  <c r="B3423"/>
  <c r="B3422"/>
  <c r="B3421"/>
  <c r="B3420"/>
  <c r="B3419"/>
  <c r="B3418"/>
  <c r="B3417"/>
  <c r="B3416"/>
  <c r="B3415"/>
  <c r="B3414"/>
  <c r="B3413"/>
  <c r="B3412"/>
  <c r="B3411"/>
  <c r="B3410"/>
  <c r="B3409"/>
  <c r="B3408"/>
  <c r="B3407"/>
  <c r="B3406"/>
  <c r="B3405"/>
  <c r="B3404"/>
  <c r="B3403"/>
  <c r="B3402"/>
  <c r="B3401"/>
  <c r="B3400"/>
  <c r="B3399"/>
  <c r="B3398"/>
  <c r="B3397"/>
  <c r="B3396"/>
  <c r="B3395"/>
  <c r="B3394"/>
  <c r="B3393"/>
  <c r="B3392"/>
  <c r="B3391"/>
  <c r="B3390"/>
  <c r="B3389"/>
  <c r="B3388"/>
  <c r="B3387"/>
  <c r="B3386"/>
  <c r="B3385"/>
  <c r="B3384"/>
  <c r="B3383"/>
  <c r="B3382"/>
  <c r="B3381"/>
  <c r="B3380"/>
  <c r="B3379"/>
  <c r="B3378"/>
  <c r="B3377"/>
  <c r="B3376"/>
  <c r="B3375"/>
  <c r="B3374"/>
  <c r="B3373"/>
  <c r="B3372"/>
  <c r="B3371"/>
  <c r="B3370"/>
  <c r="B3369"/>
  <c r="B3368"/>
  <c r="B3367"/>
  <c r="B3366"/>
  <c r="B3365"/>
  <c r="B3364"/>
  <c r="B3363"/>
  <c r="B3362"/>
  <c r="B3361"/>
  <c r="B3360"/>
  <c r="B3359"/>
  <c r="B3358"/>
  <c r="B3357"/>
  <c r="B3356"/>
  <c r="B3355"/>
  <c r="B3354"/>
  <c r="B3353"/>
  <c r="B3352"/>
  <c r="B3351"/>
  <c r="B3350"/>
  <c r="B3349"/>
  <c r="B3348"/>
  <c r="B3347"/>
  <c r="B3346"/>
  <c r="B3345"/>
  <c r="B3344"/>
  <c r="B3343"/>
  <c r="B3342"/>
  <c r="B3341"/>
  <c r="B3340"/>
  <c r="B3339"/>
  <c r="B3338"/>
  <c r="B3337"/>
  <c r="B3336"/>
  <c r="B3335"/>
  <c r="B3334"/>
  <c r="B3333"/>
  <c r="B3332"/>
  <c r="B3331"/>
  <c r="B3330"/>
  <c r="B3329"/>
  <c r="B3328"/>
  <c r="B3327"/>
  <c r="B3326"/>
  <c r="B3325"/>
  <c r="B3324"/>
  <c r="B3323"/>
  <c r="B3322"/>
  <c r="B3321"/>
  <c r="B3320"/>
  <c r="B3319"/>
  <c r="B3318"/>
  <c r="B3317"/>
  <c r="B3316"/>
  <c r="B3315"/>
  <c r="B3314"/>
  <c r="B3313"/>
  <c r="B3312"/>
  <c r="B3311"/>
  <c r="B3310"/>
  <c r="B3309"/>
  <c r="B3308"/>
  <c r="B3307"/>
  <c r="B3306"/>
  <c r="B3305"/>
  <c r="B3304"/>
  <c r="B3303"/>
  <c r="B3302"/>
  <c r="B3301"/>
  <c r="B3300"/>
  <c r="B3299"/>
  <c r="B3298"/>
  <c r="B3297"/>
  <c r="B3296"/>
  <c r="B3295"/>
  <c r="B3294"/>
  <c r="B3293"/>
  <c r="B3292"/>
  <c r="B3291"/>
  <c r="B3290"/>
  <c r="B3289"/>
  <c r="B3288"/>
  <c r="B3287"/>
  <c r="B3286"/>
  <c r="B3285"/>
  <c r="B3284"/>
  <c r="B3283"/>
  <c r="B3282"/>
  <c r="B3281"/>
  <c r="B3280"/>
  <c r="B3279"/>
  <c r="B3278"/>
  <c r="B3277"/>
  <c r="B3276"/>
  <c r="B3275"/>
  <c r="B3274"/>
  <c r="B3273"/>
  <c r="B3272"/>
  <c r="B3271"/>
  <c r="B3270"/>
  <c r="B3269"/>
  <c r="B3268"/>
  <c r="B3267"/>
  <c r="B3266"/>
  <c r="B3265"/>
  <c r="B3264"/>
  <c r="B3263"/>
  <c r="B3262"/>
  <c r="B3261"/>
  <c r="B3260"/>
  <c r="B3259"/>
  <c r="B3258"/>
  <c r="B3257"/>
  <c r="B3256"/>
  <c r="B3255"/>
  <c r="B3254"/>
  <c r="B3253"/>
  <c r="B3252"/>
  <c r="B3251"/>
  <c r="B3250"/>
  <c r="B3249"/>
  <c r="B3248"/>
  <c r="B3247"/>
  <c r="B3246"/>
  <c r="B3245"/>
  <c r="B3244"/>
  <c r="B3243"/>
  <c r="B3242"/>
  <c r="B3241"/>
  <c r="B3240"/>
  <c r="B3239"/>
  <c r="B3238"/>
  <c r="B3237"/>
  <c r="B3236"/>
  <c r="B3235"/>
  <c r="B3234"/>
  <c r="B3233"/>
  <c r="B3232"/>
  <c r="B3231"/>
  <c r="B3230"/>
  <c r="B3229"/>
  <c r="B3228"/>
  <c r="B3227"/>
  <c r="B3226"/>
  <c r="B3225"/>
  <c r="B3224"/>
  <c r="B3223"/>
  <c r="B3222"/>
  <c r="B3221"/>
  <c r="B3220"/>
  <c r="B3219"/>
  <c r="B3218"/>
  <c r="B3217"/>
  <c r="B3216"/>
  <c r="B3215"/>
  <c r="B3214"/>
  <c r="B3213"/>
  <c r="B3212"/>
  <c r="B3211"/>
  <c r="B3210"/>
  <c r="B3209"/>
  <c r="B3208"/>
  <c r="B3207"/>
  <c r="B3206"/>
  <c r="B3205"/>
  <c r="B3204"/>
  <c r="B3203"/>
  <c r="B3202"/>
  <c r="B3201"/>
  <c r="B3200"/>
  <c r="B3199"/>
  <c r="B3198"/>
  <c r="B3197"/>
  <c r="B3196"/>
  <c r="B3195"/>
  <c r="B3194"/>
  <c r="B3193"/>
  <c r="B3192"/>
  <c r="B3191"/>
  <c r="B3190"/>
  <c r="B3189"/>
  <c r="B3188"/>
  <c r="B3187"/>
  <c r="B3186"/>
  <c r="B3185"/>
  <c r="B3184"/>
  <c r="B3183"/>
  <c r="B3182"/>
  <c r="B3181"/>
  <c r="B3180"/>
  <c r="B3179"/>
  <c r="B3178"/>
  <c r="B3177"/>
  <c r="B3176"/>
  <c r="B3175"/>
  <c r="B3174"/>
  <c r="B3173"/>
  <c r="B3172"/>
  <c r="B3171"/>
  <c r="B3170"/>
  <c r="B3169"/>
  <c r="B3168"/>
  <c r="B3167"/>
  <c r="B3166"/>
  <c r="B3165"/>
  <c r="B3164"/>
  <c r="B3163"/>
  <c r="B3162"/>
  <c r="B3161"/>
  <c r="B3160"/>
  <c r="B3159"/>
  <c r="B3158"/>
  <c r="B3157"/>
  <c r="B3156"/>
  <c r="B3155"/>
  <c r="B3154"/>
  <c r="B3153"/>
  <c r="B3152"/>
  <c r="B3151"/>
  <c r="B3150"/>
  <c r="B3149"/>
  <c r="B3148"/>
  <c r="B3147"/>
  <c r="B3146"/>
  <c r="B3145"/>
  <c r="B3144"/>
  <c r="B3143"/>
  <c r="B3142"/>
  <c r="B3141"/>
  <c r="B3140"/>
  <c r="B3139"/>
  <c r="B3138"/>
  <c r="B3137"/>
  <c r="B3136"/>
  <c r="B3135"/>
  <c r="B3134"/>
  <c r="B3133"/>
  <c r="B3132"/>
  <c r="B3131"/>
  <c r="B3130"/>
  <c r="B3129"/>
  <c r="B3128"/>
  <c r="B3127"/>
  <c r="B3126"/>
  <c r="B3125"/>
  <c r="B3124"/>
  <c r="B3123"/>
  <c r="B3122"/>
  <c r="B3121"/>
  <c r="B3120"/>
  <c r="B3119"/>
  <c r="B3118"/>
  <c r="B3117"/>
  <c r="B3116"/>
  <c r="B3115"/>
  <c r="B3114"/>
  <c r="B3113"/>
  <c r="B3112"/>
  <c r="B3111"/>
  <c r="B3110"/>
  <c r="B3109"/>
  <c r="B3108"/>
  <c r="B3107"/>
  <c r="B3106"/>
  <c r="B3105"/>
  <c r="B3104"/>
  <c r="B3103"/>
  <c r="B3102"/>
  <c r="B3101"/>
  <c r="B3100"/>
  <c r="B3099"/>
  <c r="B3098"/>
  <c r="B3097"/>
  <c r="B3096"/>
  <c r="B3095"/>
  <c r="B3094"/>
  <c r="B3093"/>
  <c r="B3092"/>
  <c r="B3091"/>
  <c r="B3090"/>
  <c r="B3089"/>
  <c r="B3088"/>
  <c r="B3087"/>
  <c r="B3086"/>
  <c r="B3085"/>
  <c r="B3084"/>
  <c r="B3083"/>
  <c r="B3082"/>
  <c r="B3081"/>
  <c r="B3080"/>
  <c r="B3079"/>
  <c r="B3078"/>
  <c r="B3077"/>
  <c r="B3076"/>
  <c r="B3075"/>
  <c r="B3074"/>
  <c r="B3073"/>
  <c r="B3072"/>
  <c r="B3071"/>
  <c r="B3070"/>
  <c r="B3069"/>
  <c r="B3068"/>
  <c r="B3067"/>
  <c r="B3066"/>
  <c r="B3065"/>
  <c r="B3064"/>
  <c r="B3063"/>
  <c r="B3062"/>
  <c r="B3061"/>
  <c r="B3060"/>
  <c r="B3059"/>
  <c r="B3058"/>
  <c r="B3057"/>
  <c r="B3056"/>
  <c r="B3055"/>
  <c r="B3054"/>
  <c r="B3053"/>
  <c r="B3052"/>
  <c r="B3051"/>
  <c r="B3050"/>
  <c r="B3049"/>
  <c r="B3048"/>
  <c r="B3047"/>
  <c r="B3046"/>
  <c r="B3045"/>
  <c r="B3044"/>
  <c r="B3043"/>
  <c r="B3042"/>
  <c r="B3041"/>
  <c r="B3040"/>
  <c r="B3039"/>
  <c r="B3038"/>
  <c r="B3037"/>
  <c r="B3036"/>
  <c r="B3035"/>
  <c r="B3034"/>
  <c r="B3033"/>
  <c r="B3032"/>
  <c r="B3031"/>
  <c r="B3030"/>
  <c r="B3029"/>
  <c r="B3028"/>
  <c r="B3027"/>
  <c r="B3026"/>
  <c r="B3025"/>
  <c r="B3024"/>
  <c r="B3023"/>
  <c r="B3022"/>
  <c r="B3021"/>
  <c r="B3020"/>
  <c r="B3019"/>
  <c r="B3018"/>
  <c r="B3017"/>
  <c r="B3016"/>
  <c r="B3015"/>
  <c r="B3014"/>
  <c r="B3013"/>
  <c r="B3012"/>
  <c r="B3011"/>
  <c r="B3010"/>
  <c r="B3009"/>
  <c r="B3008"/>
  <c r="B3007"/>
  <c r="B3006"/>
  <c r="B3005"/>
  <c r="B3004"/>
  <c r="B3003"/>
  <c r="B3002"/>
  <c r="B3001"/>
  <c r="B3000"/>
  <c r="B2999"/>
  <c r="B2998"/>
  <c r="B2997"/>
  <c r="B2996"/>
  <c r="B2995"/>
  <c r="B2994"/>
  <c r="B2993"/>
  <c r="B2992"/>
  <c r="B2991"/>
  <c r="B2990"/>
  <c r="B2989"/>
  <c r="B2988"/>
  <c r="B2987"/>
  <c r="B2986"/>
  <c r="B2985"/>
  <c r="B2984"/>
  <c r="B2983"/>
  <c r="B2982"/>
  <c r="B2981"/>
  <c r="B2980"/>
  <c r="B2979"/>
  <c r="B2978"/>
  <c r="B2977"/>
  <c r="B2976"/>
  <c r="B2975"/>
  <c r="B2974"/>
  <c r="B2973"/>
  <c r="B2972"/>
  <c r="B2971"/>
  <c r="B2970"/>
  <c r="B2969"/>
  <c r="B2968"/>
  <c r="B2967"/>
  <c r="B2966"/>
  <c r="B2965"/>
  <c r="B2964"/>
  <c r="B2963"/>
  <c r="B2962"/>
  <c r="B2961"/>
  <c r="B2960"/>
  <c r="B2959"/>
  <c r="B2958"/>
  <c r="B2957"/>
  <c r="B2956"/>
  <c r="B2955"/>
  <c r="B2954"/>
  <c r="B2953"/>
  <c r="B2952"/>
  <c r="B2951"/>
  <c r="B2950"/>
  <c r="B2949"/>
  <c r="B2948"/>
  <c r="B2947"/>
  <c r="B2946"/>
  <c r="B2945"/>
  <c r="B2944"/>
  <c r="B2943"/>
  <c r="B2942"/>
  <c r="B2941"/>
  <c r="B2940"/>
  <c r="B2939"/>
  <c r="B2938"/>
  <c r="B2937"/>
  <c r="B2936"/>
  <c r="B2935"/>
  <c r="B2934"/>
  <c r="B2933"/>
  <c r="B2932"/>
  <c r="B2931"/>
  <c r="B2930"/>
  <c r="B2929"/>
  <c r="B2928"/>
  <c r="B2927"/>
  <c r="B2926"/>
  <c r="B2925"/>
  <c r="B2924"/>
  <c r="B2923"/>
  <c r="B2922"/>
  <c r="B2921"/>
  <c r="B2920"/>
  <c r="B2919"/>
  <c r="B2918"/>
  <c r="B2917"/>
  <c r="B2916"/>
  <c r="B2915"/>
  <c r="B2914"/>
  <c r="B2913"/>
  <c r="B2912"/>
  <c r="B2911"/>
  <c r="B2910"/>
  <c r="B2909"/>
  <c r="B2908"/>
  <c r="B2907"/>
  <c r="B2906"/>
  <c r="B2905"/>
  <c r="B2904"/>
  <c r="B2903"/>
  <c r="B2902"/>
  <c r="B2901"/>
  <c r="B2900"/>
  <c r="B2899"/>
  <c r="B2898"/>
  <c r="B2897"/>
  <c r="B2896"/>
  <c r="B2895"/>
  <c r="B2894"/>
  <c r="B2893"/>
  <c r="B2892"/>
  <c r="B2891"/>
  <c r="B2890"/>
  <c r="B2889"/>
  <c r="B2888"/>
  <c r="B2887"/>
  <c r="B2886"/>
  <c r="B2885"/>
  <c r="B2884"/>
  <c r="B2883"/>
  <c r="B2882"/>
  <c r="B2881"/>
  <c r="B2880"/>
  <c r="B2879"/>
  <c r="B2878"/>
  <c r="B2877"/>
  <c r="B2876"/>
  <c r="B2875"/>
  <c r="B2874"/>
  <c r="B2873"/>
  <c r="B2872"/>
  <c r="B2871"/>
  <c r="B2870"/>
  <c r="B2869"/>
  <c r="B2868"/>
  <c r="B2867"/>
  <c r="B2866"/>
  <c r="B2865"/>
  <c r="B2864"/>
  <c r="B2863"/>
  <c r="B2862"/>
  <c r="B2861"/>
  <c r="B2860"/>
  <c r="B2859"/>
  <c r="B2858"/>
  <c r="B2857"/>
  <c r="B2856"/>
  <c r="B2855"/>
  <c r="B2854"/>
  <c r="B2853"/>
  <c r="B2852"/>
  <c r="B2851"/>
  <c r="B2850"/>
  <c r="B2849"/>
  <c r="B2848"/>
  <c r="B2847"/>
  <c r="B2846"/>
  <c r="B2845"/>
  <c r="B2844"/>
  <c r="B2843"/>
  <c r="B2842"/>
  <c r="B2841"/>
  <c r="B2840"/>
  <c r="B2839"/>
  <c r="B2838"/>
  <c r="B2837"/>
  <c r="B2836"/>
  <c r="B2835"/>
  <c r="B2834"/>
  <c r="B2833"/>
  <c r="B2832"/>
  <c r="B2831"/>
  <c r="B2830"/>
  <c r="B2829"/>
  <c r="B2828"/>
  <c r="B2827"/>
  <c r="B2826"/>
  <c r="B2825"/>
  <c r="B2824"/>
  <c r="B2823"/>
  <c r="B2822"/>
  <c r="B2821"/>
  <c r="B2820"/>
  <c r="B2819"/>
  <c r="B2818"/>
  <c r="B2817"/>
  <c r="B2816"/>
  <c r="B2815"/>
  <c r="B2814"/>
  <c r="B2813"/>
  <c r="B2812"/>
  <c r="B2811"/>
  <c r="B2810"/>
  <c r="B2809"/>
  <c r="B2808"/>
  <c r="B2807"/>
  <c r="B2806"/>
  <c r="B2805"/>
  <c r="B2804"/>
  <c r="B2803"/>
  <c r="B2802"/>
  <c r="B2801"/>
  <c r="B2800"/>
  <c r="B2799"/>
  <c r="B2798"/>
  <c r="B2797"/>
  <c r="B2796"/>
  <c r="B2795"/>
  <c r="B2794"/>
  <c r="B2793"/>
  <c r="B2792"/>
  <c r="B2791"/>
  <c r="B2790"/>
  <c r="B2789"/>
  <c r="B2788"/>
  <c r="B2787"/>
  <c r="B2786"/>
  <c r="B2785"/>
  <c r="B2784"/>
  <c r="B2783"/>
  <c r="B2782"/>
  <c r="B2781"/>
  <c r="B2780"/>
  <c r="B2779"/>
  <c r="B2778"/>
  <c r="B2777"/>
  <c r="B2776"/>
  <c r="B2775"/>
  <c r="B2774"/>
  <c r="B2773"/>
  <c r="B2772"/>
  <c r="B2771"/>
  <c r="B2770"/>
  <c r="B2769"/>
  <c r="B2768"/>
  <c r="B2767"/>
  <c r="B2766"/>
  <c r="B2765"/>
  <c r="B2764"/>
  <c r="B2763"/>
  <c r="B2762"/>
  <c r="B2761"/>
  <c r="B2760"/>
  <c r="B2759"/>
  <c r="B2758"/>
  <c r="B2757"/>
  <c r="B2756"/>
  <c r="B2755"/>
  <c r="B2754"/>
  <c r="B2753"/>
  <c r="B2752"/>
  <c r="B2751"/>
  <c r="B2750"/>
  <c r="B2749"/>
  <c r="B2748"/>
  <c r="B2747"/>
  <c r="B2746"/>
  <c r="B2745"/>
  <c r="B2744"/>
  <c r="B2743"/>
  <c r="B2742"/>
  <c r="B2741"/>
  <c r="B2740"/>
  <c r="B2739"/>
  <c r="B2738"/>
  <c r="B2737"/>
  <c r="B2736"/>
  <c r="B2735"/>
  <c r="B2734"/>
  <c r="B2733"/>
  <c r="B2732"/>
  <c r="B2731"/>
  <c r="B2730"/>
  <c r="B2729"/>
  <c r="B2728"/>
  <c r="B2727"/>
  <c r="B2726"/>
  <c r="B2725"/>
  <c r="B2724"/>
  <c r="B2723"/>
  <c r="B2722"/>
  <c r="B2721"/>
  <c r="B2720"/>
  <c r="B2719"/>
  <c r="B2718"/>
  <c r="B2717"/>
  <c r="B2716"/>
  <c r="B2715"/>
  <c r="B2714"/>
  <c r="B2713"/>
  <c r="B2712"/>
  <c r="B2711"/>
  <c r="B2710"/>
  <c r="B2709"/>
  <c r="B2708"/>
  <c r="B2707"/>
  <c r="B2706"/>
  <c r="B2705"/>
  <c r="B2704"/>
  <c r="B2703"/>
  <c r="B2702"/>
  <c r="B2701"/>
  <c r="B2700"/>
  <c r="B2699"/>
  <c r="B2698"/>
  <c r="B2697"/>
  <c r="B2696"/>
  <c r="B2695"/>
  <c r="B2694"/>
  <c r="B2693"/>
  <c r="B2692"/>
  <c r="B2691"/>
  <c r="B2690"/>
  <c r="B2689"/>
  <c r="B2688"/>
  <c r="B2687"/>
  <c r="B2686"/>
  <c r="B2685"/>
  <c r="B2684"/>
  <c r="B2683"/>
  <c r="B2682"/>
  <c r="B2681"/>
  <c r="B2680"/>
  <c r="B2679"/>
  <c r="B2678"/>
  <c r="B2677"/>
  <c r="B2676"/>
  <c r="B2675"/>
  <c r="B2674"/>
  <c r="B2673"/>
  <c r="B2672"/>
  <c r="B2671"/>
  <c r="B2670"/>
  <c r="B2669"/>
  <c r="B2668"/>
  <c r="B2667"/>
  <c r="B2666"/>
  <c r="B2665"/>
  <c r="B2664"/>
  <c r="B2663"/>
  <c r="B2662"/>
  <c r="B2661"/>
  <c r="B2660"/>
  <c r="B2659"/>
  <c r="B2658"/>
  <c r="B2657"/>
  <c r="B2656"/>
  <c r="B2655"/>
  <c r="B2654"/>
  <c r="B2653"/>
  <c r="B2652"/>
  <c r="B2651"/>
  <c r="B2650"/>
  <c r="B2649"/>
  <c r="B2648"/>
  <c r="B2647"/>
  <c r="B2646"/>
  <c r="B2645"/>
  <c r="B2644"/>
  <c r="B2643"/>
  <c r="B2642"/>
  <c r="B2641"/>
  <c r="B2640"/>
  <c r="B2639"/>
  <c r="B2638"/>
  <c r="B2637"/>
  <c r="B2636"/>
  <c r="B2635"/>
  <c r="B2634"/>
  <c r="B2633"/>
  <c r="B2632"/>
  <c r="B2631"/>
  <c r="B2630"/>
  <c r="B2629"/>
  <c r="B2628"/>
  <c r="B2627"/>
  <c r="B2626"/>
  <c r="B2625"/>
  <c r="B2624"/>
  <c r="B2623"/>
  <c r="B2622"/>
  <c r="B2621"/>
  <c r="B2620"/>
  <c r="B2619"/>
  <c r="B2618"/>
  <c r="B2617"/>
  <c r="B2616"/>
  <c r="B2615"/>
  <c r="B2614"/>
  <c r="B2613"/>
  <c r="B2612"/>
  <c r="B2611"/>
  <c r="B2610"/>
  <c r="B2609"/>
  <c r="B2608"/>
  <c r="B2607"/>
  <c r="B2606"/>
  <c r="B2605"/>
  <c r="B2604"/>
  <c r="B2603"/>
  <c r="B2602"/>
  <c r="B2601"/>
  <c r="B2600"/>
  <c r="B2599"/>
  <c r="B2598"/>
  <c r="B2597"/>
  <c r="B2596"/>
  <c r="B2595"/>
  <c r="B2594"/>
  <c r="B2593"/>
  <c r="B2592"/>
  <c r="B2591"/>
  <c r="B2590"/>
  <c r="B2589"/>
  <c r="B2588"/>
  <c r="B2587"/>
  <c r="B2586"/>
  <c r="B2585"/>
  <c r="B2584"/>
  <c r="B2583"/>
  <c r="B2582"/>
  <c r="B2581"/>
  <c r="B2580"/>
  <c r="B2579"/>
  <c r="B2578"/>
  <c r="B2577"/>
  <c r="B2576"/>
  <c r="B2575"/>
  <c r="B2574"/>
  <c r="B2573"/>
  <c r="B2572"/>
  <c r="B2571"/>
  <c r="B2570"/>
  <c r="B2569"/>
  <c r="B2568"/>
  <c r="B2567"/>
  <c r="B2566"/>
  <c r="B2565"/>
  <c r="B2564"/>
  <c r="B2563"/>
  <c r="B2562"/>
  <c r="B2561"/>
  <c r="B2560"/>
  <c r="B2559"/>
  <c r="B2558"/>
  <c r="B2557"/>
  <c r="B2556"/>
  <c r="B2555"/>
  <c r="B2554"/>
  <c r="B2553"/>
  <c r="B2552"/>
  <c r="B2551"/>
  <c r="B2550"/>
  <c r="B2549"/>
  <c r="B2548"/>
  <c r="B2547"/>
  <c r="B2546"/>
  <c r="B2545"/>
  <c r="B2544"/>
  <c r="B2543"/>
  <c r="B2542"/>
  <c r="B2541"/>
  <c r="B2540"/>
  <c r="B2539"/>
  <c r="B2538"/>
  <c r="B2537"/>
  <c r="B2536"/>
  <c r="B2535"/>
  <c r="B2534"/>
  <c r="B2533"/>
  <c r="B2532"/>
  <c r="B2531"/>
  <c r="B2530"/>
  <c r="B2529"/>
  <c r="B2528"/>
  <c r="B2527"/>
  <c r="B2526"/>
  <c r="B2525"/>
  <c r="B2524"/>
  <c r="B2523"/>
  <c r="B2522"/>
  <c r="B2521"/>
  <c r="B2520"/>
  <c r="B2519"/>
  <c r="B2518"/>
  <c r="B2517"/>
  <c r="B2516"/>
  <c r="B2515"/>
  <c r="B2514"/>
  <c r="B2513"/>
  <c r="B2512"/>
  <c r="B2511"/>
  <c r="B2510"/>
  <c r="B2509"/>
  <c r="B2508"/>
  <c r="B2507"/>
  <c r="B2506"/>
  <c r="B2505"/>
  <c r="B2504"/>
  <c r="B2503"/>
  <c r="B2502"/>
  <c r="B2501"/>
  <c r="B2500"/>
  <c r="B2499"/>
  <c r="B2498"/>
  <c r="B2497"/>
  <c r="B2496"/>
  <c r="B2495"/>
  <c r="B2494"/>
  <c r="B2493"/>
  <c r="B2492"/>
  <c r="B2491"/>
  <c r="B2490"/>
  <c r="B2489"/>
  <c r="B2488"/>
  <c r="B2487"/>
  <c r="B2486"/>
  <c r="B2485"/>
  <c r="B2484"/>
  <c r="B2483"/>
  <c r="B2482"/>
  <c r="B2481"/>
  <c r="B2480"/>
  <c r="B2479"/>
  <c r="B2478"/>
  <c r="B2477"/>
  <c r="B2476"/>
  <c r="B2475"/>
  <c r="B2474"/>
  <c r="B2473"/>
  <c r="B2472"/>
  <c r="B2471"/>
  <c r="B2470"/>
  <c r="B2469"/>
  <c r="B2468"/>
  <c r="B2467"/>
  <c r="B2466"/>
  <c r="B2465"/>
  <c r="B2464"/>
  <c r="B2463"/>
  <c r="B2462"/>
  <c r="B2461"/>
  <c r="B2460"/>
  <c r="B2459"/>
  <c r="B2458"/>
  <c r="B2457"/>
  <c r="B2456"/>
  <c r="B2455"/>
  <c r="B2454"/>
  <c r="B2453"/>
  <c r="B2452"/>
  <c r="B2451"/>
  <c r="B2450"/>
  <c r="B2449"/>
  <c r="B2448"/>
  <c r="B2447"/>
  <c r="B2446"/>
  <c r="B2445"/>
  <c r="B2444"/>
  <c r="B2443"/>
  <c r="B2442"/>
  <c r="B2441"/>
  <c r="B2440"/>
  <c r="B2439"/>
  <c r="B2438"/>
  <c r="B2437"/>
  <c r="B2436"/>
  <c r="B2435"/>
  <c r="B2434"/>
  <c r="B2433"/>
  <c r="B2432"/>
  <c r="B2431"/>
  <c r="B2430"/>
  <c r="B2429"/>
  <c r="B2428"/>
  <c r="B2427"/>
  <c r="B2426"/>
  <c r="B2425"/>
  <c r="B2424"/>
  <c r="B2423"/>
  <c r="B2422"/>
  <c r="B2421"/>
  <c r="B2420"/>
  <c r="B2419"/>
  <c r="B2418"/>
  <c r="B2417"/>
  <c r="B2416"/>
  <c r="B2415"/>
  <c r="B2414"/>
  <c r="B2413"/>
  <c r="B2412"/>
  <c r="B2411"/>
  <c r="B2410"/>
  <c r="B2409"/>
  <c r="B2408"/>
  <c r="B2407"/>
  <c r="B2406"/>
  <c r="B2405"/>
  <c r="B2404"/>
  <c r="B2403"/>
  <c r="B2402"/>
  <c r="B2401"/>
  <c r="B2400"/>
  <c r="B2399"/>
  <c r="B2398"/>
  <c r="B2397"/>
  <c r="B2396"/>
  <c r="B2395"/>
  <c r="B2394"/>
  <c r="B2393"/>
  <c r="B2392"/>
  <c r="B2391"/>
  <c r="B2390"/>
  <c r="B2389"/>
  <c r="B2388"/>
  <c r="B2387"/>
  <c r="B2386"/>
  <c r="B2385"/>
  <c r="B2384"/>
  <c r="B2383"/>
  <c r="B2382"/>
  <c r="B2381"/>
  <c r="B2380"/>
  <c r="B2379"/>
  <c r="B2378"/>
  <c r="B2377"/>
  <c r="B2376"/>
  <c r="B2375"/>
  <c r="B2374"/>
  <c r="B2373"/>
  <c r="B2372"/>
  <c r="B2371"/>
  <c r="B2370"/>
  <c r="B2369"/>
  <c r="B2368"/>
  <c r="B2367"/>
  <c r="B2366"/>
  <c r="B2365"/>
  <c r="B2364"/>
  <c r="B2363"/>
  <c r="B2362"/>
  <c r="B2361"/>
  <c r="B2360"/>
  <c r="B2359"/>
  <c r="B2358"/>
  <c r="B2357"/>
  <c r="B2356"/>
  <c r="B2355"/>
  <c r="B2354"/>
  <c r="B2353"/>
  <c r="B2352"/>
  <c r="B2351"/>
  <c r="B2350"/>
  <c r="B2349"/>
  <c r="B2348"/>
  <c r="B2347"/>
  <c r="B2346"/>
  <c r="B2345"/>
  <c r="B2344"/>
  <c r="B2343"/>
  <c r="B2342"/>
  <c r="B2341"/>
  <c r="B2340"/>
  <c r="B2339"/>
  <c r="B2338"/>
  <c r="B2337"/>
  <c r="B2336"/>
  <c r="B2335"/>
  <c r="B2334"/>
  <c r="B2333"/>
  <c r="B2332"/>
  <c r="B2331"/>
  <c r="B2330"/>
  <c r="B2329"/>
  <c r="B2328"/>
  <c r="B2327"/>
  <c r="B2326"/>
  <c r="B2325"/>
  <c r="B2324"/>
  <c r="B2323"/>
  <c r="B2322"/>
  <c r="B2321"/>
  <c r="B2320"/>
  <c r="B2319"/>
  <c r="B2318"/>
  <c r="B2317"/>
  <c r="B2316"/>
  <c r="B2315"/>
  <c r="B2314"/>
  <c r="B2313"/>
  <c r="B2312"/>
  <c r="B2311"/>
  <c r="B2310"/>
  <c r="B2309"/>
  <c r="B2308"/>
  <c r="B2307"/>
  <c r="B2306"/>
  <c r="B2305"/>
  <c r="B2304"/>
  <c r="B2303"/>
  <c r="B2302"/>
  <c r="B2301"/>
  <c r="B2300"/>
  <c r="B2299"/>
  <c r="B2298"/>
  <c r="B2297"/>
  <c r="B2296"/>
  <c r="B2295"/>
  <c r="B2294"/>
  <c r="B2293"/>
  <c r="B2292"/>
  <c r="B2291"/>
  <c r="B2290"/>
  <c r="B2289"/>
  <c r="B2288"/>
  <c r="B2287"/>
  <c r="B2286"/>
  <c r="B2285"/>
  <c r="B2284"/>
  <c r="B2283"/>
  <c r="B2282"/>
  <c r="B2281"/>
  <c r="B2280"/>
  <c r="B2279"/>
  <c r="B2278"/>
  <c r="B2277"/>
  <c r="B2276"/>
  <c r="B2275"/>
  <c r="B2274"/>
  <c r="B2273"/>
  <c r="B2272"/>
  <c r="B2271"/>
  <c r="B2270"/>
  <c r="B2269"/>
  <c r="B2268"/>
  <c r="B2267"/>
  <c r="B2266"/>
  <c r="B2265"/>
  <c r="B2264"/>
  <c r="B2263"/>
  <c r="B2262"/>
  <c r="B2261"/>
  <c r="B2260"/>
  <c r="B2259"/>
  <c r="B2258"/>
  <c r="B2257"/>
  <c r="B2256"/>
  <c r="B2255"/>
  <c r="B2254"/>
  <c r="B2253"/>
  <c r="B2252"/>
  <c r="B2251"/>
  <c r="B2250"/>
  <c r="B2249"/>
  <c r="B2248"/>
  <c r="B2247"/>
  <c r="B2246"/>
  <c r="B2245"/>
  <c r="B2244"/>
  <c r="B2243"/>
  <c r="B2242"/>
  <c r="B2241"/>
  <c r="B2240"/>
  <c r="B2239"/>
  <c r="B2238"/>
  <c r="B2237"/>
  <c r="B2236"/>
  <c r="B2235"/>
  <c r="B2234"/>
  <c r="B2233"/>
  <c r="B2232"/>
  <c r="B2231"/>
  <c r="B2230"/>
  <c r="B2229"/>
  <c r="B2228"/>
  <c r="B2227"/>
  <c r="B2226"/>
  <c r="B2225"/>
  <c r="B2224"/>
  <c r="B2223"/>
  <c r="B2222"/>
  <c r="B2221"/>
  <c r="B2220"/>
  <c r="B2219"/>
  <c r="B2218"/>
  <c r="B2217"/>
  <c r="B2216"/>
  <c r="B2215"/>
  <c r="B2214"/>
  <c r="B2213"/>
  <c r="B2212"/>
  <c r="B2211"/>
  <c r="B2210"/>
  <c r="B2209"/>
  <c r="B2208"/>
  <c r="B2207"/>
  <c r="B2206"/>
  <c r="B2205"/>
  <c r="B2204"/>
  <c r="B2203"/>
  <c r="B2202"/>
  <c r="B2201"/>
  <c r="B2200"/>
  <c r="B2199"/>
  <c r="B2198"/>
  <c r="B2197"/>
  <c r="B2196"/>
  <c r="B2195"/>
  <c r="B2194"/>
  <c r="B2193"/>
  <c r="B2192"/>
  <c r="B2191"/>
  <c r="B2190"/>
  <c r="B2189"/>
  <c r="B2188"/>
  <c r="B2187"/>
  <c r="B2186"/>
  <c r="B2185"/>
  <c r="B2184"/>
  <c r="B2183"/>
  <c r="B2182"/>
  <c r="B2181"/>
  <c r="B2180"/>
  <c r="B2179"/>
  <c r="B2178"/>
  <c r="B2177"/>
  <c r="B2176"/>
  <c r="B2175"/>
  <c r="B2174"/>
  <c r="B2173"/>
  <c r="B2172"/>
  <c r="B2171"/>
  <c r="B2170"/>
  <c r="B2169"/>
  <c r="B2168"/>
  <c r="B2167"/>
  <c r="B2166"/>
  <c r="B2165"/>
  <c r="B2164"/>
  <c r="B2163"/>
  <c r="B2162"/>
  <c r="B2161"/>
  <c r="B2160"/>
  <c r="B2159"/>
  <c r="B2158"/>
  <c r="B2157"/>
  <c r="B2156"/>
  <c r="B2155"/>
  <c r="B2154"/>
  <c r="B2153"/>
  <c r="B2152"/>
  <c r="B2151"/>
  <c r="B2150"/>
  <c r="B2149"/>
  <c r="B2148"/>
  <c r="B2147"/>
  <c r="B2146"/>
  <c r="B2145"/>
  <c r="B2144"/>
  <c r="B2143"/>
  <c r="B2142"/>
  <c r="B2141"/>
  <c r="B2140"/>
  <c r="B2139"/>
  <c r="B2138"/>
  <c r="B2137"/>
  <c r="B2136"/>
  <c r="B2135"/>
  <c r="B2134"/>
  <c r="B2133"/>
  <c r="B2132"/>
  <c r="B2131"/>
  <c r="B2130"/>
  <c r="B2129"/>
  <c r="B2128"/>
  <c r="B2127"/>
  <c r="B2126"/>
  <c r="B2125"/>
  <c r="B2124"/>
  <c r="B2123"/>
  <c r="B2122"/>
  <c r="B2121"/>
  <c r="B2120"/>
  <c r="B2119"/>
  <c r="B2118"/>
  <c r="B2117"/>
  <c r="B2116"/>
  <c r="B2115"/>
  <c r="B2114"/>
  <c r="B2113"/>
  <c r="B2112"/>
  <c r="B2111"/>
  <c r="B2110"/>
  <c r="B2109"/>
  <c r="B2108"/>
  <c r="B2107"/>
  <c r="B2106"/>
  <c r="B2105"/>
  <c r="B2104"/>
  <c r="B2103"/>
  <c r="B2102"/>
  <c r="B2101"/>
  <c r="B2100"/>
  <c r="B2099"/>
  <c r="B2098"/>
  <c r="B2097"/>
  <c r="B2096"/>
  <c r="B2095"/>
  <c r="B2094"/>
  <c r="B2093"/>
  <c r="B2092"/>
  <c r="B2091"/>
  <c r="B2090"/>
  <c r="B2089"/>
  <c r="B2088"/>
  <c r="B2087"/>
  <c r="B2086"/>
  <c r="B2085"/>
  <c r="B2084"/>
  <c r="B2083"/>
  <c r="B2082"/>
  <c r="B2081"/>
  <c r="B2080"/>
  <c r="B2079"/>
  <c r="B2078"/>
  <c r="B2077"/>
  <c r="B2076"/>
  <c r="B2075"/>
  <c r="B2074"/>
  <c r="B2073"/>
  <c r="B2072"/>
  <c r="B2071"/>
  <c r="B2070"/>
  <c r="B2069"/>
  <c r="B2068"/>
  <c r="B2067"/>
  <c r="B2066"/>
  <c r="B2065"/>
  <c r="B2064"/>
  <c r="B2063"/>
  <c r="B2062"/>
  <c r="B2061"/>
  <c r="B2060"/>
  <c r="B2059"/>
  <c r="B2058"/>
  <c r="B2057"/>
  <c r="B2056"/>
  <c r="B2055"/>
  <c r="B2054"/>
  <c r="B2053"/>
  <c r="B2052"/>
  <c r="B2051"/>
  <c r="B2050"/>
  <c r="B2049"/>
  <c r="B2048"/>
  <c r="B2047"/>
  <c r="B2046"/>
  <c r="B2045"/>
  <c r="B2044"/>
  <c r="B2043"/>
  <c r="B2042"/>
  <c r="B2041"/>
  <c r="B2040"/>
  <c r="B2039"/>
  <c r="B2038"/>
  <c r="B2037"/>
  <c r="B2036"/>
  <c r="B2035"/>
  <c r="B2034"/>
  <c r="B2033"/>
  <c r="B2032"/>
  <c r="B2031"/>
  <c r="B2030"/>
  <c r="B2029"/>
  <c r="B2028"/>
  <c r="B2027"/>
  <c r="B2026"/>
  <c r="B2025"/>
  <c r="B2024"/>
  <c r="B2023"/>
  <c r="B2022"/>
  <c r="B2021"/>
  <c r="B2020"/>
  <c r="B2019"/>
  <c r="B2018"/>
  <c r="B2017"/>
  <c r="B2016"/>
  <c r="B2015"/>
  <c r="B2014"/>
  <c r="B2013"/>
  <c r="B2012"/>
  <c r="B2011"/>
  <c r="B2010"/>
  <c r="B2009"/>
  <c r="B2008"/>
  <c r="B2007"/>
  <c r="B2006"/>
  <c r="B2005"/>
  <c r="B2004"/>
  <c r="B2003"/>
  <c r="B2002"/>
  <c r="B2001"/>
  <c r="B2000"/>
  <c r="B1999"/>
  <c r="B1998"/>
  <c r="B1997"/>
  <c r="B1996"/>
  <c r="B1995"/>
  <c r="B1994"/>
  <c r="B1993"/>
  <c r="B1992"/>
  <c r="B1991"/>
  <c r="B1990"/>
  <c r="B1989"/>
  <c r="B1988"/>
  <c r="B1987"/>
  <c r="B1986"/>
  <c r="B1985"/>
  <c r="B1984"/>
  <c r="B1983"/>
  <c r="B1982"/>
  <c r="B1981"/>
  <c r="B1980"/>
  <c r="B1979"/>
  <c r="B1978"/>
  <c r="B1977"/>
  <c r="B1976"/>
  <c r="B1975"/>
  <c r="B1974"/>
  <c r="B1973"/>
  <c r="B1972"/>
  <c r="B1971"/>
  <c r="B1970"/>
  <c r="B1969"/>
  <c r="B1968"/>
  <c r="B1967"/>
  <c r="B1966"/>
  <c r="B1965"/>
  <c r="B1964"/>
  <c r="B1963"/>
  <c r="B1962"/>
  <c r="B1961"/>
  <c r="B1960"/>
  <c r="B1959"/>
  <c r="B1958"/>
  <c r="B1957"/>
  <c r="B1956"/>
  <c r="B1955"/>
  <c r="B1954"/>
  <c r="B1953"/>
  <c r="B1952"/>
  <c r="B1951"/>
  <c r="B1950"/>
  <c r="B1949"/>
  <c r="B1948"/>
  <c r="B1947"/>
  <c r="B1946"/>
  <c r="B1945"/>
  <c r="B1944"/>
  <c r="B1943"/>
  <c r="B1942"/>
  <c r="B1941"/>
  <c r="B1940"/>
  <c r="B1939"/>
  <c r="B1938"/>
  <c r="B1937"/>
  <c r="B1936"/>
  <c r="B1935"/>
  <c r="B1934"/>
  <c r="B1933"/>
  <c r="B1932"/>
  <c r="B1931"/>
  <c r="B1930"/>
  <c r="B1929"/>
  <c r="B1928"/>
  <c r="B1927"/>
  <c r="B1926"/>
  <c r="B1925"/>
  <c r="B1924"/>
  <c r="B1923"/>
  <c r="B1922"/>
  <c r="B1921"/>
  <c r="B1920"/>
  <c r="B1919"/>
  <c r="B1918"/>
  <c r="B1917"/>
  <c r="B1916"/>
  <c r="B1915"/>
  <c r="B1914"/>
  <c r="B1913"/>
  <c r="B1912"/>
  <c r="B1911"/>
  <c r="B1910"/>
  <c r="B1909"/>
  <c r="B1908"/>
  <c r="B1907"/>
  <c r="B1906"/>
  <c r="B1905"/>
  <c r="B1904"/>
  <c r="B1903"/>
  <c r="B1902"/>
  <c r="B1901"/>
  <c r="B1900"/>
  <c r="B1899"/>
  <c r="B1898"/>
  <c r="B1897"/>
  <c r="B1896"/>
  <c r="B1895"/>
  <c r="B1894"/>
  <c r="B1893"/>
  <c r="B1892"/>
  <c r="B1891"/>
  <c r="B1890"/>
  <c r="B1889"/>
  <c r="B1888"/>
  <c r="B1887"/>
  <c r="B1886"/>
  <c r="B1885"/>
  <c r="B1884"/>
  <c r="B1883"/>
  <c r="B1882"/>
  <c r="B1881"/>
  <c r="B1880"/>
  <c r="B1879"/>
  <c r="B1878"/>
  <c r="B1877"/>
  <c r="B1876"/>
  <c r="B1875"/>
  <c r="B1874"/>
  <c r="B1873"/>
  <c r="B1872"/>
  <c r="B1871"/>
  <c r="B1870"/>
  <c r="B1869"/>
  <c r="B1868"/>
  <c r="B1867"/>
  <c r="B1866"/>
  <c r="B1865"/>
  <c r="B1864"/>
  <c r="B1863"/>
  <c r="B1862"/>
  <c r="B1861"/>
  <c r="B1860"/>
  <c r="B1859"/>
  <c r="B1858"/>
  <c r="B1857"/>
  <c r="B1856"/>
  <c r="B1855"/>
  <c r="B1854"/>
  <c r="B1853"/>
  <c r="B1852"/>
  <c r="B1851"/>
  <c r="B1850"/>
  <c r="B1849"/>
  <c r="B1848"/>
  <c r="B1847"/>
  <c r="B1846"/>
  <c r="B1845"/>
  <c r="B1844"/>
  <c r="B1843"/>
  <c r="B1842"/>
  <c r="B1841"/>
  <c r="B1840"/>
  <c r="B1839"/>
  <c r="B1838"/>
  <c r="B1837"/>
  <c r="B1836"/>
  <c r="B1835"/>
  <c r="B1834"/>
  <c r="B1833"/>
  <c r="B1832"/>
  <c r="B1831"/>
  <c r="B1830"/>
  <c r="B1829"/>
  <c r="B1828"/>
  <c r="B1827"/>
  <c r="B1826"/>
  <c r="B1825"/>
  <c r="B1824"/>
  <c r="B1823"/>
  <c r="B1822"/>
  <c r="B1821"/>
  <c r="B1820"/>
  <c r="B1819"/>
  <c r="B1818"/>
  <c r="B1817"/>
  <c r="B1816"/>
  <c r="B1815"/>
  <c r="B1814"/>
  <c r="B1813"/>
  <c r="B1812"/>
  <c r="B1811"/>
  <c r="B1810"/>
  <c r="B1809"/>
  <c r="B1808"/>
  <c r="B1807"/>
  <c r="B1806"/>
  <c r="B1805"/>
  <c r="B1804"/>
  <c r="B1803"/>
  <c r="B1802"/>
  <c r="B1801"/>
  <c r="B1800"/>
  <c r="B1799"/>
  <c r="B1798"/>
  <c r="B1797"/>
  <c r="B1796"/>
  <c r="B1795"/>
  <c r="B1794"/>
  <c r="B1793"/>
  <c r="B1792"/>
  <c r="B1791"/>
  <c r="B1790"/>
  <c r="B1789"/>
  <c r="B1788"/>
  <c r="B1787"/>
  <c r="B1786"/>
  <c r="B1785"/>
  <c r="B1784"/>
  <c r="B1783"/>
  <c r="B1782"/>
  <c r="B1781"/>
  <c r="B1780"/>
  <c r="B1779"/>
  <c r="B1778"/>
  <c r="B1777"/>
  <c r="B1776"/>
  <c r="B1775"/>
  <c r="B1774"/>
  <c r="B1773"/>
  <c r="B1772"/>
  <c r="B1771"/>
  <c r="B1770"/>
  <c r="B1769"/>
  <c r="B1768"/>
  <c r="B1767"/>
  <c r="B1766"/>
  <c r="B1765"/>
  <c r="B1764"/>
  <c r="B1763"/>
  <c r="B1762"/>
  <c r="B1761"/>
  <c r="B1760"/>
  <c r="B1759"/>
  <c r="B1758"/>
  <c r="B1757"/>
  <c r="B1756"/>
  <c r="B1755"/>
  <c r="B1754"/>
  <c r="B1753"/>
  <c r="B1752"/>
  <c r="B1751"/>
  <c r="B1750"/>
  <c r="B1749"/>
  <c r="B1748"/>
  <c r="B1747"/>
  <c r="B1746"/>
  <c r="B1745"/>
  <c r="B1744"/>
  <c r="B1743"/>
  <c r="B1742"/>
  <c r="B1741"/>
  <c r="B1740"/>
  <c r="B1739"/>
  <c r="B1738"/>
  <c r="B1737"/>
  <c r="B1736"/>
  <c r="B1735"/>
  <c r="B1734"/>
  <c r="B1733"/>
  <c r="B1732"/>
  <c r="B1731"/>
  <c r="B1730"/>
  <c r="B1729"/>
  <c r="B1728"/>
  <c r="B1727"/>
  <c r="B1726"/>
  <c r="B1725"/>
  <c r="B1724"/>
  <c r="B1723"/>
  <c r="B1722"/>
  <c r="B1721"/>
  <c r="B1720"/>
  <c r="B1719"/>
  <c r="B1718"/>
  <c r="B1717"/>
  <c r="B1716"/>
  <c r="B1715"/>
  <c r="B1714"/>
  <c r="B1713"/>
  <c r="B1712"/>
  <c r="B1711"/>
  <c r="B1710"/>
  <c r="B1709"/>
  <c r="B1708"/>
  <c r="B1707"/>
  <c r="B1706"/>
  <c r="B1705"/>
  <c r="B1704"/>
  <c r="B1703"/>
  <c r="B1702"/>
  <c r="B1701"/>
  <c r="B1700"/>
  <c r="B1699"/>
  <c r="B1698"/>
  <c r="B1697"/>
  <c r="B1696"/>
  <c r="B1695"/>
  <c r="B1694"/>
  <c r="B1693"/>
  <c r="B1692"/>
  <c r="B1691"/>
  <c r="B1690"/>
  <c r="B1689"/>
  <c r="B1688"/>
  <c r="B1687"/>
  <c r="B1686"/>
  <c r="B1685"/>
  <c r="B1684"/>
  <c r="B1683"/>
  <c r="B1682"/>
  <c r="B1681"/>
  <c r="B1680"/>
  <c r="B1679"/>
  <c r="B1678"/>
  <c r="B1677"/>
  <c r="B1676"/>
  <c r="B1675"/>
  <c r="B1674"/>
  <c r="B1673"/>
  <c r="B1672"/>
  <c r="B1671"/>
  <c r="B1670"/>
  <c r="B1669"/>
  <c r="B1668"/>
  <c r="B1667"/>
  <c r="B1666"/>
  <c r="B1665"/>
  <c r="B1664"/>
  <c r="B1663"/>
  <c r="B1662"/>
  <c r="B1661"/>
  <c r="B1660"/>
  <c r="B1659"/>
  <c r="B1658"/>
  <c r="B1657"/>
  <c r="B1656"/>
  <c r="B1655"/>
  <c r="B1654"/>
  <c r="B1653"/>
  <c r="B1652"/>
  <c r="B1651"/>
  <c r="B1650"/>
  <c r="B1649"/>
  <c r="B1648"/>
  <c r="B1647"/>
  <c r="B1646"/>
  <c r="B1645"/>
  <c r="B1644"/>
  <c r="B1643"/>
  <c r="B1642"/>
  <c r="B1641"/>
  <c r="B1640"/>
  <c r="B1639"/>
  <c r="B1638"/>
  <c r="B1637"/>
  <c r="B1636"/>
  <c r="B1635"/>
  <c r="B1634"/>
  <c r="B1633"/>
  <c r="B1632"/>
  <c r="B1631"/>
  <c r="B1630"/>
  <c r="B1629"/>
  <c r="B1628"/>
  <c r="B1627"/>
  <c r="B1626"/>
  <c r="B1625"/>
  <c r="B1624"/>
  <c r="B1623"/>
  <c r="B1622"/>
  <c r="B1621"/>
  <c r="B1620"/>
  <c r="B1619"/>
  <c r="B1618"/>
  <c r="B1617"/>
  <c r="B1616"/>
  <c r="B1615"/>
  <c r="B1614"/>
  <c r="B1613"/>
  <c r="B1612"/>
  <c r="B1611"/>
  <c r="B1610"/>
  <c r="B1609"/>
  <c r="B1608"/>
  <c r="B1607"/>
  <c r="B1606"/>
  <c r="B1605"/>
  <c r="B1604"/>
  <c r="B1603"/>
  <c r="B1602"/>
  <c r="B1601"/>
  <c r="B1600"/>
  <c r="B1599"/>
  <c r="B1598"/>
  <c r="B1597"/>
  <c r="B1596"/>
  <c r="B1595"/>
  <c r="B1594"/>
  <c r="B1593"/>
  <c r="B1592"/>
  <c r="B1591"/>
  <c r="B1590"/>
  <c r="B1589"/>
  <c r="B1588"/>
  <c r="B1587"/>
  <c r="B1586"/>
  <c r="B1585"/>
  <c r="B1584"/>
  <c r="B1583"/>
  <c r="B1582"/>
  <c r="B1581"/>
  <c r="B1580"/>
  <c r="B1579"/>
  <c r="B1578"/>
  <c r="B1577"/>
  <c r="B1576"/>
  <c r="B1575"/>
  <c r="B1574"/>
  <c r="B1573"/>
  <c r="B1572"/>
  <c r="B1571"/>
  <c r="B1570"/>
  <c r="B1569"/>
  <c r="B1568"/>
  <c r="B1567"/>
  <c r="B1566"/>
  <c r="B1565"/>
  <c r="B1564"/>
  <c r="B1563"/>
  <c r="B1562"/>
  <c r="B1561"/>
  <c r="B1560"/>
  <c r="B1559"/>
  <c r="B1558"/>
  <c r="B1557"/>
  <c r="B1556"/>
  <c r="B1555"/>
  <c r="B1554"/>
  <c r="B1553"/>
  <c r="B1552"/>
  <c r="B1551"/>
  <c r="B1550"/>
  <c r="B1549"/>
  <c r="B1548"/>
  <c r="B1547"/>
  <c r="B1546"/>
  <c r="B1545"/>
  <c r="B1544"/>
  <c r="B1543"/>
  <c r="B1542"/>
  <c r="B1541"/>
  <c r="B1540"/>
  <c r="B1539"/>
  <c r="B1538"/>
  <c r="B1537"/>
  <c r="B1536"/>
  <c r="B1535"/>
  <c r="B1534"/>
  <c r="B1533"/>
  <c r="B1532"/>
  <c r="B1531"/>
  <c r="B1530"/>
  <c r="B1529"/>
  <c r="B1528"/>
  <c r="B1527"/>
  <c r="B1526"/>
  <c r="B1525"/>
  <c r="B1524"/>
  <c r="B1523"/>
  <c r="B1522"/>
  <c r="B1521"/>
  <c r="B1520"/>
  <c r="B1519"/>
  <c r="B1518"/>
  <c r="B1517"/>
  <c r="B1516"/>
  <c r="B1515"/>
  <c r="B1514"/>
  <c r="B1513"/>
  <c r="B1512"/>
  <c r="B1511"/>
  <c r="B1510"/>
  <c r="B1509"/>
  <c r="B1508"/>
  <c r="B1507"/>
  <c r="B1506"/>
  <c r="B1505"/>
  <c r="B1504"/>
  <c r="B1503"/>
  <c r="B1502"/>
  <c r="B1501"/>
  <c r="B1500"/>
  <c r="B1499"/>
  <c r="B1498"/>
  <c r="B1497"/>
  <c r="B1496"/>
  <c r="B1495"/>
  <c r="B1494"/>
  <c r="B1493"/>
  <c r="B1492"/>
  <c r="B1491"/>
  <c r="B1490"/>
  <c r="B1489"/>
  <c r="B1488"/>
  <c r="B1487"/>
  <c r="B1486"/>
  <c r="B1485"/>
  <c r="B1484"/>
  <c r="B1483"/>
  <c r="B1482"/>
  <c r="B1481"/>
  <c r="B1480"/>
  <c r="B1479"/>
  <c r="B1478"/>
  <c r="B1477"/>
  <c r="B1476"/>
  <c r="B1475"/>
  <c r="B1474"/>
  <c r="B1473"/>
  <c r="B1472"/>
  <c r="B1471"/>
  <c r="B1470"/>
  <c r="B1469"/>
  <c r="B1468"/>
  <c r="B1467"/>
  <c r="B1466"/>
  <c r="B1465"/>
  <c r="B1464"/>
  <c r="B1463"/>
  <c r="B1462"/>
  <c r="B1461"/>
  <c r="B1460"/>
  <c r="B1459"/>
  <c r="B1458"/>
  <c r="B1457"/>
  <c r="B1456"/>
  <c r="B1455"/>
  <c r="B1454"/>
  <c r="B1453"/>
  <c r="B1452"/>
  <c r="B1451"/>
  <c r="B1450"/>
  <c r="B1449"/>
  <c r="B1448"/>
  <c r="B1447"/>
  <c r="B1446"/>
  <c r="B1445"/>
  <c r="B1444"/>
  <c r="B1443"/>
  <c r="B1442"/>
  <c r="B1441"/>
  <c r="B1440"/>
  <c r="B1439"/>
  <c r="B1438"/>
  <c r="B1437"/>
  <c r="B1436"/>
  <c r="B1435"/>
  <c r="B1434"/>
  <c r="B1433"/>
  <c r="B1432"/>
  <c r="B1431"/>
  <c r="B1430"/>
  <c r="B1429"/>
  <c r="B1428"/>
  <c r="B1427"/>
  <c r="B1426"/>
  <c r="B1425"/>
  <c r="B1424"/>
  <c r="B1423"/>
  <c r="B1422"/>
  <c r="B1421"/>
  <c r="B1420"/>
  <c r="B1419"/>
  <c r="B1418"/>
  <c r="B1417"/>
  <c r="B1416"/>
  <c r="B1415"/>
  <c r="B1414"/>
  <c r="B1413"/>
  <c r="B1412"/>
  <c r="B1411"/>
  <c r="B1410"/>
  <c r="B1409"/>
  <c r="B1408"/>
  <c r="B1407"/>
  <c r="B1406"/>
  <c r="B1405"/>
  <c r="B1404"/>
  <c r="B1403"/>
  <c r="B1402"/>
  <c r="B1401"/>
  <c r="B1400"/>
  <c r="B1399"/>
  <c r="B1398"/>
  <c r="B1397"/>
  <c r="B1396"/>
  <c r="B1395"/>
  <c r="B1394"/>
  <c r="B1393"/>
  <c r="B1392"/>
  <c r="B1391"/>
  <c r="B1390"/>
  <c r="B1389"/>
  <c r="B1388"/>
  <c r="B1387"/>
  <c r="B1386"/>
  <c r="B1385"/>
  <c r="B1384"/>
  <c r="B1383"/>
  <c r="B1382"/>
  <c r="B1381"/>
  <c r="B1380"/>
  <c r="B1379"/>
  <c r="B1378"/>
  <c r="B1377"/>
  <c r="B1376"/>
  <c r="B1375"/>
  <c r="B1374"/>
  <c r="B1373"/>
  <c r="B1372"/>
  <c r="B1371"/>
  <c r="B1370"/>
  <c r="B1369"/>
  <c r="B1368"/>
  <c r="B1367"/>
  <c r="B1366"/>
  <c r="B1365"/>
  <c r="B1364"/>
  <c r="B1363"/>
  <c r="B1362"/>
  <c r="B1361"/>
  <c r="B1360"/>
  <c r="B1359"/>
  <c r="B1358"/>
  <c r="B1357"/>
  <c r="B1356"/>
  <c r="B1355"/>
  <c r="B1354"/>
  <c r="B1353"/>
  <c r="B1352"/>
  <c r="B1351"/>
  <c r="B1350"/>
  <c r="B1349"/>
  <c r="B1348"/>
  <c r="B1347"/>
  <c r="B1346"/>
  <c r="B1345"/>
  <c r="B1344"/>
  <c r="B1343"/>
  <c r="B1342"/>
  <c r="B1341"/>
  <c r="B1340"/>
  <c r="B1339"/>
  <c r="B1338"/>
  <c r="B1337"/>
  <c r="B1336"/>
  <c r="B1335"/>
  <c r="B1334"/>
  <c r="B1333"/>
  <c r="B1332"/>
  <c r="B1331"/>
  <c r="B1330"/>
  <c r="B1329"/>
  <c r="B1328"/>
  <c r="B1327"/>
  <c r="B1326"/>
  <c r="B1325"/>
  <c r="B1324"/>
  <c r="B1323"/>
  <c r="B1322"/>
  <c r="B1321"/>
  <c r="B1320"/>
  <c r="B1319"/>
  <c r="B1318"/>
  <c r="B1317"/>
  <c r="B1316"/>
  <c r="B1315"/>
  <c r="B1314"/>
  <c r="B1313"/>
  <c r="B1312"/>
  <c r="B1311"/>
  <c r="B1310"/>
  <c r="B1309"/>
  <c r="B1308"/>
  <c r="B1307"/>
  <c r="B1306"/>
  <c r="B1305"/>
  <c r="B1304"/>
  <c r="B1303"/>
  <c r="B1302"/>
  <c r="B1301"/>
  <c r="B1300"/>
  <c r="B1299"/>
  <c r="B1298"/>
  <c r="B1297"/>
  <c r="B1296"/>
  <c r="B1295"/>
  <c r="B1294"/>
  <c r="B1293"/>
  <c r="B1292"/>
  <c r="B1291"/>
  <c r="B1290"/>
  <c r="B1289"/>
  <c r="B1288"/>
  <c r="B1287"/>
  <c r="B1286"/>
  <c r="B1285"/>
  <c r="B1284"/>
  <c r="B1283"/>
  <c r="B1282"/>
  <c r="B1281"/>
  <c r="B1280"/>
  <c r="B1279"/>
  <c r="B1278"/>
  <c r="B1277"/>
  <c r="B1276"/>
  <c r="B1275"/>
  <c r="B1274"/>
  <c r="B1273"/>
  <c r="B1272"/>
  <c r="B1271"/>
  <c r="B1270"/>
  <c r="B1269"/>
  <c r="B1268"/>
  <c r="B1267"/>
  <c r="B1266"/>
  <c r="B1265"/>
  <c r="B1264"/>
  <c r="B1263"/>
  <c r="B1262"/>
  <c r="B1261"/>
  <c r="B1260"/>
  <c r="B1259"/>
  <c r="B1258"/>
  <c r="B1257"/>
  <c r="B1256"/>
  <c r="B1255"/>
  <c r="B1254"/>
  <c r="B1253"/>
  <c r="B1252"/>
  <c r="B1251"/>
  <c r="B1250"/>
  <c r="B1249"/>
  <c r="B1248"/>
  <c r="B1247"/>
  <c r="B1246"/>
  <c r="B1245"/>
  <c r="B1244"/>
  <c r="B1243"/>
  <c r="B1242"/>
  <c r="B1241"/>
  <c r="B1240"/>
  <c r="B1239"/>
  <c r="B1238"/>
  <c r="B1237"/>
  <c r="B1236"/>
  <c r="B1235"/>
  <c r="B1234"/>
  <c r="B1233"/>
  <c r="B1232"/>
  <c r="B1231"/>
  <c r="B1230"/>
  <c r="B1229"/>
  <c r="B1228"/>
  <c r="B1227"/>
  <c r="B1226"/>
  <c r="B1225"/>
  <c r="B1224"/>
  <c r="B1223"/>
  <c r="B1222"/>
  <c r="B1221"/>
  <c r="B1220"/>
  <c r="B1219"/>
  <c r="B1218"/>
  <c r="B1217"/>
  <c r="B1216"/>
  <c r="B1215"/>
  <c r="B1214"/>
  <c r="B1213"/>
  <c r="B1212"/>
  <c r="B1211"/>
  <c r="B1210"/>
  <c r="B1209"/>
  <c r="B1208"/>
  <c r="B1207"/>
  <c r="B1206"/>
  <c r="B1205"/>
  <c r="B1204"/>
  <c r="B1203"/>
  <c r="B1202"/>
  <c r="B1201"/>
  <c r="B1200"/>
  <c r="B1199"/>
  <c r="B1198"/>
  <c r="B1197"/>
  <c r="B1196"/>
  <c r="B1195"/>
  <c r="B1194"/>
  <c r="B1193"/>
  <c r="B1192"/>
  <c r="B1191"/>
  <c r="B1190"/>
  <c r="B1189"/>
  <c r="B1188"/>
  <c r="B1187"/>
  <c r="B1186"/>
  <c r="B1185"/>
  <c r="B1184"/>
  <c r="B1183"/>
  <c r="B1182"/>
  <c r="B1181"/>
  <c r="B1180"/>
  <c r="B1179"/>
  <c r="B1178"/>
  <c r="B1177"/>
  <c r="B1176"/>
  <c r="B1175"/>
  <c r="B1174"/>
  <c r="B1173"/>
  <c r="B1172"/>
  <c r="B1171"/>
  <c r="B1170"/>
  <c r="B1169"/>
  <c r="B1168"/>
  <c r="B1167"/>
  <c r="B1166"/>
  <c r="B1165"/>
  <c r="B1164"/>
  <c r="B1163"/>
  <c r="B1162"/>
  <c r="B1161"/>
  <c r="B1160"/>
  <c r="B1159"/>
  <c r="B1158"/>
  <c r="B1157"/>
  <c r="B1156"/>
  <c r="B1155"/>
  <c r="B1154"/>
  <c r="B1153"/>
  <c r="B1152"/>
  <c r="B1151"/>
  <c r="B1150"/>
  <c r="B1149"/>
  <c r="B1148"/>
  <c r="B1147"/>
  <c r="B1146"/>
  <c r="B1145"/>
  <c r="B1144"/>
  <c r="B1143"/>
  <c r="B1142"/>
  <c r="B1141"/>
  <c r="B1140"/>
  <c r="B1139"/>
  <c r="B1138"/>
  <c r="B1137"/>
  <c r="B1136"/>
  <c r="B1135"/>
  <c r="B1134"/>
  <c r="B1133"/>
  <c r="B1132"/>
  <c r="B1131"/>
  <c r="B1130"/>
  <c r="B1129"/>
  <c r="B1128"/>
  <c r="B1127"/>
  <c r="B1126"/>
  <c r="B1125"/>
  <c r="B1124"/>
  <c r="B1123"/>
  <c r="B1122"/>
  <c r="B1121"/>
  <c r="B1120"/>
  <c r="B1119"/>
  <c r="B1118"/>
  <c r="B1117"/>
  <c r="B1116"/>
  <c r="B1115"/>
  <c r="B1114"/>
  <c r="B1113"/>
  <c r="B1112"/>
  <c r="B1111"/>
  <c r="B1110"/>
  <c r="B1109"/>
  <c r="B1108"/>
  <c r="B1107"/>
  <c r="B1106"/>
  <c r="B1105"/>
  <c r="B1104"/>
  <c r="B1103"/>
  <c r="B1102"/>
  <c r="B1101"/>
  <c r="B1100"/>
  <c r="B1099"/>
  <c r="B1098"/>
  <c r="B1097"/>
  <c r="B1096"/>
  <c r="B1095"/>
  <c r="B1094"/>
  <c r="B1093"/>
  <c r="B1092"/>
  <c r="B1091"/>
  <c r="B1090"/>
  <c r="B1089"/>
  <c r="B1088"/>
  <c r="B1087"/>
  <c r="B1086"/>
  <c r="B1085"/>
  <c r="B1084"/>
  <c r="B1083"/>
  <c r="B1082"/>
  <c r="B1081"/>
  <c r="B1080"/>
  <c r="B1079"/>
  <c r="B1078"/>
  <c r="B1077"/>
  <c r="B1076"/>
  <c r="B1075"/>
  <c r="B1074"/>
  <c r="B1073"/>
  <c r="B1072"/>
  <c r="B1071"/>
  <c r="B1070"/>
  <c r="B1069"/>
  <c r="B1068"/>
  <c r="B1067"/>
  <c r="B1066"/>
  <c r="B1065"/>
  <c r="B1064"/>
  <c r="B1063"/>
  <c r="B1062"/>
  <c r="B1061"/>
  <c r="B1060"/>
  <c r="B1059"/>
  <c r="B1058"/>
  <c r="B1057"/>
  <c r="B1056"/>
  <c r="B1055"/>
  <c r="B1054"/>
  <c r="B1053"/>
  <c r="B1052"/>
  <c r="B1051"/>
  <c r="B1050"/>
  <c r="B1049"/>
  <c r="B1048"/>
  <c r="B1047"/>
  <c r="B1046"/>
  <c r="B1045"/>
  <c r="B1044"/>
  <c r="B1043"/>
  <c r="B1042"/>
  <c r="B1041"/>
  <c r="B1040"/>
  <c r="B1039"/>
  <c r="B1038"/>
  <c r="B1037"/>
  <c r="B1036"/>
  <c r="B1035"/>
  <c r="B1034"/>
  <c r="B1033"/>
  <c r="B1032"/>
  <c r="B1031"/>
  <c r="B1030"/>
  <c r="B1029"/>
  <c r="B1028"/>
  <c r="B1027"/>
  <c r="B1026"/>
  <c r="B1025"/>
  <c r="B1024"/>
  <c r="B1023"/>
  <c r="B1022"/>
  <c r="B1021"/>
  <c r="B1020"/>
  <c r="B1019"/>
  <c r="B1018"/>
  <c r="B1017"/>
  <c r="B1016"/>
  <c r="B1015"/>
  <c r="B1014"/>
  <c r="B1013"/>
  <c r="B1012"/>
  <c r="B1011"/>
  <c r="B1010"/>
  <c r="B1009"/>
  <c r="B1008"/>
  <c r="B1007"/>
  <c r="B1006"/>
  <c r="B1005"/>
  <c r="B1004"/>
  <c r="B1003"/>
  <c r="B1002"/>
  <c r="B1001"/>
  <c r="B1000"/>
  <c r="B999"/>
  <c r="B998"/>
  <c r="B997"/>
  <c r="B996"/>
  <c r="B995"/>
  <c r="B994"/>
  <c r="B993"/>
  <c r="B992"/>
  <c r="B991"/>
  <c r="B990"/>
  <c r="B989"/>
  <c r="B988"/>
  <c r="B987"/>
  <c r="B986"/>
  <c r="B985"/>
  <c r="B984"/>
  <c r="B983"/>
  <c r="B982"/>
  <c r="B981"/>
  <c r="B980"/>
  <c r="B979"/>
  <c r="B978"/>
  <c r="B977"/>
  <c r="B976"/>
  <c r="B975"/>
  <c r="B974"/>
  <c r="B973"/>
  <c r="B972"/>
  <c r="B971"/>
  <c r="B970"/>
  <c r="B969"/>
  <c r="B968"/>
  <c r="B967"/>
  <c r="B966"/>
  <c r="B965"/>
  <c r="B964"/>
  <c r="B963"/>
  <c r="B962"/>
  <c r="B961"/>
  <c r="B960"/>
  <c r="B959"/>
  <c r="B958"/>
  <c r="B957"/>
  <c r="B956"/>
  <c r="B955"/>
  <c r="B954"/>
  <c r="B953"/>
  <c r="B952"/>
  <c r="B951"/>
  <c r="B950"/>
  <c r="B949"/>
  <c r="B948"/>
  <c r="B947"/>
  <c r="B946"/>
  <c r="B945"/>
  <c r="B944"/>
  <c r="B943"/>
  <c r="B942"/>
  <c r="B941"/>
  <c r="B940"/>
  <c r="B939"/>
  <c r="B938"/>
  <c r="B937"/>
  <c r="B936"/>
  <c r="B935"/>
  <c r="B934"/>
  <c r="B933"/>
  <c r="B932"/>
  <c r="B931"/>
  <c r="B930"/>
  <c r="B929"/>
  <c r="B928"/>
  <c r="B927"/>
  <c r="B926"/>
  <c r="B925"/>
  <c r="B924"/>
  <c r="B923"/>
  <c r="B922"/>
  <c r="B921"/>
  <c r="B920"/>
  <c r="B919"/>
  <c r="B918"/>
  <c r="B917"/>
  <c r="B916"/>
  <c r="B915"/>
  <c r="B914"/>
  <c r="B913"/>
  <c r="B912"/>
  <c r="B911"/>
  <c r="B910"/>
  <c r="B909"/>
  <c r="B908"/>
  <c r="B907"/>
  <c r="B906"/>
  <c r="B905"/>
  <c r="B904"/>
  <c r="B903"/>
  <c r="B902"/>
  <c r="B901"/>
  <c r="B900"/>
  <c r="B899"/>
  <c r="B898"/>
  <c r="B897"/>
  <c r="B896"/>
  <c r="B895"/>
  <c r="B894"/>
  <c r="B893"/>
  <c r="B892"/>
  <c r="B891"/>
  <c r="B890"/>
  <c r="B889"/>
  <c r="B888"/>
  <c r="B887"/>
  <c r="B886"/>
  <c r="B885"/>
  <c r="B884"/>
  <c r="B883"/>
  <c r="B882"/>
  <c r="B881"/>
  <c r="B880"/>
  <c r="B879"/>
  <c r="B878"/>
  <c r="B877"/>
  <c r="B876"/>
  <c r="B875"/>
  <c r="B874"/>
  <c r="B873"/>
  <c r="B872"/>
  <c r="B871"/>
  <c r="B870"/>
  <c r="B869"/>
  <c r="B868"/>
  <c r="B867"/>
  <c r="B866"/>
  <c r="B865"/>
  <c r="B864"/>
  <c r="B863"/>
  <c r="B862"/>
  <c r="B861"/>
  <c r="B860"/>
  <c r="B859"/>
  <c r="B858"/>
  <c r="B857"/>
  <c r="B856"/>
  <c r="B855"/>
  <c r="B854"/>
  <c r="B853"/>
  <c r="B852"/>
  <c r="B851"/>
  <c r="B850"/>
  <c r="B849"/>
  <c r="B848"/>
  <c r="B847"/>
  <c r="B846"/>
  <c r="B845"/>
  <c r="B844"/>
  <c r="B843"/>
  <c r="B842"/>
  <c r="B841"/>
  <c r="B840"/>
  <c r="B839"/>
  <c r="B838"/>
  <c r="B837"/>
  <c r="B836"/>
  <c r="B835"/>
  <c r="B834"/>
  <c r="B833"/>
  <c r="B832"/>
  <c r="B831"/>
  <c r="B830"/>
  <c r="B829"/>
  <c r="B828"/>
  <c r="B827"/>
  <c r="B826"/>
  <c r="B825"/>
  <c r="B824"/>
  <c r="B823"/>
  <c r="B822"/>
  <c r="B821"/>
  <c r="B820"/>
  <c r="B819"/>
  <c r="B818"/>
  <c r="B817"/>
  <c r="B816"/>
  <c r="B815"/>
  <c r="B814"/>
  <c r="B813"/>
  <c r="B812"/>
  <c r="B811"/>
  <c r="B810"/>
  <c r="B809"/>
  <c r="B808"/>
  <c r="B807"/>
  <c r="B806"/>
  <c r="B805"/>
  <c r="B804"/>
  <c r="B803"/>
  <c r="B802"/>
  <c r="B801"/>
  <c r="B800"/>
  <c r="B799"/>
  <c r="B798"/>
  <c r="B797"/>
  <c r="B796"/>
  <c r="B795"/>
  <c r="B794"/>
  <c r="B793"/>
  <c r="B792"/>
  <c r="B791"/>
  <c r="B790"/>
  <c r="B789"/>
  <c r="B788"/>
  <c r="B787"/>
  <c r="B786"/>
  <c r="B785"/>
  <c r="B784"/>
  <c r="B783"/>
  <c r="B782"/>
  <c r="B781"/>
  <c r="B780"/>
  <c r="B779"/>
  <c r="B778"/>
  <c r="B777"/>
  <c r="B776"/>
  <c r="B775"/>
  <c r="B774"/>
  <c r="B773"/>
  <c r="B772"/>
  <c r="B771"/>
  <c r="B770"/>
  <c r="B769"/>
  <c r="B768"/>
  <c r="B767"/>
  <c r="B766"/>
  <c r="B765"/>
  <c r="B764"/>
  <c r="B763"/>
  <c r="B762"/>
  <c r="B761"/>
  <c r="B760"/>
  <c r="B759"/>
  <c r="B758"/>
  <c r="B757"/>
  <c r="B756"/>
  <c r="B755"/>
  <c r="B754"/>
  <c r="B753"/>
  <c r="B752"/>
  <c r="B751"/>
  <c r="B750"/>
  <c r="B749"/>
  <c r="B748"/>
  <c r="B747"/>
  <c r="B746"/>
  <c r="B745"/>
  <c r="B744"/>
  <c r="B743"/>
  <c r="B742"/>
  <c r="B741"/>
  <c r="B740"/>
  <c r="B739"/>
  <c r="B738"/>
  <c r="B737"/>
  <c r="B736"/>
  <c r="B735"/>
  <c r="B734"/>
  <c r="B733"/>
  <c r="B732"/>
  <c r="B731"/>
  <c r="B730"/>
  <c r="B729"/>
  <c r="B728"/>
  <c r="B727"/>
  <c r="B726"/>
  <c r="B725"/>
  <c r="B724"/>
  <c r="B723"/>
  <c r="B722"/>
  <c r="B721"/>
  <c r="B720"/>
  <c r="B719"/>
  <c r="B718"/>
  <c r="B717"/>
  <c r="B716"/>
  <c r="B715"/>
  <c r="B714"/>
  <c r="B713"/>
  <c r="B712"/>
  <c r="B711"/>
  <c r="B710"/>
  <c r="B709"/>
  <c r="B708"/>
  <c r="B707"/>
  <c r="B706"/>
  <c r="B705"/>
  <c r="B704"/>
  <c r="B703"/>
  <c r="B702"/>
  <c r="B701"/>
  <c r="B700"/>
  <c r="B699"/>
  <c r="B698"/>
  <c r="B697"/>
  <c r="B696"/>
  <c r="B695"/>
  <c r="B694"/>
  <c r="B693"/>
  <c r="B692"/>
  <c r="B691"/>
  <c r="B690"/>
  <c r="B689"/>
  <c r="B688"/>
  <c r="B687"/>
  <c r="B686"/>
  <c r="B685"/>
  <c r="B684"/>
  <c r="B683"/>
  <c r="B682"/>
  <c r="B681"/>
  <c r="B680"/>
  <c r="B679"/>
  <c r="B678"/>
  <c r="B677"/>
  <c r="B676"/>
  <c r="B675"/>
  <c r="B674"/>
  <c r="B673"/>
  <c r="B672"/>
  <c r="B671"/>
  <c r="B670"/>
  <c r="B669"/>
  <c r="B668"/>
  <c r="B667"/>
  <c r="B666"/>
  <c r="B665"/>
  <c r="B664"/>
  <c r="B663"/>
  <c r="B662"/>
  <c r="B661"/>
  <c r="B660"/>
  <c r="B659"/>
  <c r="B658"/>
  <c r="B657"/>
  <c r="B656"/>
  <c r="B655"/>
  <c r="B654"/>
  <c r="B653"/>
  <c r="B652"/>
  <c r="B651"/>
  <c r="B650"/>
  <c r="B649"/>
  <c r="B648"/>
  <c r="B647"/>
  <c r="B646"/>
  <c r="B645"/>
  <c r="B644"/>
  <c r="B643"/>
  <c r="B642"/>
  <c r="B641"/>
  <c r="B640"/>
  <c r="B639"/>
  <c r="B638"/>
  <c r="B637"/>
  <c r="B636"/>
  <c r="B635"/>
  <c r="B634"/>
  <c r="B633"/>
  <c r="B632"/>
  <c r="B631"/>
  <c r="B630"/>
  <c r="B629"/>
  <c r="B628"/>
  <c r="B627"/>
  <c r="B626"/>
  <c r="B625"/>
  <c r="B624"/>
  <c r="B623"/>
  <c r="B622"/>
  <c r="B621"/>
  <c r="B620"/>
  <c r="B619"/>
  <c r="B618"/>
  <c r="B617"/>
  <c r="B616"/>
  <c r="B615"/>
  <c r="B614"/>
  <c r="B613"/>
  <c r="B612"/>
  <c r="B611"/>
  <c r="B610"/>
  <c r="B609"/>
  <c r="B608"/>
  <c r="B607"/>
  <c r="B606"/>
  <c r="B605"/>
  <c r="B604"/>
  <c r="B603"/>
  <c r="B602"/>
  <c r="B601"/>
  <c r="B600"/>
  <c r="B599"/>
  <c r="B598"/>
  <c r="B597"/>
  <c r="B596"/>
  <c r="B595"/>
  <c r="B594"/>
  <c r="B593"/>
  <c r="B592"/>
  <c r="B591"/>
  <c r="B590"/>
  <c r="B589"/>
  <c r="B588"/>
  <c r="B587"/>
  <c r="B586"/>
  <c r="B585"/>
  <c r="B584"/>
  <c r="B583"/>
  <c r="B582"/>
  <c r="B581"/>
  <c r="B580"/>
  <c r="B579"/>
  <c r="B578"/>
  <c r="B577"/>
  <c r="B576"/>
  <c r="B575"/>
  <c r="B574"/>
  <c r="B573"/>
  <c r="B572"/>
  <c r="B571"/>
  <c r="B570"/>
  <c r="B569"/>
  <c r="B568"/>
  <c r="B567"/>
  <c r="B566"/>
  <c r="B565"/>
  <c r="B564"/>
  <c r="B563"/>
  <c r="B562"/>
  <c r="B561"/>
  <c r="B560"/>
  <c r="B559"/>
  <c r="B558"/>
  <c r="B557"/>
  <c r="B556"/>
  <c r="B555"/>
  <c r="B554"/>
  <c r="B553"/>
  <c r="B552"/>
  <c r="B551"/>
  <c r="B550"/>
  <c r="B549"/>
  <c r="B548"/>
  <c r="B547"/>
  <c r="B546"/>
  <c r="B545"/>
  <c r="B544"/>
  <c r="B543"/>
  <c r="B542"/>
  <c r="B541"/>
  <c r="B540"/>
  <c r="B539"/>
  <c r="B538"/>
  <c r="B537"/>
  <c r="B536"/>
  <c r="B535"/>
  <c r="B534"/>
  <c r="B533"/>
  <c r="B532"/>
  <c r="B531"/>
  <c r="B530"/>
  <c r="B529"/>
  <c r="B528"/>
  <c r="B527"/>
  <c r="B526"/>
  <c r="B525"/>
  <c r="B524"/>
  <c r="B523"/>
  <c r="B522"/>
  <c r="B521"/>
  <c r="B520"/>
  <c r="B519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P136" i="1"/>
  <c r="Q136" s="1"/>
  <c r="O136"/>
  <c r="N136"/>
  <c r="M136"/>
  <c r="M124"/>
  <c r="N124"/>
  <c r="O124"/>
  <c r="P124"/>
  <c r="Q124" s="1"/>
  <c r="P134"/>
  <c r="Q134" s="1"/>
  <c r="P135"/>
  <c r="Q135" s="1"/>
  <c r="P123"/>
  <c r="Q123" s="1"/>
  <c r="O123"/>
  <c r="N123"/>
  <c r="M123"/>
  <c r="AI123"/>
  <c r="M135"/>
  <c r="N135"/>
  <c r="O135"/>
  <c r="AI135"/>
  <c r="M134"/>
  <c r="N134"/>
  <c r="O134"/>
  <c r="AG35"/>
  <c r="AI35" s="1"/>
  <c r="M16" l="1"/>
  <c r="N16"/>
  <c r="O16"/>
  <c r="P16"/>
  <c r="Q16" s="1"/>
  <c r="M88"/>
  <c r="N88"/>
  <c r="O88"/>
  <c r="P88"/>
  <c r="Q88" s="1"/>
  <c r="M66"/>
  <c r="N66"/>
  <c r="O66"/>
  <c r="P66"/>
  <c r="Q66" s="1"/>
  <c r="M62"/>
  <c r="N62"/>
  <c r="O62"/>
  <c r="P62"/>
  <c r="Q62" s="1"/>
  <c r="M63"/>
  <c r="M64"/>
  <c r="N63"/>
  <c r="N64"/>
  <c r="O63"/>
  <c r="O64"/>
  <c r="P63"/>
  <c r="Q63" s="1"/>
  <c r="P64"/>
  <c r="Q64" s="1"/>
  <c r="M65"/>
  <c r="N65"/>
  <c r="O65"/>
  <c r="P65"/>
  <c r="Q65" s="1"/>
  <c r="M59"/>
  <c r="N59"/>
  <c r="O59"/>
  <c r="P59"/>
  <c r="Q59" s="1"/>
  <c r="M60"/>
  <c r="N60"/>
  <c r="O60"/>
  <c r="P60"/>
  <c r="Q60" s="1"/>
  <c r="M61"/>
  <c r="N61"/>
  <c r="O61"/>
  <c r="P61"/>
  <c r="Q61" s="1"/>
  <c r="P35" l="1"/>
  <c r="Q35" s="1"/>
  <c r="O35"/>
  <c r="N35"/>
  <c r="M35"/>
  <c r="P34"/>
  <c r="Q34" s="1"/>
  <c r="O34"/>
  <c r="N34"/>
  <c r="M34"/>
  <c r="P78"/>
  <c r="Q78" s="1"/>
  <c r="O78"/>
  <c r="N78"/>
  <c r="M78"/>
  <c r="AI77"/>
  <c r="P77"/>
  <c r="Q77" s="1"/>
  <c r="O77"/>
  <c r="N77"/>
  <c r="M77"/>
  <c r="P76"/>
  <c r="Q76" s="1"/>
  <c r="O76"/>
  <c r="N76"/>
  <c r="M76"/>
  <c r="P70" l="1"/>
  <c r="Q70" s="1"/>
  <c r="O70"/>
  <c r="N70"/>
  <c r="M70"/>
  <c r="AI122" l="1"/>
  <c r="P122"/>
  <c r="Q122" s="1"/>
  <c r="O122"/>
  <c r="N122"/>
  <c r="M122"/>
  <c r="P121"/>
  <c r="Q121" s="1"/>
  <c r="O121"/>
  <c r="N121"/>
  <c r="M121"/>
  <c r="P120"/>
  <c r="Q120" s="1"/>
  <c r="O120"/>
  <c r="N120"/>
  <c r="M120"/>
  <c r="P119"/>
  <c r="Q119" s="1"/>
  <c r="O119"/>
  <c r="N119"/>
  <c r="M119"/>
  <c r="P118"/>
  <c r="Q118" s="1"/>
  <c r="O118"/>
  <c r="N118"/>
  <c r="M118"/>
  <c r="M97"/>
  <c r="N97"/>
  <c r="O97"/>
  <c r="P97"/>
  <c r="Q97" s="1"/>
  <c r="AG97"/>
  <c r="AI97" s="1"/>
  <c r="M98"/>
  <c r="N98"/>
  <c r="O98"/>
  <c r="P98"/>
  <c r="Q98" s="1"/>
  <c r="AG98"/>
  <c r="AI98" s="1"/>
  <c r="M99"/>
  <c r="N99"/>
  <c r="O99"/>
  <c r="P99"/>
  <c r="Q99" s="1"/>
  <c r="P133" l="1"/>
  <c r="Q133" s="1"/>
  <c r="O133"/>
  <c r="N133"/>
  <c r="M133"/>
  <c r="P132"/>
  <c r="Q132" s="1"/>
  <c r="O132"/>
  <c r="N132"/>
  <c r="M132"/>
  <c r="M131"/>
  <c r="N131"/>
  <c r="O131"/>
  <c r="P131"/>
  <c r="Q131" s="1"/>
  <c r="M127"/>
  <c r="N127"/>
  <c r="O127"/>
  <c r="P127"/>
  <c r="Q127" s="1"/>
  <c r="AI127"/>
  <c r="M128"/>
  <c r="N128"/>
  <c r="O128"/>
  <c r="P128"/>
  <c r="Q128" s="1"/>
  <c r="M116"/>
  <c r="N116"/>
  <c r="O116"/>
  <c r="P116"/>
  <c r="Q116" s="1"/>
  <c r="M113"/>
  <c r="N113"/>
  <c r="O113"/>
  <c r="P113"/>
  <c r="Q113" s="1"/>
  <c r="M114"/>
  <c r="N114"/>
  <c r="O114"/>
  <c r="P114"/>
  <c r="Q114" s="1"/>
  <c r="M115"/>
  <c r="N115"/>
  <c r="O115"/>
  <c r="P115"/>
  <c r="Q115" s="1"/>
  <c r="M117"/>
  <c r="N117"/>
  <c r="O117"/>
  <c r="P117"/>
  <c r="Q117" s="1"/>
  <c r="M130"/>
  <c r="N130"/>
  <c r="O130"/>
  <c r="P130"/>
  <c r="Q130" s="1"/>
  <c r="M129"/>
  <c r="N129"/>
  <c r="O129"/>
  <c r="P129"/>
  <c r="Q129" s="1"/>
  <c r="M126"/>
  <c r="N126"/>
  <c r="O126"/>
  <c r="P126"/>
  <c r="Q126" s="1"/>
  <c r="M125"/>
  <c r="N125"/>
  <c r="O125"/>
  <c r="P125"/>
  <c r="Q125" s="1"/>
  <c r="M112"/>
  <c r="N112"/>
  <c r="O112"/>
  <c r="P112"/>
  <c r="Q112" s="1"/>
  <c r="AG112"/>
  <c r="AI112" s="1"/>
  <c r="P111"/>
  <c r="Q111" s="1"/>
  <c r="O111"/>
  <c r="N111"/>
  <c r="M111"/>
  <c r="AG110"/>
  <c r="AI110" s="1"/>
  <c r="P110"/>
  <c r="Q110" s="1"/>
  <c r="O110"/>
  <c r="N110"/>
  <c r="M110"/>
  <c r="M109"/>
  <c r="N109"/>
  <c r="O109"/>
  <c r="P109"/>
  <c r="Q109" s="1"/>
  <c r="AG109"/>
  <c r="AI109" s="1"/>
  <c r="P107"/>
  <c r="Q107" s="1"/>
  <c r="O107"/>
  <c r="N107"/>
  <c r="M107"/>
  <c r="P106"/>
  <c r="Q106" s="1"/>
  <c r="O106"/>
  <c r="N106"/>
  <c r="M106"/>
  <c r="M108"/>
  <c r="N108"/>
  <c r="O108"/>
  <c r="P108"/>
  <c r="Q108" s="1"/>
  <c r="P105"/>
  <c r="Q105" s="1"/>
  <c r="O105"/>
  <c r="N105"/>
  <c r="M105"/>
  <c r="P104"/>
  <c r="Q104" s="1"/>
  <c r="O104"/>
  <c r="N104"/>
  <c r="M104"/>
  <c r="AG103"/>
  <c r="AI103" s="1"/>
  <c r="P103"/>
  <c r="Q103" s="1"/>
  <c r="O103"/>
  <c r="N103"/>
  <c r="M103"/>
  <c r="AG102"/>
  <c r="AI102" s="1"/>
  <c r="P102"/>
  <c r="Q102" s="1"/>
  <c r="O102"/>
  <c r="N102"/>
  <c r="M102"/>
  <c r="AG101"/>
  <c r="AI101" s="1"/>
  <c r="P101"/>
  <c r="Q101" s="1"/>
  <c r="O101"/>
  <c r="N101"/>
  <c r="M101"/>
  <c r="M100"/>
  <c r="N100"/>
  <c r="O100"/>
  <c r="P100"/>
  <c r="Q100" s="1"/>
  <c r="AG100"/>
  <c r="AI100" s="1"/>
  <c r="P96"/>
  <c r="Q96" s="1"/>
  <c r="O96"/>
  <c r="N96"/>
  <c r="M96"/>
  <c r="P95"/>
  <c r="Q95" s="1"/>
  <c r="O95"/>
  <c r="N95"/>
  <c r="M95"/>
  <c r="P94"/>
  <c r="Q94" s="1"/>
  <c r="O94"/>
  <c r="N94"/>
  <c r="M94"/>
  <c r="P92"/>
  <c r="Q92" s="1"/>
  <c r="O92"/>
  <c r="N92"/>
  <c r="M92"/>
  <c r="M93"/>
  <c r="N93"/>
  <c r="O93"/>
  <c r="P93"/>
  <c r="Q93" s="1"/>
  <c r="AG93"/>
  <c r="AI93" s="1"/>
  <c r="M91"/>
  <c r="N91"/>
  <c r="O91"/>
  <c r="P91"/>
  <c r="Q91" s="1"/>
  <c r="M90"/>
  <c r="N90"/>
  <c r="O90"/>
  <c r="P90"/>
  <c r="Q90" s="1"/>
  <c r="M89"/>
  <c r="N89"/>
  <c r="O89"/>
  <c r="P89"/>
  <c r="Q89" s="1"/>
  <c r="M79"/>
  <c r="N79"/>
  <c r="O79"/>
  <c r="P79"/>
  <c r="Q79" s="1"/>
  <c r="AG79"/>
  <c r="AI79" s="1"/>
  <c r="M80"/>
  <c r="N80"/>
  <c r="O80"/>
  <c r="P80"/>
  <c r="Q80" s="1"/>
  <c r="AG80"/>
  <c r="AI80" s="1"/>
  <c r="M81"/>
  <c r="N81"/>
  <c r="O81"/>
  <c r="P81"/>
  <c r="Q81" s="1"/>
  <c r="AG81"/>
  <c r="AI81" s="1"/>
  <c r="M82"/>
  <c r="M83"/>
  <c r="N82"/>
  <c r="N83"/>
  <c r="O82"/>
  <c r="O83"/>
  <c r="P82"/>
  <c r="Q82" s="1"/>
  <c r="P83"/>
  <c r="Q83" s="1"/>
  <c r="M84"/>
  <c r="M85"/>
  <c r="N84"/>
  <c r="N85"/>
  <c r="O84"/>
  <c r="O85"/>
  <c r="P84"/>
  <c r="Q84" s="1"/>
  <c r="P85"/>
  <c r="Q85" s="1"/>
  <c r="M86"/>
  <c r="N86"/>
  <c r="O86"/>
  <c r="P86"/>
  <c r="Q86" s="1"/>
  <c r="M87"/>
  <c r="N87"/>
  <c r="O87"/>
  <c r="P87"/>
  <c r="Q87" s="1"/>
  <c r="P69"/>
  <c r="Q69" s="1"/>
  <c r="O69"/>
  <c r="N69"/>
  <c r="M69"/>
  <c r="M67"/>
  <c r="M68"/>
  <c r="M71"/>
  <c r="N67"/>
  <c r="N68"/>
  <c r="N71"/>
  <c r="O67"/>
  <c r="O68"/>
  <c r="O71"/>
  <c r="P67"/>
  <c r="Q67" s="1"/>
  <c r="P68"/>
  <c r="Q68" s="1"/>
  <c r="P71"/>
  <c r="Q71" s="1"/>
  <c r="AG68"/>
  <c r="AI68" s="1"/>
  <c r="AG71"/>
  <c r="AI71" s="1"/>
  <c r="M72"/>
  <c r="M73"/>
  <c r="N72"/>
  <c r="N73"/>
  <c r="O72"/>
  <c r="O73"/>
  <c r="P72"/>
  <c r="Q72" s="1"/>
  <c r="P73"/>
  <c r="Q73" s="1"/>
  <c r="AG72"/>
  <c r="AI72" s="1"/>
  <c r="AG73"/>
  <c r="AI73" s="1"/>
  <c r="M74"/>
  <c r="N74"/>
  <c r="O74"/>
  <c r="P74"/>
  <c r="Q74" s="1"/>
  <c r="AG74"/>
  <c r="AI74" s="1"/>
  <c r="M75"/>
  <c r="N75"/>
  <c r="O75"/>
  <c r="P75"/>
  <c r="Q75" s="1"/>
  <c r="AG75"/>
  <c r="AI75" s="1"/>
  <c r="P55"/>
  <c r="Q55" s="1"/>
  <c r="O55"/>
  <c r="N55"/>
  <c r="M55"/>
  <c r="P58"/>
  <c r="Q58" s="1"/>
  <c r="O58"/>
  <c r="N58"/>
  <c r="M58"/>
  <c r="M57"/>
  <c r="N57"/>
  <c r="O57"/>
  <c r="P57"/>
  <c r="Q57" s="1"/>
  <c r="M48"/>
  <c r="N48"/>
  <c r="O48"/>
  <c r="P48"/>
  <c r="Q48" s="1"/>
  <c r="M51"/>
  <c r="M52"/>
  <c r="M53"/>
  <c r="M56"/>
  <c r="N51"/>
  <c r="N52"/>
  <c r="N53"/>
  <c r="N56"/>
  <c r="O51"/>
  <c r="O52"/>
  <c r="O53"/>
  <c r="O56"/>
  <c r="P51"/>
  <c r="Q51" s="1"/>
  <c r="P52"/>
  <c r="Q52" s="1"/>
  <c r="P53"/>
  <c r="Q53" s="1"/>
  <c r="P56"/>
  <c r="Q56" s="1"/>
  <c r="AG51"/>
  <c r="AI51" s="1"/>
  <c r="AG52"/>
  <c r="AI52" s="1"/>
  <c r="AG53"/>
  <c r="AI53" s="1"/>
  <c r="AG56"/>
  <c r="AI56" s="1"/>
  <c r="M54"/>
  <c r="N54"/>
  <c r="O54"/>
  <c r="P54"/>
  <c r="Q54" s="1"/>
  <c r="AG43"/>
  <c r="AI43" s="1"/>
  <c r="P43"/>
  <c r="Q43" s="1"/>
  <c r="O43"/>
  <c r="N43"/>
  <c r="M43"/>
  <c r="AG42"/>
  <c r="AI42" s="1"/>
  <c r="P42"/>
  <c r="Q42" s="1"/>
  <c r="O42"/>
  <c r="N42"/>
  <c r="M42"/>
  <c r="M44"/>
  <c r="M45"/>
  <c r="N44"/>
  <c r="N45"/>
  <c r="O44"/>
  <c r="O45"/>
  <c r="P44"/>
  <c r="Q44" s="1"/>
  <c r="P45"/>
  <c r="Q45" s="1"/>
  <c r="M46"/>
  <c r="M47"/>
  <c r="N46"/>
  <c r="N47"/>
  <c r="O46"/>
  <c r="O47"/>
  <c r="P46"/>
  <c r="Q46" s="1"/>
  <c r="P47"/>
  <c r="Q47" s="1"/>
  <c r="AG46"/>
  <c r="AI46" s="1"/>
  <c r="M49"/>
  <c r="N49"/>
  <c r="O49"/>
  <c r="P49"/>
  <c r="Q49" s="1"/>
  <c r="M50"/>
  <c r="N50"/>
  <c r="O50"/>
  <c r="P50"/>
  <c r="Q50" s="1"/>
  <c r="AG50"/>
  <c r="AI50" s="1"/>
  <c r="M37"/>
  <c r="N37"/>
  <c r="O37"/>
  <c r="P37"/>
  <c r="Q37" s="1"/>
  <c r="M41"/>
  <c r="N41"/>
  <c r="O41"/>
  <c r="P41"/>
  <c r="Q41" s="1"/>
  <c r="M38"/>
  <c r="M39"/>
  <c r="N38"/>
  <c r="N39"/>
  <c r="O38"/>
  <c r="O39"/>
  <c r="P38"/>
  <c r="Q38" s="1"/>
  <c r="P39"/>
  <c r="Q39" s="1"/>
  <c r="M36"/>
  <c r="N36"/>
  <c r="O36"/>
  <c r="P36"/>
  <c r="Q36" s="1"/>
  <c r="AG41"/>
  <c r="AI41" s="1"/>
  <c r="M28"/>
  <c r="N28"/>
  <c r="O28"/>
  <c r="P28"/>
  <c r="Q28" s="1"/>
  <c r="AG28"/>
  <c r="AI28" s="1"/>
  <c r="M40"/>
  <c r="N40"/>
  <c r="O40"/>
  <c r="P40"/>
  <c r="Q40" s="1"/>
  <c r="M33"/>
  <c r="N33"/>
  <c r="O33"/>
  <c r="P33"/>
  <c r="Q33" s="1"/>
  <c r="M29"/>
  <c r="M30"/>
  <c r="N29"/>
  <c r="N30"/>
  <c r="O29"/>
  <c r="O30"/>
  <c r="P29"/>
  <c r="Q29" s="1"/>
  <c r="P30"/>
  <c r="Q30" s="1"/>
  <c r="AG30"/>
  <c r="AI30" s="1"/>
  <c r="M31"/>
  <c r="N31"/>
  <c r="O31"/>
  <c r="P31"/>
  <c r="Q31" s="1"/>
  <c r="M32"/>
  <c r="N32"/>
  <c r="O32"/>
  <c r="P32"/>
  <c r="Q32" s="1"/>
  <c r="M20"/>
  <c r="M21"/>
  <c r="M22"/>
  <c r="M23"/>
  <c r="N20"/>
  <c r="N21"/>
  <c r="N22"/>
  <c r="N23"/>
  <c r="O20"/>
  <c r="O21"/>
  <c r="O22"/>
  <c r="O23"/>
  <c r="P20"/>
  <c r="Q20" s="1"/>
  <c r="P21"/>
  <c r="Q21" s="1"/>
  <c r="P22"/>
  <c r="Q22" s="1"/>
  <c r="P23"/>
  <c r="Q23" s="1"/>
  <c r="AG20"/>
  <c r="AI20" s="1"/>
  <c r="AG21"/>
  <c r="AI21" s="1"/>
  <c r="AG22"/>
  <c r="AI22" s="1"/>
  <c r="AG23"/>
  <c r="AI23" s="1"/>
  <c r="M24"/>
  <c r="M25"/>
  <c r="N24"/>
  <c r="N25"/>
  <c r="O24"/>
  <c r="O25"/>
  <c r="P24"/>
  <c r="Q24" s="1"/>
  <c r="P25"/>
  <c r="Q25" s="1"/>
  <c r="AG24"/>
  <c r="AI24" s="1"/>
  <c r="AG25"/>
  <c r="AI25" s="1"/>
  <c r="M26"/>
  <c r="N26"/>
  <c r="O26"/>
  <c r="P26"/>
  <c r="Q26" s="1"/>
  <c r="AG26"/>
  <c r="AI26" s="1"/>
  <c r="M27"/>
  <c r="N27"/>
  <c r="O27"/>
  <c r="P27"/>
  <c r="Q27" s="1"/>
  <c r="AG27"/>
  <c r="AI27" s="1"/>
  <c r="M19"/>
  <c r="N19"/>
  <c r="O19"/>
  <c r="P19"/>
  <c r="Q19" s="1"/>
  <c r="M12" l="1"/>
  <c r="M13"/>
  <c r="M14"/>
  <c r="N12"/>
  <c r="N13"/>
  <c r="N14"/>
  <c r="O12"/>
  <c r="O13"/>
  <c r="O14"/>
  <c r="P12"/>
  <c r="Q12" s="1"/>
  <c r="P13"/>
  <c r="Q13" s="1"/>
  <c r="P14"/>
  <c r="Q14" s="1"/>
  <c r="AG13"/>
  <c r="AI13" s="1"/>
  <c r="M9"/>
  <c r="M10"/>
  <c r="M11"/>
  <c r="N9"/>
  <c r="N10"/>
  <c r="N11"/>
  <c r="O9"/>
  <c r="O10"/>
  <c r="O11"/>
  <c r="P9"/>
  <c r="Q9" s="1"/>
  <c r="P10"/>
  <c r="Q10" s="1"/>
  <c r="P11"/>
  <c r="Q11" s="1"/>
  <c r="AG9"/>
  <c r="AI9" s="1"/>
  <c r="AG10"/>
  <c r="AI10" s="1"/>
  <c r="M18"/>
  <c r="N18"/>
  <c r="O18"/>
  <c r="P18"/>
  <c r="Q18" s="1"/>
  <c r="M4" l="1"/>
  <c r="M2"/>
  <c r="M5"/>
  <c r="M6"/>
  <c r="N4"/>
  <c r="N2"/>
  <c r="N5"/>
  <c r="N6"/>
  <c r="O4"/>
  <c r="O2"/>
  <c r="O5"/>
  <c r="O6"/>
  <c r="P4"/>
  <c r="Q4" s="1"/>
  <c r="P2"/>
  <c r="Q2" s="1"/>
  <c r="P5"/>
  <c r="Q5" s="1"/>
  <c r="P6"/>
  <c r="Q6" s="1"/>
  <c r="AG2"/>
  <c r="AI2" s="1"/>
  <c r="M7"/>
  <c r="M8"/>
  <c r="N7"/>
  <c r="N8"/>
  <c r="O7"/>
  <c r="O8"/>
  <c r="P7"/>
  <c r="Q7" s="1"/>
  <c r="P8"/>
  <c r="Q8" s="1"/>
  <c r="M15"/>
  <c r="N15"/>
  <c r="O15"/>
  <c r="P15"/>
  <c r="Q15" s="1"/>
  <c r="M17"/>
  <c r="N17"/>
  <c r="O17"/>
  <c r="P17"/>
  <c r="Q17" s="1"/>
  <c r="M3"/>
  <c r="N3" l="1"/>
  <c r="O3"/>
  <c r="P3"/>
  <c r="Q3" s="1"/>
</calcChain>
</file>

<file path=xl/sharedStrings.xml><?xml version="1.0" encoding="utf-8"?>
<sst xmlns="http://schemas.openxmlformats.org/spreadsheetml/2006/main" count="2062" uniqueCount="499">
  <si>
    <t>Full Moon</t>
  </si>
  <si>
    <t>Flood Flow</t>
  </si>
  <si>
    <t>Rangiroa Tiputa</t>
  </si>
  <si>
    <t>OC</t>
  </si>
  <si>
    <t>F</t>
  </si>
  <si>
    <t>Avatoru</t>
  </si>
  <si>
    <t>Last Quarter</t>
  </si>
  <si>
    <t>First Quarter</t>
  </si>
  <si>
    <t/>
  </si>
  <si>
    <t>New Moon</t>
  </si>
  <si>
    <t>Last Quarter/New Moon</t>
  </si>
  <si>
    <t>New Moon/First Quarter</t>
  </si>
  <si>
    <t>First Quarter/Full Moon</t>
  </si>
  <si>
    <t>Full Moon/Last Quarter</t>
  </si>
  <si>
    <t>11 - 15</t>
  </si>
  <si>
    <t>JEANDEL Virginie</t>
  </si>
  <si>
    <t>JEANDEL Jean-Marie</t>
  </si>
  <si>
    <t>CCR</t>
  </si>
  <si>
    <t>E8</t>
  </si>
  <si>
    <t>E7</t>
  </si>
  <si>
    <t>E2</t>
  </si>
  <si>
    <t>F1</t>
  </si>
  <si>
    <t>E1</t>
  </si>
  <si>
    <t>C4</t>
  </si>
  <si>
    <t>D4</t>
  </si>
  <si>
    <t>D3</t>
  </si>
  <si>
    <t>F2</t>
  </si>
  <si>
    <t>Moon_Phase</t>
  </si>
  <si>
    <t>Temperature</t>
  </si>
  <si>
    <t>Divers</t>
  </si>
  <si>
    <t>Time</t>
  </si>
  <si>
    <t>Dive_Date</t>
  </si>
  <si>
    <t>Moon_ID</t>
  </si>
  <si>
    <t>Angle</t>
  </si>
  <si>
    <t>Balise Rouge</t>
  </si>
  <si>
    <t>Bleu</t>
  </si>
  <si>
    <t>Canyon</t>
  </si>
  <si>
    <t>Eolienne</t>
  </si>
  <si>
    <t>Grotte</t>
  </si>
  <si>
    <t>Lagon</t>
  </si>
  <si>
    <t>Marche</t>
  </si>
  <si>
    <t>Motu</t>
  </si>
  <si>
    <t>Myripristis</t>
  </si>
  <si>
    <t xml:space="preserve">Plateau </t>
  </si>
  <si>
    <t>Tiputa</t>
  </si>
  <si>
    <t>Trou à Paraïs</t>
  </si>
  <si>
    <t>Vague</t>
  </si>
  <si>
    <t>F1-F2</t>
  </si>
  <si>
    <t>E0-F0</t>
  </si>
  <si>
    <t>Raynure</t>
  </si>
  <si>
    <t>G4</t>
  </si>
  <si>
    <t>D1 - D2</t>
  </si>
  <si>
    <t>D0 - E0-E1-F1</t>
  </si>
  <si>
    <t>A6</t>
  </si>
  <si>
    <t>E3</t>
  </si>
  <si>
    <t>NI</t>
  </si>
  <si>
    <t>D1</t>
  </si>
  <si>
    <t>D6</t>
  </si>
  <si>
    <t>D0</t>
  </si>
  <si>
    <t>ID_Observation</t>
  </si>
  <si>
    <t>Commentaires</t>
  </si>
  <si>
    <t>LPC</t>
  </si>
  <si>
    <t>LF</t>
  </si>
  <si>
    <t>WH</t>
  </si>
  <si>
    <t>HD</t>
  </si>
  <si>
    <t>indifférent</t>
  </si>
  <si>
    <t>curieux</t>
  </si>
  <si>
    <t>Comments</t>
  </si>
  <si>
    <t>E5</t>
  </si>
  <si>
    <t>E4</t>
  </si>
  <si>
    <t>E0</t>
  </si>
  <si>
    <t>E6</t>
  </si>
  <si>
    <t>C5</t>
  </si>
  <si>
    <t>Tigre srt du lagon et raie léopard individuellement</t>
  </si>
  <si>
    <t>Sort du lagon milieu de passe au niveau des canyon, 1 er mesure explotable autour de 360 cm de long</t>
  </si>
  <si>
    <t>observation non exploitable</t>
  </si>
  <si>
    <t>un laser en panne donc onbservation exploitable mais pas de mesure, pas de distinction particulère</t>
  </si>
  <si>
    <t>on le voit très très loin donc pas grand chose d'identifiable</t>
  </si>
  <si>
    <t>Observer</t>
  </si>
  <si>
    <t>BOUBE Tatiana</t>
  </si>
  <si>
    <t>fuyant</t>
  </si>
  <si>
    <t>Lobe caudale sup abimé, flanc gauche boursoufflé au niveau de la pelvienne</t>
  </si>
  <si>
    <t>Observation au niveau de la grotte aux requins, mais prend peur qd il voit les plongeurs et part vers la marche avec une nage rapide</t>
  </si>
  <si>
    <t>Observation de loin au dessus de la marche en direction du bleu</t>
  </si>
  <si>
    <t>Le marteau vient par curiosité face au plongeur  CCR et tourne à 2m de lui pour s'éloigner doucement. Vidéo de la manip + vidéo requin avec lasers</t>
  </si>
  <si>
    <t>Très grod spécimen de couleur blanc assez reconnaissable</t>
  </si>
  <si>
    <t>Petit spécimen trop loin pour laser et identification</t>
  </si>
  <si>
    <t>D2</t>
  </si>
  <si>
    <t>Pas de laser mais Enzo film + vol de 4 raies léopards</t>
  </si>
  <si>
    <t>rentre en direction du lagon à pleine vitesse</t>
  </si>
  <si>
    <t>GUILBERT Antonin</t>
  </si>
  <si>
    <t>curieux, nerveux</t>
  </si>
  <si>
    <t>Au loin dans les canyons</t>
  </si>
  <si>
    <t>Au niveau de la marche sur 50 - 55m au niveau des raynures (jusqu'à 3 spécimens en même temps)</t>
  </si>
  <si>
    <t>Au niveau de la marche sur 65 - 70m à hauteur de l'angle cot é Tiputa</t>
  </si>
  <si>
    <t>Au niveau de la marche sur 55 - passage trop loin pour identification</t>
  </si>
  <si>
    <t>Sous la marche sur 75 - 90m à hauteur des raynures, fait des allez retours le long de la marche mais ne rentre pas dans la passe</t>
  </si>
  <si>
    <t>Sous la marche sur 75 - 90m à hauteur des raynures, fait des allez retours le long de la marche mais ne rentre pas dans la passe en cropisant le précedent congénère</t>
  </si>
  <si>
    <t>Très curieux</t>
  </si>
  <si>
    <t>SNK</t>
  </si>
  <si>
    <t>Rangiroa Avatoru</t>
  </si>
  <si>
    <t>Nom du Club</t>
  </si>
  <si>
    <t>Moniteur</t>
  </si>
  <si>
    <t>Date</t>
  </si>
  <si>
    <t>Heure</t>
  </si>
  <si>
    <t>Marteau</t>
  </si>
  <si>
    <t>Nombre</t>
  </si>
  <si>
    <t>Raie Léopard</t>
  </si>
  <si>
    <t>Nombre2</t>
  </si>
  <si>
    <t>Localisation dans la Passe2</t>
  </si>
  <si>
    <t>Photo</t>
  </si>
  <si>
    <t>milieu de passe</t>
  </si>
  <si>
    <t xml:space="preserve">milieu passe </t>
  </si>
  <si>
    <t>trou à parai</t>
  </si>
  <si>
    <t xml:space="preserve">marche </t>
  </si>
  <si>
    <t>plateau</t>
  </si>
  <si>
    <t>marche</t>
  </si>
  <si>
    <t>sables blancs</t>
  </si>
  <si>
    <t>Rangiroa Plongée</t>
  </si>
  <si>
    <t>WAGNER Yannick</t>
  </si>
  <si>
    <t>13:45</t>
  </si>
  <si>
    <t>14:15</t>
  </si>
  <si>
    <t>Localisation dans la Passe</t>
  </si>
  <si>
    <t>NON</t>
  </si>
  <si>
    <t>Très beau film de Marc + vol de 4 raies léopards</t>
  </si>
  <si>
    <t>Vol de 3 raies léopard juste avant l'observation consécutives de 2 marteaux au niveau du plateau coté rainures</t>
  </si>
  <si>
    <t>A 50m au niveau des raynures à 10h34</t>
  </si>
  <si>
    <t>FEMMAMI Nastazia</t>
  </si>
  <si>
    <t>CO</t>
  </si>
  <si>
    <t>Requin nage dans le bleu côté océan  vers les 40m, Assez gros</t>
  </si>
  <si>
    <t>Remonte sur le tombant au début de la plongée</t>
  </si>
  <si>
    <t>Dans la colonne d'eau au dessus de nos tête, nage en biais</t>
  </si>
  <si>
    <t>Sur le plateau</t>
  </si>
  <si>
    <t>En arrivant sur le relief, avant les canyons. Très claire et grosse, Enzo la film</t>
  </si>
  <si>
    <t>Au Trou à Parai, juste devant Nastazia et Farid</t>
  </si>
  <si>
    <t>Au plateau, curieux par les lasers</t>
  </si>
  <si>
    <t>Au plateau</t>
  </si>
  <si>
    <t>Une grosse claire avant les canyon</t>
  </si>
  <si>
    <t>Une femelle passant sortie du lagon au trou à Parai</t>
  </si>
  <si>
    <t>Grosse femelle suivi ar des gris dans le bleu</t>
  </si>
  <si>
    <t>Tourne en rond entre raynure et plateau à requin, les 2 dans le masque en même temps</t>
  </si>
  <si>
    <t>Deux marteaux se suivent</t>
  </si>
  <si>
    <t>Deux marteaux se suivent, Celle-ci plus grosse</t>
  </si>
  <si>
    <t>deux qui tournent sur la marche au niveau des raynures</t>
  </si>
  <si>
    <t>Vient vers les perches pagaies agité par les lasers</t>
  </si>
  <si>
    <t>Courant sortant</t>
  </si>
  <si>
    <t>Marche/Marche</t>
  </si>
  <si>
    <t>Plateau</t>
  </si>
  <si>
    <t xml:space="preserve">Vol de 13 </t>
  </si>
  <si>
    <t>Trou à Parai</t>
  </si>
  <si>
    <t>Vol de 3</t>
  </si>
  <si>
    <t>Milieu de passe/trou à Parai</t>
  </si>
  <si>
    <t>Milieu de passe/ Trou à Parai</t>
  </si>
  <si>
    <t>Etale</t>
  </si>
  <si>
    <t xml:space="preserve">2 requins tigre </t>
  </si>
  <si>
    <t xml:space="preserve">Marche/Plateau: 2éme marteau tache blanche sur flanc gauche </t>
  </si>
  <si>
    <t>Jeune femelle au niveau du plateau</t>
  </si>
  <si>
    <t>Femelle nous passe au dessus au niveau du trou à Parai</t>
  </si>
  <si>
    <t>ID_Database</t>
  </si>
  <si>
    <t>20-01-02-F-1</t>
  </si>
  <si>
    <t>20-01-12-F-1</t>
  </si>
  <si>
    <t>20-01-09-F-1</t>
  </si>
  <si>
    <t>20-01-09-F-2</t>
  </si>
  <si>
    <t>20-01-15-F-1</t>
  </si>
  <si>
    <t>20-01-17-F-1</t>
  </si>
  <si>
    <t>20-01-17-F-2</t>
  </si>
  <si>
    <t>20-01-17-F-3</t>
  </si>
  <si>
    <t>20-01-17-F-4</t>
  </si>
  <si>
    <t>20-01-17-F-5</t>
  </si>
  <si>
    <t>Plateau/trou à Parai</t>
  </si>
  <si>
    <t xml:space="preserve">Milieu de passe </t>
  </si>
  <si>
    <t xml:space="preserve">Plateau/Plateau/Plateau/Milieu de passe/Milieu de Passe/Milieu de passe </t>
  </si>
  <si>
    <t>Plateau/Plateau/Plateau/Plateau</t>
  </si>
  <si>
    <t xml:space="preserve">Plateau/Milieu de passe </t>
  </si>
  <si>
    <t xml:space="preserve">Plateau/trou à Parai </t>
  </si>
  <si>
    <t>TOP DIVE</t>
  </si>
  <si>
    <t>20-01-17-F-6</t>
  </si>
  <si>
    <t>20-01-17-F-7</t>
  </si>
  <si>
    <t>20-01-17-F-8</t>
  </si>
  <si>
    <t>une big mama au moin</t>
  </si>
  <si>
    <t>Une grosse femelle avant les canyons au loin à l'étale</t>
  </si>
  <si>
    <t>Une grosse femelle au plateau</t>
  </si>
  <si>
    <t>5 marteaux se suivent toutes les 2 min en sortant du lagon en bas de la grotte à requin, "route" bien identifiée, une mesure laser exploitable</t>
  </si>
  <si>
    <t>Dans le bleu au niveau de la marche</t>
  </si>
  <si>
    <t>Sur la marche</t>
  </si>
  <si>
    <t>Milieu de passe il sort du lagon</t>
  </si>
  <si>
    <t>Haut du plateau</t>
  </si>
  <si>
    <t>3 marteaux sur le plateau qui tournent</t>
  </si>
  <si>
    <t>3 observations sur le plateau, vol de raie léopard</t>
  </si>
  <si>
    <t>30/50</t>
  </si>
  <si>
    <t>un marteau au loin sur le plateau, pas de gris, très fort courant</t>
  </si>
  <si>
    <t>Sur les raynures, Anto laserise le même avec la platine 50, beau mur de gris, 3 raies léopard</t>
  </si>
  <si>
    <t>Un marteau clair au loin, le mur de gris est décalé sur le fond, vol de raies de 30-50 individus dans les canyons du lagon rentrant dans le lagon</t>
  </si>
  <si>
    <t>Un marteau au loin sur le plateau, 3 raies aigle léopard</t>
  </si>
  <si>
    <t>une femelle lasérisée des 2 côtés entre la grotte et les raynure, fort courant, mauvaise visi, beau mur de gris, raies léopard au plateau</t>
  </si>
  <si>
    <t>Observé sur la partie très au nord ouest du plateau à marteau</t>
  </si>
  <si>
    <t>Observé sur la marche</t>
  </si>
  <si>
    <t>à la mise à l'eau directement avnt la grotte au requin côté aéroport</t>
  </si>
  <si>
    <t>Perce avant la grotte côté tombant</t>
  </si>
  <si>
    <t xml:space="preserve">Arrive de derrière sur le fond </t>
  </si>
  <si>
    <t>smelling retour des pêcheurs à Avatoru,  1er dorsale arrondie à l'extrémité</t>
  </si>
  <si>
    <t>1 dans la passe avant les canyons côté joséphine</t>
  </si>
  <si>
    <t>200121_MOK01</t>
  </si>
  <si>
    <t>200121_MOK02</t>
  </si>
  <si>
    <t>200121_MOK03</t>
  </si>
  <si>
    <t>200121_MOK04</t>
  </si>
  <si>
    <t>200121_MOK05</t>
  </si>
  <si>
    <t>200121_MOK06</t>
  </si>
  <si>
    <t>200121_MOK07</t>
  </si>
  <si>
    <t>200121_MOK08</t>
  </si>
  <si>
    <t>1 au niveau de la marche</t>
  </si>
  <si>
    <t>1 sur le plateau</t>
  </si>
  <si>
    <t>1 autre sur le plateau</t>
  </si>
  <si>
    <t>200129_MOK01</t>
  </si>
  <si>
    <t>200130_MOK01</t>
  </si>
  <si>
    <t>200208_MOK02</t>
  </si>
  <si>
    <t>200129_MOK02</t>
  </si>
  <si>
    <t>200129_MOK03</t>
  </si>
  <si>
    <t>200129_MOK04</t>
  </si>
  <si>
    <t>200129_MOK05</t>
  </si>
  <si>
    <t>200129_MOK06</t>
  </si>
  <si>
    <t>200129_MOK07</t>
  </si>
  <si>
    <t>200129_MOK08</t>
  </si>
  <si>
    <t>200130_MOK02</t>
  </si>
  <si>
    <t>200130_MOK03</t>
  </si>
  <si>
    <t>200130_MOK04</t>
  </si>
  <si>
    <t>200130_MOK05</t>
  </si>
  <si>
    <t>200130_MOK06</t>
  </si>
  <si>
    <t>200212_MOK01</t>
  </si>
  <si>
    <t>200208_MOK01</t>
  </si>
  <si>
    <t>200208_MOK03</t>
  </si>
  <si>
    <t>200208_MOK04</t>
  </si>
  <si>
    <t>200208_MOK05</t>
  </si>
  <si>
    <t>200208_MOK06</t>
  </si>
  <si>
    <t>200208_MOK07</t>
  </si>
  <si>
    <t>200208_MOK08</t>
  </si>
  <si>
    <t>200208_MOK09</t>
  </si>
  <si>
    <t>200208_MOK11</t>
  </si>
  <si>
    <t>1 individus sur la matche au niveau de l'angle 1 des 2 lasers ne marche pas</t>
  </si>
  <si>
    <t>200125_MOK01</t>
  </si>
  <si>
    <t>200125_MOK02</t>
  </si>
  <si>
    <t>200125_MOK03</t>
  </si>
  <si>
    <t>200125_MOK04</t>
  </si>
  <si>
    <t>200125_MOK05</t>
  </si>
  <si>
    <t>200125_MOK06</t>
  </si>
  <si>
    <t>200125_MOK07</t>
  </si>
  <si>
    <t>200125_MOK08</t>
  </si>
  <si>
    <t>200125_MOK09</t>
  </si>
  <si>
    <t>200125_MOK10</t>
  </si>
  <si>
    <t>200125_MOK11</t>
  </si>
  <si>
    <t>4 ou 5 individus en même temps, tous curieux mais plusieurs laserisation par individu (à regrouper en post traitement)</t>
  </si>
  <si>
    <t>200118_MOK01</t>
  </si>
  <si>
    <t>200119_MOK01</t>
  </si>
  <si>
    <t>200118_MOK02</t>
  </si>
  <si>
    <t>200118_MOK03</t>
  </si>
  <si>
    <t>200118_MOK04</t>
  </si>
  <si>
    <t>LAURENT Enzo</t>
  </si>
  <si>
    <t>Tourne sur le plateau</t>
  </si>
  <si>
    <t>200118_MOK05</t>
  </si>
  <si>
    <t>200119_MOK02</t>
  </si>
  <si>
    <t>200119_MOK03</t>
  </si>
  <si>
    <t>200119_MOK04</t>
  </si>
  <si>
    <t>3 individus en même temps, au niveau des rainures</t>
  </si>
  <si>
    <t>3 individus en même temps, au niveau des rainures /Lobe caudale sup abimé, flanc gauche boursoufflé au niveau de la pelvienne</t>
  </si>
  <si>
    <t>200120_MOK01</t>
  </si>
  <si>
    <t>200120_MOK02</t>
  </si>
  <si>
    <t>200120_MOK03</t>
  </si>
  <si>
    <t>200120_MOK04</t>
  </si>
  <si>
    <t>200120_MOK05</t>
  </si>
  <si>
    <t>200122_MOK01</t>
  </si>
  <si>
    <t>200124_MOK01</t>
  </si>
  <si>
    <t>200122_MOK02</t>
  </si>
  <si>
    <t>200122_MOK03</t>
  </si>
  <si>
    <t>200123_MOK01</t>
  </si>
  <si>
    <t>200123_MOK02</t>
  </si>
  <si>
    <t>200123_MOK03</t>
  </si>
  <si>
    <t>200126_MOK01</t>
  </si>
  <si>
    <t>Au dessus du tombant</t>
  </si>
  <si>
    <t>200124_MOK02</t>
  </si>
  <si>
    <t>200124_MOK03</t>
  </si>
  <si>
    <t>200124_MOK04</t>
  </si>
  <si>
    <t>200124_MOK05</t>
  </si>
  <si>
    <t>4 ou 5 individus différents - trop loin pour laser</t>
  </si>
  <si>
    <t>4 ou 5 individus différents - Avec Raie Manta trop loin pour laser</t>
  </si>
  <si>
    <t>200202_MOK01</t>
  </si>
  <si>
    <t>200202_MOK02</t>
  </si>
  <si>
    <t>200202_MOK03</t>
  </si>
  <si>
    <t>200207_MOK01</t>
  </si>
  <si>
    <t>200213_MOK01</t>
  </si>
  <si>
    <t>200218_MOK01</t>
  </si>
  <si>
    <t>200219_MOK01</t>
  </si>
  <si>
    <t>7 en même temps + 2 sur la partie haute du plateau au marteau + 1 dans la passe avant les canyons côté joséphine</t>
  </si>
  <si>
    <t>7 en même temps + 2 sur la partie haute du plateau au marteau + 1 dans la passe avant les canyons côté joséphine - MARQUE SUR LE FLAN GAUCHE</t>
  </si>
  <si>
    <t>7 en même temps + 2 sur la partie haute du plateau au marteau + 1 dans la passe avant les canyons côté joséphine - DORSALE TRONQUEE ARRONDIE</t>
  </si>
  <si>
    <t>7 en même temps + 2 sur la partie haute du plateau au marteau + 1 dans la passe avant les canyons côté joséphine - PAS DE MARQUE</t>
  </si>
  <si>
    <t>1 sur la partie haute du plateau au marteau -  GROSSE FEMELLE _NON laserisée</t>
  </si>
  <si>
    <t>1 sur la partie haute du plateau au marteau - Petite femelle à coté grosse femmelle</t>
  </si>
  <si>
    <t>200126_MOK02</t>
  </si>
  <si>
    <t>200126_MOK03</t>
  </si>
  <si>
    <t>200126_MOK04</t>
  </si>
  <si>
    <t>200126_MOK05</t>
  </si>
  <si>
    <t>200126_MOK06</t>
  </si>
  <si>
    <t>200219_MOK02</t>
  </si>
  <si>
    <t>No DB DATA</t>
  </si>
  <si>
    <t>200117_MOK01</t>
  </si>
  <si>
    <t>200117_MOK02</t>
  </si>
  <si>
    <t>200117_MOK03</t>
  </si>
  <si>
    <t>200117_MOK04</t>
  </si>
  <si>
    <t>200117_MOK05</t>
  </si>
  <si>
    <t>200117_MOK06</t>
  </si>
  <si>
    <t>200117_MOK07</t>
  </si>
  <si>
    <t>200117_MOK08</t>
  </si>
  <si>
    <t>200117_Avatoru_MOK01</t>
  </si>
  <si>
    <t>200116_MOK01</t>
  </si>
  <si>
    <t>200115_MOK01</t>
  </si>
  <si>
    <t>200115_MOK02</t>
  </si>
  <si>
    <t>200115_MOK03</t>
  </si>
  <si>
    <t>200112_MOK01</t>
  </si>
  <si>
    <t>200112_MOK02</t>
  </si>
  <si>
    <t>200109_MOK01</t>
  </si>
  <si>
    <t>200109_MOK02</t>
  </si>
  <si>
    <t>200107_MOK01</t>
  </si>
  <si>
    <t>200103_MOK01</t>
  </si>
  <si>
    <t>200103_MOK02</t>
  </si>
  <si>
    <t>200102_MOK01</t>
  </si>
  <si>
    <t>Très claire et grosse</t>
  </si>
  <si>
    <t>20-01-18-F-1</t>
  </si>
  <si>
    <t>20-01-19-F-1</t>
  </si>
  <si>
    <t>20-01-21-F-2</t>
  </si>
  <si>
    <t>20-01-21-F-1</t>
  </si>
  <si>
    <t>20-01-21-F-3</t>
  </si>
  <si>
    <t>20-01-21-F-4</t>
  </si>
  <si>
    <t>20-01-21-F-5</t>
  </si>
  <si>
    <t>20-01-22-NI-1</t>
  </si>
  <si>
    <t>20-02-18-F-1</t>
  </si>
  <si>
    <t>Une grosse claire</t>
  </si>
  <si>
    <t>YAKA Plongée</t>
  </si>
  <si>
    <t>Présent</t>
  </si>
  <si>
    <t>Marteau nageant vers l'océan côté Tiputa. Sexe non identifié. Taille environ 3m. Cicatrice en forme de demi lune entre la dorsale et la caudale</t>
  </si>
  <si>
    <t>Absent</t>
  </si>
  <si>
    <t>1</t>
  </si>
  <si>
    <t>2 tigres</t>
  </si>
  <si>
    <t>Non</t>
  </si>
  <si>
    <t>Marteau à l'angle. début rentrant. sexe NI. 3m</t>
  </si>
  <si>
    <t>Marteau mâle au premier canyon. Rentrant. 2m. Clair</t>
  </si>
  <si>
    <t>4</t>
  </si>
  <si>
    <t>Banc d'ature et requin gris</t>
  </si>
  <si>
    <t>C. sortant. Marteau sur le reef. Sexe NI. 3M. Brun</t>
  </si>
  <si>
    <t>Marteau à la grotte aux requins. Rentrant. NI. 3m. brun</t>
  </si>
  <si>
    <t>6</t>
  </si>
  <si>
    <t>aux rayures, milieu de passe</t>
  </si>
  <si>
    <t>Raie manta  - début rentrant</t>
  </si>
  <si>
    <t>Fin de rentrant étale - 1 marteau grotte aux requins foncé, 3m, rentre dans le lagon. 1 marteau mâle, 2m80, très clair, bout de la dorsale en moins, vu avant le premier canyon, il va vers l'océan.</t>
  </si>
  <si>
    <t>2</t>
  </si>
  <si>
    <t>2 raies dans le canyon</t>
  </si>
  <si>
    <t>Rentrant, 2 marteaux dans le bleu milieu de passe. Sexe NI</t>
  </si>
  <si>
    <t>rentrant, 1 marteau mâle 2,80m, au niveau du cable côté Joséphine</t>
  </si>
  <si>
    <t>Rentrant, 2 marteaux au plateau, 1 clair 3m et 1 foncé 3,5m</t>
  </si>
  <si>
    <t>Marteau clair 3m avant les canyons</t>
  </si>
  <si>
    <t>1 femelle tigre pleine, 4m, aux rayures</t>
  </si>
  <si>
    <t>Marteau femelle, 3,5m, sortant dans le bleu avec des rayures sur le flanc gauche sous la dorsale</t>
  </si>
  <si>
    <t>31-50</t>
  </si>
  <si>
    <t>36 raies</t>
  </si>
  <si>
    <t xml:space="preserve">Etale sortant, 1 marteau non identifié et 1 femelle, 3m, Claire, avec la dorsale un peu penchée, sur le récif </t>
  </si>
  <si>
    <t>Photo Volker</t>
  </si>
  <si>
    <t>Oui</t>
  </si>
  <si>
    <t>1 marteau courant rentrant, 3.5m. Lagon vers océean milieu de passe</t>
  </si>
  <si>
    <t>Courant sortant, 1 marteau femelle, claire, 3.5m, suit le récif vers la passe</t>
  </si>
  <si>
    <t>16-30</t>
  </si>
  <si>
    <t>vol de raies</t>
  </si>
  <si>
    <t>Courant sortant, 1 marteau qui suit le récif en direction de la passe</t>
  </si>
  <si>
    <t>7-10</t>
  </si>
  <si>
    <t xml:space="preserve">courant rentrant 10 raies au plateau </t>
  </si>
  <si>
    <t>Fin de rentrant, marteau non identifié</t>
  </si>
  <si>
    <t>3 tigres dans le lagon</t>
  </si>
  <si>
    <t>2 marteaux le long du tombant côté Tiputa</t>
  </si>
  <si>
    <t>1 raie au plateau</t>
  </si>
  <si>
    <t>1 marteau femelle, 3,5m, pas de marque, dans le lagon après les canyons, sort, toute fin de rentrant</t>
  </si>
  <si>
    <t>environ 50 raies</t>
  </si>
  <si>
    <t>1 requin baleine caudale tronquée à l'angle - 1 tigre milieu de passe</t>
  </si>
  <si>
    <t>1 marteau, 3m, une tache au niveau des branchies flanc gauche, rien à droite, aux rayures</t>
  </si>
  <si>
    <t>Rentrant 1 Marteau qui sort en longeant côté Tiputa</t>
  </si>
  <si>
    <t>12 raies aux rayures</t>
  </si>
  <si>
    <t>14 raies aux rayures</t>
  </si>
  <si>
    <t>1 tigre entre l'angle et les rayures - Gris à la grotte</t>
  </si>
  <si>
    <t>Aux Rayures</t>
  </si>
  <si>
    <t>2 marteaux femelle au plateau, 1 de 3m et 1 moins de 3m. 1 marteau milieu de passe à hauteur des canyons moins de 3m</t>
  </si>
  <si>
    <t>Rentrant, 1 marteau de 3m au plateau et 1 marteau femelle de 3m pas de marque, à la grotte aux requins</t>
  </si>
  <si>
    <t>25 raies au plateau</t>
  </si>
  <si>
    <t>1 tigre à la grotte aussi</t>
  </si>
  <si>
    <t>Etale, 1 grosse mémère apreçue</t>
  </si>
  <si>
    <t xml:space="preserve">au plateau </t>
  </si>
  <si>
    <t>Début rentrant, 2 marteaux aux rayures 1 petit de 2m50 et un de 3m et au plateau 3 marteaux femelle en même temps dont 1 de 3m avec des rayures sous la dorsale flanc gauche</t>
  </si>
  <si>
    <t>14 raies</t>
  </si>
  <si>
    <t>1 requin citron</t>
  </si>
  <si>
    <t>Etzle, 1 marteau entre les 2 canyons clair et en pleine eau</t>
  </si>
  <si>
    <t>1 marteau au plateau et 1 marteau dans la passe vers les canyons</t>
  </si>
  <si>
    <t>5</t>
  </si>
  <si>
    <t>3 raies au plateau et 2 dans la passe</t>
  </si>
  <si>
    <t>fin de rentrant</t>
  </si>
  <si>
    <t>2 marteaux au plateau</t>
  </si>
  <si>
    <t xml:space="preserve">6 raies au plateau </t>
  </si>
  <si>
    <t xml:space="preserve">2 marteaux au plateau </t>
  </si>
  <si>
    <t>2 marteaux au plateau 3m et 1 marteau avant le 1er canyon qui sort, 3m, bianca, enceinte</t>
  </si>
  <si>
    <t>1 marteau femelle de 3m</t>
  </si>
  <si>
    <t>1 tigre et 1 tapete</t>
  </si>
  <si>
    <t>2 vols de raies de 6 et 8 en train de rentrer dans le lagon</t>
  </si>
  <si>
    <t>Début rentrant</t>
  </si>
  <si>
    <t>2 marteaux aux rayures, 3,5m et 2,80m</t>
  </si>
  <si>
    <t>1 tigre avant 1er canyon, sort</t>
  </si>
  <si>
    <t>1 marteau aux rayures</t>
  </si>
  <si>
    <t xml:space="preserve">18 raies </t>
  </si>
  <si>
    <t>20-01-20-F-1</t>
  </si>
  <si>
    <t>20-01-20-F-2</t>
  </si>
  <si>
    <t>tache blanche sur le flanc gauche</t>
  </si>
  <si>
    <t>20-01-20-F-3</t>
  </si>
  <si>
    <t>20-01-25-F-1</t>
  </si>
  <si>
    <t>200224_MOK01</t>
  </si>
  <si>
    <t>Passe au niveau des canyons</t>
  </si>
  <si>
    <t>200226_MOK01</t>
  </si>
  <si>
    <t>2 passages du bleu vers le tombant à 110m</t>
  </si>
  <si>
    <t>20-01-25-F-2</t>
  </si>
  <si>
    <t>20-01-25-F-3</t>
  </si>
  <si>
    <t>20-01-25-F-4</t>
  </si>
  <si>
    <t>20-01-25-F-5</t>
  </si>
  <si>
    <t>20-01-25-F-6</t>
  </si>
  <si>
    <t>20-01-25-F-7</t>
  </si>
  <si>
    <t>20-01-25-F-8</t>
  </si>
  <si>
    <t>20-01-25-F-9</t>
  </si>
  <si>
    <t>Cicatrice flanc droit au dessus des branchies</t>
  </si>
  <si>
    <t>20-01-26-F-1</t>
  </si>
  <si>
    <t>20-01-26-F-2</t>
  </si>
  <si>
    <t>20-01-26-F-3</t>
  </si>
  <si>
    <t>20-01-29-NI-1</t>
  </si>
  <si>
    <t>20-01-29-F-2</t>
  </si>
  <si>
    <t>20-01-29-F-3</t>
  </si>
  <si>
    <t>20-02-12-F-1</t>
  </si>
  <si>
    <t>20-02-26-F-1</t>
  </si>
  <si>
    <t>20-01-30-NI-1</t>
  </si>
  <si>
    <t>20-01-30-NI-2</t>
  </si>
  <si>
    <t>20-01-30-F-3</t>
  </si>
  <si>
    <t>20-01-30-F-4</t>
  </si>
  <si>
    <t>20-02-02-NI-1</t>
  </si>
  <si>
    <t>20-02-02-NI-2</t>
  </si>
  <si>
    <t>20-02-08-F-1</t>
  </si>
  <si>
    <t>min 4 individus différents en même Temps. 2 lasers qui travaillent en même temps (beaucoup de données)</t>
  </si>
  <si>
    <t>200208_MOK12</t>
  </si>
  <si>
    <t>20-02-08-F-2</t>
  </si>
  <si>
    <t>20-02-08-F-3</t>
  </si>
  <si>
    <t>20-02-08-F-4</t>
  </si>
  <si>
    <t>20-02-08-F-5</t>
  </si>
  <si>
    <t>20-02-07-NI-1</t>
  </si>
  <si>
    <t>20-02-08-F-6</t>
  </si>
  <si>
    <t>tache blanche lobe supérieur de la caudale côté droit</t>
  </si>
  <si>
    <t>tache blanche dessus et et flanc droit au dessus des branchies</t>
  </si>
  <si>
    <t>20-02-08-F-7</t>
  </si>
  <si>
    <t>20-02-08-F-8</t>
  </si>
  <si>
    <t>20-02-08-F-9</t>
  </si>
  <si>
    <t>CORRECTION Back Office</t>
  </si>
  <si>
    <t>20-02-08-F-10</t>
  </si>
  <si>
    <t>200208_MOK13</t>
  </si>
  <si>
    <t>20-02-08-F-11</t>
  </si>
  <si>
    <t>Dorsale tronquée arrondie</t>
  </si>
  <si>
    <t>Marque sur le flanc gauche</t>
  </si>
  <si>
    <t>ID_Back_Office</t>
  </si>
  <si>
    <t>Dive_ID2</t>
  </si>
  <si>
    <t>Dive_Duration</t>
  </si>
  <si>
    <t>Dive_Type</t>
  </si>
  <si>
    <t>Dive_Site</t>
  </si>
  <si>
    <t>Dive_Current</t>
  </si>
  <si>
    <t>Dive_Year</t>
  </si>
  <si>
    <t>Dive_Day</t>
  </si>
  <si>
    <t>Dive_Month</t>
  </si>
  <si>
    <t>Dive_Hour</t>
  </si>
  <si>
    <t>Day_Phase</t>
  </si>
  <si>
    <t>Depth</t>
  </si>
  <si>
    <t>Location</t>
  </si>
  <si>
    <t xml:space="preserve">  Sex</t>
  </si>
  <si>
    <t>Identification_marks</t>
  </si>
  <si>
    <t xml:space="preserve">Observed_attitude </t>
  </si>
  <si>
    <t>LT_Cliff_1995</t>
  </si>
  <si>
    <t>LT</t>
  </si>
  <si>
    <t>Laser_(30/50)</t>
  </si>
  <si>
    <t>Très gros spécimen de couleur très claire</t>
  </si>
  <si>
    <t>Moon_Age</t>
  </si>
  <si>
    <t>Tidal_coefficient</t>
  </si>
  <si>
    <t>H+_start_floodflow</t>
  </si>
  <si>
    <t>HUAN Anne-Charlotte</t>
  </si>
  <si>
    <t>Ebb Flow</t>
  </si>
  <si>
    <t>route entre l'éolienne et al passe</t>
  </si>
  <si>
    <t>Moon_phase_calculee</t>
  </si>
  <si>
    <t>Length_class</t>
  </si>
  <si>
    <t>Length_class_Cliff</t>
  </si>
  <si>
    <t>Tidal_Coeficient</t>
  </si>
  <si>
    <t>Dorsale atypique</t>
  </si>
  <si>
    <t>contour du lobe supérieur de la caudale entaillé et appendice tronqué</t>
  </si>
  <si>
    <t>200126_MOK07</t>
  </si>
  <si>
    <t>lobe supérieur de la caudale tronqué</t>
  </si>
  <si>
    <t>200126_MOK08</t>
  </si>
</sst>
</file>

<file path=xl/styles.xml><?xml version="1.0" encoding="utf-8"?>
<styleSheet xmlns="http://schemas.openxmlformats.org/spreadsheetml/2006/main">
  <numFmts count="5">
    <numFmt numFmtId="164" formatCode="h:mm;@"/>
    <numFmt numFmtId="165" formatCode="0.0"/>
    <numFmt numFmtId="166" formatCode="dd/mm/yy;@"/>
    <numFmt numFmtId="167" formatCode="dd/mm/yy"/>
    <numFmt numFmtId="168" formatCode="[$-40C]d\-mmm\-yy;@"/>
  </numFmts>
  <fonts count="1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4D5D2C"/>
        <bgColor auto="1"/>
      </patternFill>
    </fill>
    <fill>
      <patternFill patternType="solid">
        <fgColor rgb="FF0F243E"/>
        <bgColor auto="1"/>
      </patternFill>
    </fill>
    <fill>
      <patternFill patternType="solid">
        <fgColor rgb="FF388194"/>
        <bgColor auto="1"/>
      </patternFill>
    </fill>
    <fill>
      <patternFill patternType="solid">
        <fgColor rgb="FF7F7F7F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ck">
        <color indexed="64"/>
      </right>
      <top/>
      <bottom style="thin">
        <color theme="4" tint="0.39997558519241921"/>
      </bottom>
      <diagonal/>
    </border>
    <border>
      <left/>
      <right style="thick">
        <color indexed="64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FFFFFF"/>
      </top>
      <bottom style="thin">
        <color rgb="FFFFFFFF"/>
      </bottom>
      <diagonal/>
    </border>
    <border>
      <left style="thin">
        <color rgb="FFFFFFFF"/>
      </left>
      <right/>
      <top style="thick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ck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/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ck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49" fontId="0" fillId="0" borderId="0" xfId="0" applyNumberFormat="1" applyBorder="1"/>
    <xf numFmtId="49" fontId="0" fillId="0" borderId="0" xfId="0" applyNumberFormat="1"/>
    <xf numFmtId="49" fontId="2" fillId="2" borderId="9" xfId="0" applyNumberFormat="1" applyFont="1" applyFill="1" applyBorder="1" applyAlignment="1">
      <alignment horizontal="center" vertical="center" wrapText="1"/>
    </xf>
    <xf numFmtId="49" fontId="2" fillId="2" borderId="10" xfId="0" applyNumberFormat="1" applyFont="1" applyFill="1" applyBorder="1" applyAlignment="1">
      <alignment horizontal="center" vertical="center" wrapText="1"/>
    </xf>
    <xf numFmtId="49" fontId="2" fillId="3" borderId="10" xfId="0" applyNumberFormat="1" applyFont="1" applyFill="1" applyBorder="1" applyAlignment="1">
      <alignment horizontal="center" vertical="center" wrapText="1"/>
    </xf>
    <xf numFmtId="49" fontId="2" fillId="4" borderId="10" xfId="0" applyNumberFormat="1" applyFont="1" applyFill="1" applyBorder="1" applyAlignment="1">
      <alignment horizontal="center" vertical="center" wrapText="1"/>
    </xf>
    <xf numFmtId="49" fontId="2" fillId="5" borderId="10" xfId="0" applyNumberFormat="1" applyFont="1" applyFill="1" applyBorder="1" applyAlignment="1">
      <alignment horizontal="center" vertical="center" wrapText="1"/>
    </xf>
    <xf numFmtId="49" fontId="2" fillId="5" borderId="11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49" fontId="4" fillId="3" borderId="10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164" fontId="7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65" fontId="7" fillId="0" borderId="1" xfId="0" applyNumberFormat="1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vertical="center" wrapText="1"/>
    </xf>
    <xf numFmtId="0" fontId="8" fillId="0" borderId="0" xfId="0" applyFont="1" applyFill="1" applyAlignment="1">
      <alignment wrapText="1"/>
    </xf>
    <xf numFmtId="166" fontId="9" fillId="0" borderId="1" xfId="0" applyNumberFormat="1" applyFont="1" applyFill="1" applyBorder="1" applyAlignment="1">
      <alignment horizontal="center"/>
    </xf>
    <xf numFmtId="164" fontId="9" fillId="0" borderId="1" xfId="0" applyNumberFormat="1" applyFont="1" applyFill="1" applyBorder="1" applyAlignment="1">
      <alignment horizontal="center"/>
    </xf>
    <xf numFmtId="0" fontId="9" fillId="0" borderId="1" xfId="0" applyNumberFormat="1" applyFont="1" applyFill="1" applyBorder="1" applyAlignment="1">
      <alignment horizontal="center"/>
    </xf>
    <xf numFmtId="1" fontId="9" fillId="0" borderId="1" xfId="0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center"/>
    </xf>
    <xf numFmtId="0" fontId="9" fillId="0" borderId="2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 applyAlignment="1"/>
    <xf numFmtId="1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166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9" fillId="0" borderId="3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/>
    <xf numFmtId="0" fontId="9" fillId="0" borderId="0" xfId="0" applyFont="1" applyFill="1" applyAlignment="1">
      <alignment horizontal="left"/>
    </xf>
    <xf numFmtId="1" fontId="9" fillId="0" borderId="0" xfId="0" applyNumberFormat="1" applyFont="1" applyFill="1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" fontId="9" fillId="0" borderId="0" xfId="0" applyNumberFormat="1" applyFont="1" applyBorder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Fill="1" applyBorder="1" applyAlignment="1"/>
    <xf numFmtId="0" fontId="9" fillId="7" borderId="1" xfId="0" applyNumberFormat="1" applyFont="1" applyFill="1" applyBorder="1" applyAlignment="1">
      <alignment horizontal="center"/>
    </xf>
    <xf numFmtId="164" fontId="9" fillId="6" borderId="1" xfId="0" applyNumberFormat="1" applyFont="1" applyFill="1" applyBorder="1" applyAlignment="1">
      <alignment horizontal="center"/>
    </xf>
    <xf numFmtId="20" fontId="9" fillId="0" borderId="0" xfId="0" applyNumberFormat="1" applyFont="1" applyFill="1" applyAlignment="1">
      <alignment horizontal="center" vertical="center"/>
    </xf>
    <xf numFmtId="0" fontId="9" fillId="0" borderId="0" xfId="0" applyFont="1"/>
    <xf numFmtId="0" fontId="9" fillId="0" borderId="0" xfId="0" applyFont="1" applyAlignment="1"/>
    <xf numFmtId="0" fontId="9" fillId="0" borderId="0" xfId="0" applyFont="1" applyFill="1" applyAlignment="1"/>
    <xf numFmtId="20" fontId="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49" fontId="5" fillId="0" borderId="0" xfId="0" applyNumberFormat="1" applyFont="1" applyFill="1" applyAlignment="1">
      <alignment horizontal="center" vertical="center"/>
    </xf>
    <xf numFmtId="0" fontId="0" fillId="0" borderId="4" xfId="0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167" fontId="1" fillId="0" borderId="0" xfId="0" applyNumberFormat="1" applyFont="1" applyFill="1" applyAlignment="1">
      <alignment horizontal="center" vertical="center"/>
    </xf>
    <xf numFmtId="166" fontId="0" fillId="0" borderId="4" xfId="0" applyNumberFormat="1" applyFill="1" applyBorder="1" applyAlignment="1">
      <alignment horizontal="center" vertical="center"/>
    </xf>
    <xf numFmtId="166" fontId="0" fillId="0" borderId="6" xfId="0" applyNumberFormat="1" applyFill="1" applyBorder="1" applyAlignment="1">
      <alignment horizontal="center" vertical="center"/>
    </xf>
    <xf numFmtId="167" fontId="5" fillId="0" borderId="0" xfId="0" applyNumberFormat="1" applyFont="1" applyFill="1" applyAlignment="1">
      <alignment horizontal="center" vertical="center"/>
    </xf>
    <xf numFmtId="166" fontId="0" fillId="0" borderId="7" xfId="0" applyNumberFormat="1" applyFill="1" applyBorder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164" fontId="0" fillId="0" borderId="4" xfId="0" applyNumberFormat="1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1" fontId="0" fillId="0" borderId="4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" fontId="0" fillId="0" borderId="7" xfId="0" applyNumberForma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4" xfId="0" applyFill="1" applyBorder="1" applyAlignment="1">
      <alignment horizontal="left" vertical="center"/>
    </xf>
    <xf numFmtId="0" fontId="0" fillId="0" borderId="6" xfId="0" applyFill="1" applyBorder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0" fillId="0" borderId="7" xfId="0" applyFill="1" applyBorder="1" applyAlignment="1">
      <alignment horizontal="left" vertical="center"/>
    </xf>
    <xf numFmtId="0" fontId="0" fillId="0" borderId="5" xfId="0" applyFill="1" applyBorder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164" fontId="10" fillId="0" borderId="1" xfId="0" applyNumberFormat="1" applyFont="1" applyFill="1" applyBorder="1" applyAlignment="1">
      <alignment horizontal="center"/>
    </xf>
    <xf numFmtId="0" fontId="10" fillId="0" borderId="1" xfId="0" applyNumberFormat="1" applyFont="1" applyFill="1" applyBorder="1" applyAlignment="1">
      <alignment horizontal="center"/>
    </xf>
    <xf numFmtId="1" fontId="10" fillId="0" borderId="1" xfId="0" applyNumberFormat="1" applyFont="1" applyFill="1" applyBorder="1" applyAlignment="1">
      <alignment horizontal="center"/>
    </xf>
    <xf numFmtId="0" fontId="10" fillId="0" borderId="0" xfId="0" applyFont="1" applyFill="1" applyAlignment="1"/>
    <xf numFmtId="0" fontId="10" fillId="0" borderId="1" xfId="0" applyFont="1" applyFill="1" applyBorder="1" applyAlignment="1"/>
    <xf numFmtId="164" fontId="10" fillId="0" borderId="0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/>
    <xf numFmtId="1" fontId="9" fillId="0" borderId="0" xfId="0" applyNumberFormat="1" applyFont="1" applyFill="1"/>
    <xf numFmtId="1" fontId="9" fillId="0" borderId="0" xfId="0" applyNumberFormat="1" applyFont="1" applyFill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0" xfId="0" applyFont="1" applyFill="1" applyBorder="1"/>
    <xf numFmtId="0" fontId="9" fillId="0" borderId="0" xfId="0" applyNumberFormat="1" applyFont="1" applyFill="1" applyAlignment="1">
      <alignment horizontal="center"/>
    </xf>
    <xf numFmtId="164" fontId="9" fillId="8" borderId="1" xfId="0" applyNumberFormat="1" applyFont="1" applyFill="1" applyBorder="1" applyAlignment="1">
      <alignment horizontal="center"/>
    </xf>
    <xf numFmtId="0" fontId="9" fillId="6" borderId="1" xfId="0" applyNumberFormat="1" applyFont="1" applyFill="1" applyBorder="1" applyAlignment="1">
      <alignment horizont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/>
    </xf>
    <xf numFmtId="14" fontId="0" fillId="0" borderId="0" xfId="0" applyNumberFormat="1"/>
    <xf numFmtId="0" fontId="7" fillId="0" borderId="0" xfId="0" applyFont="1" applyFill="1" applyBorder="1" applyAlignment="1">
      <alignment horizontal="center" vertical="center" wrapText="1"/>
    </xf>
    <xf numFmtId="0" fontId="9" fillId="0" borderId="14" xfId="0" applyFont="1" applyFill="1" applyBorder="1" applyAlignment="1">
      <alignment horizontal="center"/>
    </xf>
    <xf numFmtId="1" fontId="9" fillId="0" borderId="15" xfId="0" applyNumberFormat="1" applyFont="1" applyFill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1" fontId="9" fillId="0" borderId="17" xfId="0" applyNumberFormat="1" applyFont="1" applyFill="1" applyBorder="1" applyAlignment="1">
      <alignment horizontal="center"/>
    </xf>
    <xf numFmtId="1" fontId="9" fillId="0" borderId="18" xfId="0" applyNumberFormat="1" applyFont="1" applyFill="1" applyBorder="1" applyAlignment="1">
      <alignment horizontal="center"/>
    </xf>
    <xf numFmtId="0" fontId="9" fillId="0" borderId="19" xfId="0" applyFont="1" applyFill="1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Font="1" applyFill="1" applyBorder="1" applyAlignment="1">
      <alignment horizontal="center"/>
    </xf>
    <xf numFmtId="0" fontId="10" fillId="0" borderId="19" xfId="0" applyFont="1" applyFill="1" applyBorder="1" applyAlignment="1">
      <alignment horizontal="center"/>
    </xf>
    <xf numFmtId="1" fontId="9" fillId="0" borderId="16" xfId="0" applyNumberFormat="1" applyFont="1" applyFill="1" applyBorder="1" applyAlignment="1">
      <alignment horizontal="center"/>
    </xf>
    <xf numFmtId="1" fontId="9" fillId="0" borderId="19" xfId="0" applyNumberFormat="1" applyFont="1" applyFill="1" applyBorder="1" applyAlignment="1">
      <alignment horizontal="center"/>
    </xf>
    <xf numFmtId="0" fontId="10" fillId="0" borderId="16" xfId="0" applyFont="1" applyFill="1" applyBorder="1" applyAlignment="1">
      <alignment horizontal="center"/>
    </xf>
    <xf numFmtId="0" fontId="10" fillId="0" borderId="20" xfId="0" applyFont="1" applyFill="1" applyBorder="1" applyAlignment="1">
      <alignment horizontal="center"/>
    </xf>
    <xf numFmtId="1" fontId="10" fillId="0" borderId="21" xfId="0" applyNumberFormat="1" applyFont="1" applyFill="1" applyBorder="1" applyAlignment="1">
      <alignment horizontal="center"/>
    </xf>
    <xf numFmtId="1" fontId="9" fillId="11" borderId="14" xfId="0" applyNumberFormat="1" applyFont="1" applyFill="1" applyBorder="1" applyAlignment="1">
      <alignment horizontal="center"/>
    </xf>
    <xf numFmtId="1" fontId="9" fillId="11" borderId="22" xfId="0" applyNumberFormat="1" applyFont="1" applyFill="1" applyBorder="1" applyAlignment="1">
      <alignment horizontal="center"/>
    </xf>
    <xf numFmtId="1" fontId="9" fillId="10" borderId="16" xfId="0" applyNumberFormat="1" applyFont="1" applyFill="1" applyBorder="1" applyAlignment="1">
      <alignment horizontal="center"/>
    </xf>
    <xf numFmtId="1" fontId="9" fillId="10" borderId="17" xfId="0" applyNumberFormat="1" applyFont="1" applyFill="1" applyBorder="1" applyAlignment="1">
      <alignment horizontal="center"/>
    </xf>
    <xf numFmtId="1" fontId="9" fillId="6" borderId="16" xfId="0" applyNumberFormat="1" applyFont="1" applyFill="1" applyBorder="1" applyAlignment="1">
      <alignment horizontal="center"/>
    </xf>
    <xf numFmtId="1" fontId="9" fillId="6" borderId="17" xfId="0" applyNumberFormat="1" applyFont="1" applyFill="1" applyBorder="1" applyAlignment="1">
      <alignment horizontal="center"/>
    </xf>
    <xf numFmtId="1" fontId="9" fillId="9" borderId="16" xfId="0" applyNumberFormat="1" applyFont="1" applyFill="1" applyBorder="1" applyAlignment="1">
      <alignment horizontal="center"/>
    </xf>
    <xf numFmtId="1" fontId="9" fillId="9" borderId="17" xfId="0" applyNumberFormat="1" applyFont="1" applyFill="1" applyBorder="1" applyAlignment="1">
      <alignment horizontal="center"/>
    </xf>
    <xf numFmtId="1" fontId="9" fillId="11" borderId="17" xfId="0" applyNumberFormat="1" applyFont="1" applyFill="1" applyBorder="1" applyAlignment="1">
      <alignment horizontal="center"/>
    </xf>
    <xf numFmtId="1" fontId="9" fillId="11" borderId="16" xfId="0" applyNumberFormat="1" applyFont="1" applyFill="1" applyBorder="1" applyAlignment="1">
      <alignment horizontal="center"/>
    </xf>
    <xf numFmtId="1" fontId="9" fillId="12" borderId="17" xfId="0" applyNumberFormat="1" applyFont="1" applyFill="1" applyBorder="1" applyAlignment="1">
      <alignment horizontal="center"/>
    </xf>
    <xf numFmtId="1" fontId="9" fillId="0" borderId="20" xfId="0" applyNumberFormat="1" applyFont="1" applyFill="1" applyBorder="1" applyAlignment="1">
      <alignment horizontal="center"/>
    </xf>
    <xf numFmtId="1" fontId="9" fillId="0" borderId="21" xfId="0" applyNumberFormat="1" applyFont="1" applyFill="1" applyBorder="1" applyAlignment="1">
      <alignment horizontal="center"/>
    </xf>
    <xf numFmtId="0" fontId="9" fillId="0" borderId="0" xfId="0" applyNumberFormat="1" applyFont="1" applyAlignment="1">
      <alignment horizontal="center" vertical="center"/>
    </xf>
    <xf numFmtId="0" fontId="9" fillId="0" borderId="1" xfId="0" quotePrefix="1" applyNumberFormat="1" applyFont="1" applyFill="1" applyBorder="1" applyAlignment="1">
      <alignment horizontal="center"/>
    </xf>
    <xf numFmtId="1" fontId="9" fillId="13" borderId="16" xfId="0" applyNumberFormat="1" applyFont="1" applyFill="1" applyBorder="1" applyAlignment="1">
      <alignment horizontal="center"/>
    </xf>
    <xf numFmtId="1" fontId="9" fillId="13" borderId="17" xfId="0" applyNumberFormat="1" applyFont="1" applyFill="1" applyBorder="1" applyAlignment="1">
      <alignment horizontal="center"/>
    </xf>
  </cellXfs>
  <cellStyles count="1"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/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:mm;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/mm/yy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rgb="FFFFFFFF"/>
        </left>
        <right style="thin">
          <color rgb="FFFFFFFF"/>
        </right>
        <top style="thick">
          <color rgb="FFFFFFFF"/>
        </top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rgb="FFFFFFFF"/>
        </right>
        <top style="thick">
          <color rgb="FFFFFFFF"/>
        </top>
        <bottom style="thin">
          <color rgb="FFFFFFFF"/>
        </bottom>
      </border>
    </dxf>
    <dxf>
      <border outline="0">
        <left style="thin">
          <color rgb="FFAAAAAA"/>
        </left>
        <top style="thin">
          <color rgb="FFAAAAAA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scheme val="minor"/>
      </font>
      <numFmt numFmtId="30" formatCode="@"/>
      <fill>
        <patternFill patternType="solid">
          <fgColor indexed="64"/>
          <bgColor rgb="FF388194"/>
        </patternFill>
      </fill>
      <alignment horizontal="center" vertical="center" textRotation="0" wrapText="1" indent="0" relativeIndent="255" justifyLastLine="0" shrinkToFit="0" readingOrder="0"/>
      <border diagonalUp="0" diagonalDown="0" outline="0">
        <left style="thin">
          <color rgb="FFFFFFFF"/>
        </left>
        <right style="thin">
          <color rgb="FFFFFFFF"/>
        </right>
        <top/>
        <bottom/>
      </border>
    </dxf>
    <dxf>
      <alignment horizontal="center" vertical="bottom" textRotation="0" wrapText="0" indent="0" relativeIndent="0" justifyLastLine="0" shrinkToFit="0" mergeCell="0" readingOrder="0"/>
    </dxf>
    <dxf>
      <numFmt numFmtId="168" formatCode="[$-40C]d\-mmm\-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8" formatCode="[$-40C]d\-mmm\-yy;@"/>
      <alignment horizontal="center" vertical="bottom" textRotation="0" wrapText="0" indent="0" relativeIndent="0" justifyLastLine="0" shrinkToFit="0" mergeCell="0" readingOrder="0"/>
    </dxf>
    <dxf>
      <numFmt numFmtId="30" formatCode="@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h:mm;@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h:mm;@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603250</xdr:colOff>
      <xdr:row>2</xdr:row>
      <xdr:rowOff>101022</xdr:rowOff>
    </xdr:from>
    <xdr:to>
      <xdr:col>12</xdr:col>
      <xdr:colOff>381000</xdr:colOff>
      <xdr:row>37</xdr:row>
      <xdr:rowOff>170745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889250" y="482022"/>
          <a:ext cx="6635750" cy="6737223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_Mok_Ocel_2003-2019_VF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_complete"/>
      <sheetName val="Observers "/>
      <sheetName val="Location Grid"/>
      <sheetName val="Attitude"/>
      <sheetName val="Observations"/>
      <sheetName val="Moon"/>
      <sheetName val="Tidal_coeficient"/>
      <sheetName val="Current"/>
      <sheetName val="Database_Mok_Ocel_2003-2019_V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ables/table1.xml><?xml version="1.0" encoding="utf-8"?>
<table xmlns="http://schemas.openxmlformats.org/spreadsheetml/2006/main" id="1" name="Table_complete_valeur" displayName="Table_complete_valeur" ref="A1:AL136" totalsRowShown="0" headerRowDxfId="63" dataDxfId="61" headerRowBorderDxfId="62" tableBorderDxfId="60">
  <autoFilter ref="A1:AL136">
    <filterColumn colId="0"/>
    <filterColumn colId="1"/>
    <filterColumn colId="17"/>
    <filterColumn colId="18"/>
    <filterColumn colId="33"/>
    <filterColumn colId="34"/>
  </autoFilter>
  <tableColumns count="38">
    <tableColumn id="35" name="Dive_ID2" dataDxfId="59"/>
    <tableColumn id="2" name="Dive_Date" dataDxfId="58"/>
    <tableColumn id="3" name="Time" dataDxfId="57"/>
    <tableColumn id="32" name="Observer" dataDxfId="56"/>
    <tableColumn id="4" name="Dive_Duration" dataDxfId="55"/>
    <tableColumn id="5" name="Dive_Type" dataDxfId="54"/>
    <tableColumn id="6" name="Divers" dataDxfId="53"/>
    <tableColumn id="7" name="Dive_Site" dataDxfId="52"/>
    <tableColumn id="8" name="Dive_Current" dataDxfId="51"/>
    <tableColumn id="9" name="Tidal_coefficient" dataDxfId="50">
      <calculatedColumnFormula>VLOOKUP([Dive_Date],Tidal_coeficient[],2,FALSE)</calculatedColumnFormula>
    </tableColumn>
    <tableColumn id="31" name="H+_start_floodflow" dataDxfId="49"/>
    <tableColumn id="10" name="Temperature" dataDxfId="48"/>
    <tableColumn id="11" name="Dive_Year" dataDxfId="47">
      <calculatedColumnFormula>YEAR(Table_complete_valeur[[#This Row],[Dive_Date]])</calculatedColumnFormula>
    </tableColumn>
    <tableColumn id="12" name="Dive_Day" dataDxfId="46">
      <calculatedColumnFormula>DAY(Table_complete_valeur[[#This Row],[Dive_Date]])</calculatedColumnFormula>
    </tableColumn>
    <tableColumn id="13" name="Dive_Month" dataDxfId="45">
      <calculatedColumnFormula>MONTH(Table_complete_valeur[[#This Row],[Dive_Date]])</calculatedColumnFormula>
    </tableColumn>
    <tableColumn id="14" name="Dive_Hour" dataDxfId="44">
      <calculatedColumnFormula>HOUR(Table_complete_valeur[[#This Row],[Time]])</calculatedColumnFormula>
    </tableColumn>
    <tableColumn id="15" name="Day_Phase" dataDxfId="43"/>
    <tableColumn id="20" name="Moon_Age" dataDxfId="42">
      <calculatedColumnFormula>VLOOKUP([Dive_Date],Moon_age[],2,FALSE)</calculatedColumnFormula>
    </tableColumn>
    <tableColumn id="25" name="Moon_phase_calculee" dataDxfId="41">
      <calculatedColumnFormula>IF(R2=0,"New Moon",IF(R2=7,"First Quarter",IF(R2=15,"Full Moon",IF(R2=22,"Last Quarter",""))))</calculatedColumnFormula>
    </tableColumn>
    <tableColumn id="16" name="Moon_Phase" dataDxfId="40"/>
    <tableColumn id="27" name="ID_Back_Office" dataDxfId="39"/>
    <tableColumn id="34" name="ID_Database" dataDxfId="38"/>
    <tableColumn id="19" name="ID_Observation" dataDxfId="37"/>
    <tableColumn id="21" name="Depth" dataDxfId="36"/>
    <tableColumn id="22" name="Location" dataDxfId="35"/>
    <tableColumn id="26" name="  Sex" dataDxfId="34"/>
    <tableColumn id="1" name="Laser_(30/50)" dataDxfId="33"/>
    <tableColumn id="17" name="LPC" dataDxfId="32"/>
    <tableColumn id="18" name="LF" dataDxfId="31"/>
    <tableColumn id="29" name="WH" dataDxfId="30"/>
    <tableColumn id="30" name="HD" dataDxfId="29"/>
    <tableColumn id="23" name="LT" dataDxfId="28"/>
    <tableColumn id="24" name="LT_Cliff_1995" dataDxfId="27">
      <calculatedColumnFormula>1.29*Table_complete_valeur[[#This Row],[LF]]+3.58</calculatedColumnFormula>
    </tableColumn>
    <tableColumn id="37" name="Length_class" dataDxfId="26">
      <calculatedColumnFormula>IF(AF2="","",IF(AF2&lt;250,"TL &lt; 250",IF(AF2&lt;300,"250 &lt; TL &lt; 300",IF(AF2&lt;350,"300 &lt; TL &lt; 350",IF(AF2&lt;400,"350 &lt; TL &lt; 400",IF(AF2&gt;400,"TL &gt; 400",""))))))</calculatedColumnFormula>
    </tableColumn>
    <tableColumn id="38" name="Length_class_Cliff" dataDxfId="25">
      <calculatedColumnFormula>IF(AG2="","",IF(AG2&lt;250,"TL &lt; 250",IF(AG2&lt;300,"250 &lt; TL &lt; 300",IF(AG2&lt;350,"300 &lt; TL &lt; 350",IF(AG2&lt;400,"350 &lt; TL &lt; 400",IF(AG2&gt;400,"TL &gt; 400",""))))))</calculatedColumnFormula>
    </tableColumn>
    <tableColumn id="28" name="Observed_attitude " dataDxfId="24"/>
    <tableColumn id="36" name="Identification_marks" dataDxfId="23"/>
    <tableColumn id="33" name="Comments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Moon" displayName="TblMoon" ref="K1:L9" totalsRowShown="0">
  <autoFilter ref="K1:L9"/>
  <tableColumns count="2">
    <tableColumn id="1" name="Moon_ID" dataDxfId="21"/>
    <tableColumn id="2" name="Moon_Phase" dataDxfId="2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4" name="Moon_age" displayName="Moon_age" ref="A1:B7018" totalsRowShown="0">
  <autoFilter ref="A1:B7018"/>
  <tableColumns count="2">
    <tableColumn id="1" name="Date" dataDxfId="19"/>
    <tableColumn id="2" name="Moon_Age" dataDxfId="18">
      <calculatedColumnFormula>INT(MOD($G$2+A2-$F$2,29.53))</calculatedColumnFormula>
    </tableColumn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5" name="Tidal_coeficient" displayName="Tidal_coeficient" ref="A1:B3774" totalsRowShown="0">
  <autoFilter ref="A1:B3774"/>
  <tableColumns count="2">
    <tableColumn id="1" name="Date" dataDxfId="17"/>
    <tableColumn id="2" name="Tidal_Coeficient" dataDxfId="1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3" name="Tableau3" displayName="Tableau3" ref="A1:L76" totalsRowShown="0" headerRowDxfId="15" dataDxfId="13" headerRowBorderDxfId="14" tableBorderDxfId="12">
  <autoFilter ref="A1:L76"/>
  <sortState ref="A2:L76">
    <sortCondition ref="C1:C76"/>
  </sortState>
  <tableColumns count="12">
    <tableColumn id="1" name="Nom du Club" dataDxfId="11"/>
    <tableColumn id="2" name="Moniteur" dataDxfId="10"/>
    <tableColumn id="3" name="Date" dataDxfId="9"/>
    <tableColumn id="4" name="Heure" dataDxfId="8"/>
    <tableColumn id="5" name="Marteau" dataDxfId="7"/>
    <tableColumn id="6" name="Nombre" dataDxfId="6"/>
    <tableColumn id="7" name="Localisation dans la Passe" dataDxfId="5"/>
    <tableColumn id="8" name="Raie Léopard" dataDxfId="4"/>
    <tableColumn id="9" name="Nombre2" dataDxfId="3"/>
    <tableColumn id="10" name="Localisation dans la Passe2" dataDxfId="2"/>
    <tableColumn id="11" name="Commentaires" dataDxfId="1"/>
    <tableColumn id="12" name="Photo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AO138"/>
  <sheetViews>
    <sheetView tabSelected="1" topLeftCell="T1" zoomScale="70" zoomScaleNormal="70" workbookViewId="0">
      <pane ySplit="1" topLeftCell="A45" activePane="bottomLeft" state="frozen"/>
      <selection activeCell="E15" sqref="E15"/>
      <selection pane="bottomLeft" activeCell="U50" sqref="U50"/>
    </sheetView>
  </sheetViews>
  <sheetFormatPr baseColWidth="10" defaultColWidth="11.42578125" defaultRowHeight="15"/>
  <cols>
    <col min="1" max="1" width="14.5703125" style="38" customWidth="1"/>
    <col min="2" max="2" width="13.85546875" style="38" customWidth="1"/>
    <col min="3" max="3" width="8.28515625" style="38" customWidth="1"/>
    <col min="4" max="4" width="23.85546875" style="38" customWidth="1"/>
    <col min="5" max="5" width="11" style="38" customWidth="1"/>
    <col min="6" max="6" width="8.5703125" style="38" customWidth="1"/>
    <col min="7" max="7" width="7.85546875" style="38" customWidth="1"/>
    <col min="8" max="8" width="18.140625" style="38" customWidth="1"/>
    <col min="9" max="9" width="13.85546875" style="38" customWidth="1"/>
    <col min="10" max="10" width="20.28515625" style="38" customWidth="1"/>
    <col min="11" max="11" width="12.140625" style="38" customWidth="1"/>
    <col min="12" max="12" width="16.28515625" style="38" customWidth="1"/>
    <col min="13" max="13" width="18.5703125" style="38" customWidth="1"/>
    <col min="14" max="14" width="10.42578125" style="38" customWidth="1"/>
    <col min="15" max="15" width="10.7109375" style="38" customWidth="1"/>
    <col min="16" max="16" width="7.5703125" style="38" customWidth="1"/>
    <col min="17" max="18" width="17.5703125" style="38" customWidth="1"/>
    <col min="19" max="19" width="16" style="38" customWidth="1"/>
    <col min="20" max="20" width="18.140625" style="38" customWidth="1"/>
    <col min="21" max="21" width="17.7109375" style="38" customWidth="1"/>
    <col min="22" max="22" width="23.140625" style="38" bestFit="1" customWidth="1"/>
    <col min="23" max="23" width="8.42578125" style="38" customWidth="1"/>
    <col min="24" max="24" width="12.140625" style="38" customWidth="1"/>
    <col min="25" max="25" width="15.85546875" style="38" customWidth="1"/>
    <col min="26" max="26" width="7.140625" style="38" customWidth="1"/>
    <col min="27" max="32" width="14.85546875" style="38" customWidth="1"/>
    <col min="33" max="33" width="16.7109375" style="38" customWidth="1"/>
    <col min="34" max="35" width="14.85546875" style="38" customWidth="1"/>
    <col min="36" max="36" width="27.140625" style="50" customWidth="1"/>
    <col min="37" max="37" width="61.140625" style="51" customWidth="1"/>
    <col min="38" max="38" width="164.28515625" style="52" bestFit="1" customWidth="1"/>
    <col min="39" max="39" width="55.85546875" style="38" customWidth="1"/>
    <col min="40" max="40" width="16.5703125" style="38" customWidth="1"/>
    <col min="41" max="41" width="115.85546875" style="39" customWidth="1"/>
    <col min="42" max="16384" width="11.42578125" style="38"/>
  </cols>
  <sheetData>
    <row r="1" spans="1:38" s="20" customFormat="1" ht="57" thickBot="1">
      <c r="A1" s="14" t="s">
        <v>465</v>
      </c>
      <c r="B1" s="14" t="s">
        <v>31</v>
      </c>
      <c r="C1" s="15" t="s">
        <v>30</v>
      </c>
      <c r="D1" s="15" t="s">
        <v>78</v>
      </c>
      <c r="E1" s="14" t="s">
        <v>466</v>
      </c>
      <c r="F1" s="14" t="s">
        <v>467</v>
      </c>
      <c r="G1" s="14" t="s">
        <v>29</v>
      </c>
      <c r="H1" s="14" t="s">
        <v>468</v>
      </c>
      <c r="I1" s="14" t="s">
        <v>469</v>
      </c>
      <c r="J1" s="16" t="s">
        <v>485</v>
      </c>
      <c r="K1" s="16" t="s">
        <v>486</v>
      </c>
      <c r="L1" s="17" t="s">
        <v>28</v>
      </c>
      <c r="M1" s="14" t="s">
        <v>470</v>
      </c>
      <c r="N1" s="14" t="s">
        <v>471</v>
      </c>
      <c r="O1" s="14" t="s">
        <v>472</v>
      </c>
      <c r="P1" s="14" t="s">
        <v>473</v>
      </c>
      <c r="Q1" s="14" t="s">
        <v>474</v>
      </c>
      <c r="R1" s="14" t="s">
        <v>484</v>
      </c>
      <c r="S1" s="14" t="s">
        <v>490</v>
      </c>
      <c r="T1" s="18" t="s">
        <v>27</v>
      </c>
      <c r="U1" s="14" t="s">
        <v>464</v>
      </c>
      <c r="V1" s="14" t="s">
        <v>158</v>
      </c>
      <c r="W1" s="14" t="s">
        <v>59</v>
      </c>
      <c r="X1" s="16" t="s">
        <v>475</v>
      </c>
      <c r="Y1" s="14" t="s">
        <v>476</v>
      </c>
      <c r="Z1" s="14" t="s">
        <v>477</v>
      </c>
      <c r="AA1" s="14" t="s">
        <v>482</v>
      </c>
      <c r="AB1" s="14" t="s">
        <v>61</v>
      </c>
      <c r="AC1" s="14" t="s">
        <v>62</v>
      </c>
      <c r="AD1" s="14" t="s">
        <v>63</v>
      </c>
      <c r="AE1" s="14" t="s">
        <v>64</v>
      </c>
      <c r="AF1" s="114" t="s">
        <v>481</v>
      </c>
      <c r="AG1" s="114" t="s">
        <v>480</v>
      </c>
      <c r="AH1" s="114" t="s">
        <v>491</v>
      </c>
      <c r="AI1" s="114" t="s">
        <v>492</v>
      </c>
      <c r="AJ1" s="14" t="s">
        <v>479</v>
      </c>
      <c r="AK1" s="19" t="s">
        <v>478</v>
      </c>
      <c r="AL1" s="19" t="s">
        <v>67</v>
      </c>
    </row>
    <row r="2" spans="1:38">
      <c r="A2" s="107">
        <v>1</v>
      </c>
      <c r="B2" s="33">
        <v>43832</v>
      </c>
      <c r="C2" s="22">
        <v>0.4381944444444445</v>
      </c>
      <c r="D2" s="34" t="s">
        <v>79</v>
      </c>
      <c r="E2" s="29">
        <v>55</v>
      </c>
      <c r="F2" s="25" t="s">
        <v>3</v>
      </c>
      <c r="G2" s="23">
        <v>3</v>
      </c>
      <c r="H2" s="25" t="s">
        <v>2</v>
      </c>
      <c r="I2" s="25" t="s">
        <v>1</v>
      </c>
      <c r="J2" s="23">
        <f ca="1">VLOOKUP([Dive_Date],Tidal_coeficient[],2,FALSE)</f>
        <v>43</v>
      </c>
      <c r="K2" s="25">
        <v>6</v>
      </c>
      <c r="L2" s="24">
        <v>29</v>
      </c>
      <c r="M2" s="23">
        <f ca="1">YEAR(Table_complete_valeur[[#This Row],[Dive_Date]])</f>
        <v>2020</v>
      </c>
      <c r="N2" s="23">
        <f ca="1">DAY(Table_complete_valeur[[#This Row],[Dive_Date]])</f>
        <v>2</v>
      </c>
      <c r="O2" s="23">
        <f ca="1">MONTH(Table_complete_valeur[[#This Row],[Dive_Date]])</f>
        <v>1</v>
      </c>
      <c r="P2" s="23">
        <f ca="1">HOUR(Table_complete_valeur[[#This Row],[Time]])</f>
        <v>10</v>
      </c>
      <c r="Q2" s="25" t="str">
        <f ca="1">IF(Table_complete_valeur[[#This Row],[Dive_Hour]]&lt;12,"Morning","Afternoon")</f>
        <v>Morning</v>
      </c>
      <c r="R2" s="25">
        <f ca="1">VLOOKUP([Dive_Date],Moon_age[],2,FALSE)</f>
        <v>6</v>
      </c>
      <c r="S2" s="25" t="str">
        <f t="shared" ref="S2:S33" ca="1" si="0">IF(R2=0,"New Moon",IF(R2=7,"First Quarter",IF(R2=15,"Full Moon",IF(R2=22,"Last Quarter",""))))</f>
        <v/>
      </c>
      <c r="T2" s="35" t="s">
        <v>9</v>
      </c>
      <c r="U2" s="25" t="s">
        <v>159</v>
      </c>
      <c r="V2" s="25" t="s">
        <v>324</v>
      </c>
      <c r="W2" s="27">
        <v>1</v>
      </c>
      <c r="X2" s="29">
        <v>25</v>
      </c>
      <c r="Y2" s="27" t="s">
        <v>23</v>
      </c>
      <c r="Z2" s="36" t="s">
        <v>4</v>
      </c>
      <c r="AA2" s="30">
        <v>50</v>
      </c>
      <c r="AB2" s="30">
        <v>273</v>
      </c>
      <c r="AC2" s="30">
        <v>285</v>
      </c>
      <c r="AD2" s="30"/>
      <c r="AE2" s="30">
        <v>62</v>
      </c>
      <c r="AF2" s="115">
        <v>363</v>
      </c>
      <c r="AG2" s="116">
        <f ca="1">1.29*Table_complete_valeur[[#This Row],[LF]]+3.58</f>
        <v>371.23</v>
      </c>
      <c r="AH2" s="129" t="str">
        <f ca="1">IF(AF2="","",IF(AF2&lt;250,"TL &lt; 250",IF(AF2&lt;300,"250 &lt; TL &lt; 300",IF(AF2&lt;350,"300 &lt; TL &lt; 350",IF(AF2&lt;400,"350 &lt; TL &lt; 400",IF(AF2&gt;400,"TL &gt; 400",""))))))</f>
        <v>350 &lt; TL &lt; 400</v>
      </c>
      <c r="AI2" s="130" t="str">
        <f t="shared" ref="AI2:AI33" ca="1" si="1">IF(AG2="","",IF(AG2&lt;250,"TL &lt; 250",IF(AG2&lt;300,"250 &lt; TL &lt; 300",IF(AG2&lt;350,"300 &lt; TL &lt; 350",IF(AG2&lt;400,"350 &lt; TL &lt; 400",IF(AG2&gt;400,"TL &gt; 400",""))))))</f>
        <v>350 &lt; TL &lt; 400</v>
      </c>
      <c r="AJ2" s="36" t="s">
        <v>65</v>
      </c>
      <c r="AK2" s="37"/>
      <c r="AL2" s="37" t="s">
        <v>74</v>
      </c>
    </row>
    <row r="3" spans="1:38">
      <c r="A3" s="107">
        <v>1</v>
      </c>
      <c r="B3" s="33">
        <v>43832</v>
      </c>
      <c r="C3" s="34">
        <v>0.34930555555555554</v>
      </c>
      <c r="D3" s="34" t="s">
        <v>79</v>
      </c>
      <c r="E3" s="25">
        <v>55</v>
      </c>
      <c r="F3" s="25" t="s">
        <v>3</v>
      </c>
      <c r="G3" s="25">
        <v>3</v>
      </c>
      <c r="H3" s="25" t="s">
        <v>2</v>
      </c>
      <c r="I3" s="25" t="s">
        <v>1</v>
      </c>
      <c r="J3" s="23">
        <f ca="1">VLOOKUP([Dive_Date],Tidal_coeficient[],2,FALSE)</f>
        <v>43</v>
      </c>
      <c r="K3" s="25">
        <v>4</v>
      </c>
      <c r="L3" s="40">
        <v>29</v>
      </c>
      <c r="M3" s="23">
        <f ca="1">YEAR(Table_complete_valeur[[#This Row],[Dive_Date]])</f>
        <v>2020</v>
      </c>
      <c r="N3" s="25">
        <f ca="1">DAY(Table_complete_valeur[[#This Row],[Dive_Date]])</f>
        <v>2</v>
      </c>
      <c r="O3" s="25">
        <f ca="1">MONTH(Table_complete_valeur[[#This Row],[Dive_Date]])</f>
        <v>1</v>
      </c>
      <c r="P3" s="25">
        <f ca="1">HOUR(Table_complete_valeur[[#This Row],[Time]])</f>
        <v>8</v>
      </c>
      <c r="Q3" s="25" t="str">
        <f ca="1">IF(Table_complete_valeur[[#This Row],[Dive_Hour]]&lt;12,"Morning","Afternoon")</f>
        <v>Morning</v>
      </c>
      <c r="R3" s="25">
        <f ca="1">VLOOKUP([Dive_Date],Moon_age[],2,FALSE)</f>
        <v>6</v>
      </c>
      <c r="S3" s="25" t="str">
        <f t="shared" ca="1" si="0"/>
        <v/>
      </c>
      <c r="T3" s="35" t="s">
        <v>9</v>
      </c>
      <c r="U3" s="25"/>
      <c r="V3" s="25" t="s">
        <v>303</v>
      </c>
      <c r="W3" s="27">
        <v>2</v>
      </c>
      <c r="X3" s="40">
        <v>50</v>
      </c>
      <c r="Y3" s="30" t="s">
        <v>22</v>
      </c>
      <c r="Z3" s="41" t="s">
        <v>55</v>
      </c>
      <c r="AA3" s="30"/>
      <c r="AB3" s="30"/>
      <c r="AC3" s="30"/>
      <c r="AD3" s="30"/>
      <c r="AE3" s="30"/>
      <c r="AF3" s="117"/>
      <c r="AG3" s="118"/>
      <c r="AH3" s="124" t="str">
        <f t="shared" ref="AH3:AH66" ca="1" si="2">IF(AF3="","",IF(AF3&lt;250,"TL &lt; 250",IF(AF3&lt;300,"250 &lt; TL &lt; 300",IF(AF3&lt;350,"300 &lt; TL &lt; 350",IF(AF3&lt;400,"350 &lt; TL &lt; 400",IF(AF3&gt;400,"TL &gt; 400",""))))))</f>
        <v/>
      </c>
      <c r="AI3" s="118" t="str">
        <f t="shared" ca="1" si="1"/>
        <v/>
      </c>
      <c r="AJ3" s="41" t="s">
        <v>65</v>
      </c>
      <c r="AK3" s="42"/>
      <c r="AL3" s="42" t="s">
        <v>73</v>
      </c>
    </row>
    <row r="4" spans="1:38">
      <c r="A4" s="107">
        <v>1</v>
      </c>
      <c r="B4" s="33">
        <v>43832</v>
      </c>
      <c r="C4" s="22">
        <v>0.34930555555555554</v>
      </c>
      <c r="D4" s="34" t="s">
        <v>79</v>
      </c>
      <c r="E4" s="43">
        <v>55</v>
      </c>
      <c r="F4" s="25" t="s">
        <v>3</v>
      </c>
      <c r="G4" s="23">
        <v>3</v>
      </c>
      <c r="H4" s="25" t="s">
        <v>2</v>
      </c>
      <c r="I4" s="25" t="s">
        <v>1</v>
      </c>
      <c r="J4" s="23">
        <f ca="1">VLOOKUP([Dive_Date],Tidal_coeficient[],2,FALSE)</f>
        <v>43</v>
      </c>
      <c r="K4" s="25">
        <v>4</v>
      </c>
      <c r="L4" s="24">
        <v>29</v>
      </c>
      <c r="M4" s="23">
        <f ca="1">YEAR(Table_complete_valeur[[#This Row],[Dive_Date]])</f>
        <v>2020</v>
      </c>
      <c r="N4" s="23">
        <f ca="1">DAY(Table_complete_valeur[[#This Row],[Dive_Date]])</f>
        <v>2</v>
      </c>
      <c r="O4" s="23">
        <f ca="1">MONTH(Table_complete_valeur[[#This Row],[Dive_Date]])</f>
        <v>1</v>
      </c>
      <c r="P4" s="23">
        <f ca="1">HOUR(Table_complete_valeur[[#This Row],[Time]])</f>
        <v>8</v>
      </c>
      <c r="Q4" s="25" t="str">
        <f ca="1">IF(Table_complete_valeur[[#This Row],[Dive_Hour]]&lt;12,"Morning","Afternoon")</f>
        <v>Morning</v>
      </c>
      <c r="R4" s="25">
        <f ca="1">VLOOKUP([Dive_Date],Moon_age[],2,FALSE)</f>
        <v>6</v>
      </c>
      <c r="S4" s="25" t="str">
        <f t="shared" ca="1" si="0"/>
        <v/>
      </c>
      <c r="T4" s="35" t="s">
        <v>9</v>
      </c>
      <c r="U4" s="25"/>
      <c r="V4" s="25" t="s">
        <v>303</v>
      </c>
      <c r="W4" s="27">
        <v>3</v>
      </c>
      <c r="X4" s="43">
        <v>50</v>
      </c>
      <c r="Y4" s="30" t="s">
        <v>22</v>
      </c>
      <c r="Z4" s="41" t="s">
        <v>55</v>
      </c>
      <c r="AA4" s="30"/>
      <c r="AB4" s="30"/>
      <c r="AC4" s="30"/>
      <c r="AD4" s="30"/>
      <c r="AE4" s="30"/>
      <c r="AF4" s="117"/>
      <c r="AG4" s="119"/>
      <c r="AH4" s="124" t="str">
        <f ca="1">IF(AF4="","",IF(AF4&lt;250,"TL &lt; 250",IF(AF4&lt;300,"250 &lt; TL &lt; 300",IF(AF4&lt;350,"300 &lt; TL &lt; 350",IF(AF4&lt;400,"350 &lt; TL &lt; 400",IF(AF4&gt;400,"TL &gt; 400",""))))))</f>
        <v/>
      </c>
      <c r="AI4" s="118" t="str">
        <f t="shared" ca="1" si="1"/>
        <v/>
      </c>
      <c r="AJ4" s="41" t="s">
        <v>65</v>
      </c>
      <c r="AK4" s="42"/>
      <c r="AL4" s="42" t="s">
        <v>73</v>
      </c>
    </row>
    <row r="5" spans="1:38">
      <c r="A5" s="107">
        <v>2</v>
      </c>
      <c r="B5" s="33">
        <v>43833</v>
      </c>
      <c r="C5" s="22">
        <v>0.35416666666666669</v>
      </c>
      <c r="D5" s="34" t="s">
        <v>79</v>
      </c>
      <c r="E5" s="43">
        <v>55</v>
      </c>
      <c r="F5" s="25" t="s">
        <v>3</v>
      </c>
      <c r="G5" s="23">
        <v>3</v>
      </c>
      <c r="H5" s="25" t="s">
        <v>2</v>
      </c>
      <c r="I5" s="25" t="s">
        <v>1</v>
      </c>
      <c r="J5" s="23">
        <f ca="1">VLOOKUP([Dive_Date],Tidal_coeficient[],2,FALSE)</f>
        <v>42</v>
      </c>
      <c r="K5" s="25">
        <v>3</v>
      </c>
      <c r="L5" s="24">
        <v>29</v>
      </c>
      <c r="M5" s="23">
        <f ca="1">YEAR(Table_complete_valeur[[#This Row],[Dive_Date]])</f>
        <v>2020</v>
      </c>
      <c r="N5" s="23">
        <f ca="1">DAY(Table_complete_valeur[[#This Row],[Dive_Date]])</f>
        <v>3</v>
      </c>
      <c r="O5" s="23">
        <f ca="1">MONTH(Table_complete_valeur[[#This Row],[Dive_Date]])</f>
        <v>1</v>
      </c>
      <c r="P5" s="23">
        <f ca="1">HOUR(Table_complete_valeur[[#This Row],[Time]])</f>
        <v>8</v>
      </c>
      <c r="Q5" s="25" t="str">
        <f ca="1">IF(Table_complete_valeur[[#This Row],[Dive_Hour]]&lt;12,"Morning","Afternoon")</f>
        <v>Morning</v>
      </c>
      <c r="R5" s="25">
        <f ca="1">VLOOKUP([Dive_Date],Moon_age[],2,FALSE)</f>
        <v>7</v>
      </c>
      <c r="S5" s="25" t="str">
        <f t="shared" ca="1" si="0"/>
        <v>First Quarter</v>
      </c>
      <c r="T5" s="26" t="s">
        <v>7</v>
      </c>
      <c r="U5" s="25"/>
      <c r="V5" s="25" t="s">
        <v>322</v>
      </c>
      <c r="W5" s="27">
        <v>4</v>
      </c>
      <c r="X5" s="43">
        <v>50</v>
      </c>
      <c r="Y5" s="30" t="s">
        <v>22</v>
      </c>
      <c r="Z5" s="41" t="s">
        <v>55</v>
      </c>
      <c r="AA5" s="30"/>
      <c r="AB5" s="30"/>
      <c r="AC5" s="30"/>
      <c r="AD5" s="30"/>
      <c r="AE5" s="30"/>
      <c r="AF5" s="117"/>
      <c r="AG5" s="119"/>
      <c r="AH5" s="124" t="str">
        <f t="shared" ca="1" si="2"/>
        <v/>
      </c>
      <c r="AI5" s="118" t="str">
        <f t="shared" ca="1" si="1"/>
        <v/>
      </c>
      <c r="AJ5" s="41" t="s">
        <v>65</v>
      </c>
      <c r="AK5" s="42"/>
      <c r="AL5" s="42" t="s">
        <v>75</v>
      </c>
    </row>
    <row r="6" spans="1:38">
      <c r="A6" s="107">
        <v>2</v>
      </c>
      <c r="B6" s="21">
        <v>43833</v>
      </c>
      <c r="C6" s="22">
        <v>0.4375</v>
      </c>
      <c r="D6" s="34" t="s">
        <v>79</v>
      </c>
      <c r="E6" s="43">
        <v>55</v>
      </c>
      <c r="F6" s="25" t="s">
        <v>3</v>
      </c>
      <c r="G6" s="23">
        <v>3</v>
      </c>
      <c r="H6" s="25" t="s">
        <v>2</v>
      </c>
      <c r="I6" s="25" t="s">
        <v>1</v>
      </c>
      <c r="J6" s="23">
        <f ca="1">VLOOKUP([Dive_Date],Tidal_coeficient[],2,FALSE)</f>
        <v>42</v>
      </c>
      <c r="K6" s="23">
        <v>5</v>
      </c>
      <c r="L6" s="24">
        <v>29</v>
      </c>
      <c r="M6" s="23">
        <f ca="1">YEAR(Table_complete_valeur[[#This Row],[Dive_Date]])</f>
        <v>2020</v>
      </c>
      <c r="N6" s="23">
        <f ca="1">DAY(Table_complete_valeur[[#This Row],[Dive_Date]])</f>
        <v>3</v>
      </c>
      <c r="O6" s="23">
        <f ca="1">MONTH(Table_complete_valeur[[#This Row],[Dive_Date]])</f>
        <v>1</v>
      </c>
      <c r="P6" s="23">
        <f ca="1">HOUR(Table_complete_valeur[[#This Row],[Time]])</f>
        <v>10</v>
      </c>
      <c r="Q6" s="25" t="str">
        <f ca="1">IF(Table_complete_valeur[[#This Row],[Dive_Hour]]&lt;12,"Morning","Afternoon")</f>
        <v>Morning</v>
      </c>
      <c r="R6" s="25">
        <f ca="1">VLOOKUP([Dive_Date],Moon_age[],2,FALSE)</f>
        <v>7</v>
      </c>
      <c r="S6" s="25" t="str">
        <f t="shared" ca="1" si="0"/>
        <v>First Quarter</v>
      </c>
      <c r="T6" s="26" t="s">
        <v>7</v>
      </c>
      <c r="U6" s="23"/>
      <c r="V6" s="25" t="s">
        <v>323</v>
      </c>
      <c r="W6" s="27">
        <v>5</v>
      </c>
      <c r="X6" s="43">
        <v>50</v>
      </c>
      <c r="Y6" s="30" t="s">
        <v>22</v>
      </c>
      <c r="Z6" s="41" t="s">
        <v>55</v>
      </c>
      <c r="AA6" s="27"/>
      <c r="AB6" s="27"/>
      <c r="AC6" s="27"/>
      <c r="AD6" s="27"/>
      <c r="AE6" s="27"/>
      <c r="AF6" s="120"/>
      <c r="AG6" s="119"/>
      <c r="AH6" s="124" t="str">
        <f t="shared" ca="1" si="2"/>
        <v/>
      </c>
      <c r="AI6" s="118" t="str">
        <f t="shared" ca="1" si="1"/>
        <v/>
      </c>
      <c r="AJ6" s="41" t="s">
        <v>65</v>
      </c>
      <c r="AK6" s="42"/>
      <c r="AL6" s="42" t="s">
        <v>75</v>
      </c>
    </row>
    <row r="7" spans="1:38">
      <c r="A7" s="107">
        <v>3</v>
      </c>
      <c r="B7" s="33">
        <v>43837</v>
      </c>
      <c r="C7" s="22">
        <v>0.58611111111111114</v>
      </c>
      <c r="D7" s="34" t="s">
        <v>79</v>
      </c>
      <c r="E7" s="43">
        <v>63</v>
      </c>
      <c r="F7" s="25" t="s">
        <v>3</v>
      </c>
      <c r="G7" s="23">
        <v>5</v>
      </c>
      <c r="H7" s="25" t="s">
        <v>2</v>
      </c>
      <c r="I7" s="25" t="s">
        <v>1</v>
      </c>
      <c r="J7" s="23">
        <f ca="1">VLOOKUP([Dive_Date],Tidal_coeficient[],2,FALSE)</f>
        <v>65</v>
      </c>
      <c r="K7" s="25">
        <v>5</v>
      </c>
      <c r="L7" s="24">
        <v>29</v>
      </c>
      <c r="M7" s="23">
        <f ca="1">YEAR(Table_complete_valeur[[#This Row],[Dive_Date]])</f>
        <v>2020</v>
      </c>
      <c r="N7" s="23">
        <f ca="1">DAY(Table_complete_valeur[[#This Row],[Dive_Date]])</f>
        <v>7</v>
      </c>
      <c r="O7" s="23">
        <f ca="1">MONTH(Table_complete_valeur[[#This Row],[Dive_Date]])</f>
        <v>1</v>
      </c>
      <c r="P7" s="23">
        <f ca="1">HOUR(Table_complete_valeur[[#This Row],[Time]])</f>
        <v>14</v>
      </c>
      <c r="Q7" s="25" t="str">
        <f ca="1">IF(Table_complete_valeur[[#This Row],[Dive_Hour]]&lt;12,"Morning","Afternoon")</f>
        <v>Afternoon</v>
      </c>
      <c r="R7" s="25">
        <f ca="1">VLOOKUP([Dive_Date],Moon_age[],2,FALSE)</f>
        <v>11</v>
      </c>
      <c r="S7" s="25" t="str">
        <f t="shared" ca="1" si="0"/>
        <v/>
      </c>
      <c r="T7" s="26" t="s">
        <v>7</v>
      </c>
      <c r="U7" s="25"/>
      <c r="V7" s="25" t="s">
        <v>321</v>
      </c>
      <c r="W7" s="27">
        <v>6</v>
      </c>
      <c r="X7" s="43">
        <v>15</v>
      </c>
      <c r="Y7" s="27" t="s">
        <v>72</v>
      </c>
      <c r="Z7" s="41" t="s">
        <v>4</v>
      </c>
      <c r="AA7" s="30"/>
      <c r="AB7" s="30"/>
      <c r="AC7" s="30"/>
      <c r="AD7" s="30"/>
      <c r="AE7" s="30"/>
      <c r="AF7" s="117"/>
      <c r="AG7" s="119"/>
      <c r="AH7" s="124" t="str">
        <f t="shared" ca="1" si="2"/>
        <v/>
      </c>
      <c r="AI7" s="118" t="str">
        <f t="shared" ca="1" si="1"/>
        <v/>
      </c>
      <c r="AJ7" s="41" t="s">
        <v>80</v>
      </c>
      <c r="AK7" s="42"/>
      <c r="AL7" s="42" t="s">
        <v>76</v>
      </c>
    </row>
    <row r="8" spans="1:38">
      <c r="A8" s="107">
        <v>4</v>
      </c>
      <c r="B8" s="21">
        <v>43838</v>
      </c>
      <c r="C8" s="22">
        <v>0.57708333333333328</v>
      </c>
      <c r="D8" s="34" t="s">
        <v>79</v>
      </c>
      <c r="E8" s="43">
        <v>73</v>
      </c>
      <c r="F8" s="25" t="s">
        <v>3</v>
      </c>
      <c r="G8" s="23">
        <v>4</v>
      </c>
      <c r="H8" s="25" t="s">
        <v>2</v>
      </c>
      <c r="I8" s="25" t="s">
        <v>1</v>
      </c>
      <c r="J8" s="23">
        <f ca="1">VLOOKUP([Dive_Date],Tidal_coeficient[],2,FALSE)</f>
        <v>74</v>
      </c>
      <c r="K8" s="23">
        <v>4</v>
      </c>
      <c r="L8" s="24">
        <v>29</v>
      </c>
      <c r="M8" s="23">
        <f ca="1">YEAR(Table_complete_valeur[[#This Row],[Dive_Date]])</f>
        <v>2020</v>
      </c>
      <c r="N8" s="23">
        <f ca="1">DAY(Table_complete_valeur[[#This Row],[Dive_Date]])</f>
        <v>8</v>
      </c>
      <c r="O8" s="23">
        <f ca="1">MONTH(Table_complete_valeur[[#This Row],[Dive_Date]])</f>
        <v>1</v>
      </c>
      <c r="P8" s="23">
        <f ca="1">HOUR(Table_complete_valeur[[#This Row],[Time]])</f>
        <v>13</v>
      </c>
      <c r="Q8" s="25" t="str">
        <f ca="1">IF(Table_complete_valeur[[#This Row],[Dive_Hour]]&lt;12,"Morning","Afternoon")</f>
        <v>Afternoon</v>
      </c>
      <c r="R8" s="25">
        <f ca="1">VLOOKUP([Dive_Date],Moon_age[],2,FALSE)</f>
        <v>12</v>
      </c>
      <c r="S8" s="25" t="str">
        <f t="shared" ca="1" si="0"/>
        <v/>
      </c>
      <c r="T8" s="26" t="s">
        <v>7</v>
      </c>
      <c r="U8" s="23"/>
      <c r="V8" s="25" t="s">
        <v>303</v>
      </c>
      <c r="W8" s="27">
        <v>7</v>
      </c>
      <c r="X8" s="43">
        <v>50</v>
      </c>
      <c r="Y8" s="27" t="s">
        <v>70</v>
      </c>
      <c r="Z8" s="41" t="s">
        <v>55</v>
      </c>
      <c r="AA8" s="27"/>
      <c r="AB8" s="27"/>
      <c r="AC8" s="27"/>
      <c r="AD8" s="27"/>
      <c r="AE8" s="27"/>
      <c r="AF8" s="120"/>
      <c r="AG8" s="119"/>
      <c r="AH8" s="124" t="str">
        <f t="shared" ca="1" si="2"/>
        <v/>
      </c>
      <c r="AI8" s="118" t="str">
        <f t="shared" ca="1" si="1"/>
        <v/>
      </c>
      <c r="AJ8" s="41" t="s">
        <v>80</v>
      </c>
      <c r="AK8" s="42"/>
      <c r="AL8" s="42" t="s">
        <v>77</v>
      </c>
    </row>
    <row r="9" spans="1:38">
      <c r="A9" s="107">
        <v>5</v>
      </c>
      <c r="B9" s="44">
        <v>43839</v>
      </c>
      <c r="C9" s="22">
        <v>0.58333333333333337</v>
      </c>
      <c r="D9" s="34" t="s">
        <v>79</v>
      </c>
      <c r="E9" s="45">
        <v>56</v>
      </c>
      <c r="F9" s="25" t="s">
        <v>3</v>
      </c>
      <c r="G9" s="45">
        <v>4</v>
      </c>
      <c r="H9" s="25" t="s">
        <v>2</v>
      </c>
      <c r="I9" s="25" t="s">
        <v>1</v>
      </c>
      <c r="J9" s="23">
        <f ca="1">VLOOKUP([Dive_Date],Tidal_coeficient[],2,FALSE)</f>
        <v>82</v>
      </c>
      <c r="K9" s="23">
        <v>4</v>
      </c>
      <c r="L9" s="24">
        <v>29</v>
      </c>
      <c r="M9" s="23">
        <f ca="1">YEAR(Table_complete_valeur[[#This Row],[Dive_Date]])</f>
        <v>2020</v>
      </c>
      <c r="N9" s="23">
        <f ca="1">DAY(Table_complete_valeur[[#This Row],[Dive_Date]])</f>
        <v>9</v>
      </c>
      <c r="O9" s="23">
        <f ca="1">MONTH(Table_complete_valeur[[#This Row],[Dive_Date]])</f>
        <v>1</v>
      </c>
      <c r="P9" s="23">
        <f ca="1">HOUR(Table_complete_valeur[[#This Row],[Time]])</f>
        <v>14</v>
      </c>
      <c r="Q9" s="25" t="str">
        <f ca="1">IF(Table_complete_valeur[[#This Row],[Dive_Hour]]&lt;12,"Morning","Afternoon")</f>
        <v>Afternoon</v>
      </c>
      <c r="R9" s="25">
        <f ca="1">VLOOKUP([Dive_Date],Moon_age[],2,FALSE)</f>
        <v>13</v>
      </c>
      <c r="S9" s="25" t="str">
        <f t="shared" ca="1" si="0"/>
        <v/>
      </c>
      <c r="T9" s="26" t="s">
        <v>7</v>
      </c>
      <c r="U9" s="23" t="s">
        <v>161</v>
      </c>
      <c r="V9" s="25" t="s">
        <v>319</v>
      </c>
      <c r="W9" s="27">
        <v>8</v>
      </c>
      <c r="X9" s="24">
        <v>42</v>
      </c>
      <c r="Y9" s="27" t="s">
        <v>58</v>
      </c>
      <c r="Z9" s="31" t="s">
        <v>4</v>
      </c>
      <c r="AA9" s="27">
        <v>30</v>
      </c>
      <c r="AB9" s="27">
        <v>226</v>
      </c>
      <c r="AC9" s="27">
        <v>231</v>
      </c>
      <c r="AD9" s="27"/>
      <c r="AE9" s="27">
        <v>48</v>
      </c>
      <c r="AF9" s="120">
        <v>305</v>
      </c>
      <c r="AG9" s="119">
        <f ca="1">1.29*Table_complete_valeur[[#This Row],[LF]]+3.58</f>
        <v>301.57</v>
      </c>
      <c r="AH9" s="131" t="str">
        <f t="shared" ca="1" si="2"/>
        <v>300 &lt; TL &lt; 350</v>
      </c>
      <c r="AI9" s="132" t="str">
        <f t="shared" ca="1" si="1"/>
        <v>300 &lt; TL &lt; 350</v>
      </c>
      <c r="AJ9" s="41" t="s">
        <v>65</v>
      </c>
      <c r="AK9" s="42"/>
      <c r="AL9" s="32" t="s">
        <v>125</v>
      </c>
    </row>
    <row r="10" spans="1:38">
      <c r="A10" s="107">
        <v>5</v>
      </c>
      <c r="B10" s="44">
        <v>43839</v>
      </c>
      <c r="C10" s="22">
        <v>0.58333333333333337</v>
      </c>
      <c r="D10" s="34" t="s">
        <v>79</v>
      </c>
      <c r="E10" s="45">
        <v>56</v>
      </c>
      <c r="F10" s="25" t="s">
        <v>3</v>
      </c>
      <c r="G10" s="45">
        <v>4</v>
      </c>
      <c r="H10" s="25" t="s">
        <v>2</v>
      </c>
      <c r="I10" s="25" t="s">
        <v>1</v>
      </c>
      <c r="J10" s="23">
        <f ca="1">VLOOKUP([Dive_Date],Tidal_coeficient[],2,FALSE)</f>
        <v>82</v>
      </c>
      <c r="K10" s="23">
        <v>4</v>
      </c>
      <c r="L10" s="24">
        <v>29</v>
      </c>
      <c r="M10" s="23">
        <f ca="1">YEAR(Table_complete_valeur[[#This Row],[Dive_Date]])</f>
        <v>2020</v>
      </c>
      <c r="N10" s="23">
        <f ca="1">DAY(Table_complete_valeur[[#This Row],[Dive_Date]])</f>
        <v>9</v>
      </c>
      <c r="O10" s="23">
        <f ca="1">MONTH(Table_complete_valeur[[#This Row],[Dive_Date]])</f>
        <v>1</v>
      </c>
      <c r="P10" s="23">
        <f ca="1">HOUR(Table_complete_valeur[[#This Row],[Time]])</f>
        <v>14</v>
      </c>
      <c r="Q10" s="25" t="str">
        <f ca="1">IF(Table_complete_valeur[[#This Row],[Dive_Hour]]&lt;12,"Morning","Afternoon")</f>
        <v>Afternoon</v>
      </c>
      <c r="R10" s="25">
        <f ca="1">VLOOKUP([Dive_Date],Moon_age[],2,FALSE)</f>
        <v>13</v>
      </c>
      <c r="S10" s="25" t="str">
        <f t="shared" ca="1" si="0"/>
        <v/>
      </c>
      <c r="T10" s="26" t="s">
        <v>7</v>
      </c>
      <c r="U10" s="23" t="s">
        <v>162</v>
      </c>
      <c r="V10" s="25" t="s">
        <v>320</v>
      </c>
      <c r="W10" s="27">
        <v>9</v>
      </c>
      <c r="X10" s="24">
        <v>42</v>
      </c>
      <c r="Y10" s="27" t="s">
        <v>58</v>
      </c>
      <c r="Z10" s="31" t="s">
        <v>4</v>
      </c>
      <c r="AA10" s="27">
        <v>30</v>
      </c>
      <c r="AB10" s="27">
        <v>233</v>
      </c>
      <c r="AC10" s="27">
        <v>246</v>
      </c>
      <c r="AD10" s="27"/>
      <c r="AE10" s="27"/>
      <c r="AF10" s="120">
        <v>282</v>
      </c>
      <c r="AG10" s="119">
        <f ca="1">1.29*Table_complete_valeur[[#This Row],[LF]]+3.58</f>
        <v>320.92</v>
      </c>
      <c r="AH10" s="133" t="str">
        <f t="shared" ca="1" si="2"/>
        <v>250 &lt; TL &lt; 300</v>
      </c>
      <c r="AI10" s="132" t="str">
        <f t="shared" ca="1" si="1"/>
        <v>300 &lt; TL &lt; 350</v>
      </c>
      <c r="AJ10" s="41" t="s">
        <v>65</v>
      </c>
      <c r="AK10" s="42"/>
      <c r="AL10" s="32" t="s">
        <v>125</v>
      </c>
    </row>
    <row r="11" spans="1:38">
      <c r="A11" s="107">
        <v>5</v>
      </c>
      <c r="B11" s="44">
        <v>43839</v>
      </c>
      <c r="C11" s="22">
        <v>0.58333333333333337</v>
      </c>
      <c r="D11" s="34" t="s">
        <v>79</v>
      </c>
      <c r="E11" s="45">
        <v>56</v>
      </c>
      <c r="F11" s="25" t="s">
        <v>3</v>
      </c>
      <c r="G11" s="45">
        <v>4</v>
      </c>
      <c r="H11" s="25" t="s">
        <v>2</v>
      </c>
      <c r="I11" s="25" t="s">
        <v>1</v>
      </c>
      <c r="J11" s="23">
        <f ca="1">VLOOKUP([Dive_Date],Tidal_coeficient[],2,FALSE)</f>
        <v>82</v>
      </c>
      <c r="K11" s="23">
        <v>4</v>
      </c>
      <c r="L11" s="24">
        <v>29</v>
      </c>
      <c r="M11" s="23">
        <f ca="1">YEAR(Table_complete_valeur[[#This Row],[Dive_Date]])</f>
        <v>2020</v>
      </c>
      <c r="N11" s="23">
        <f ca="1">DAY(Table_complete_valeur[[#This Row],[Dive_Date]])</f>
        <v>9</v>
      </c>
      <c r="O11" s="23">
        <f ca="1">MONTH(Table_complete_valeur[[#This Row],[Dive_Date]])</f>
        <v>1</v>
      </c>
      <c r="P11" s="23">
        <f ca="1">HOUR(Table_complete_valeur[[#This Row],[Time]])</f>
        <v>14</v>
      </c>
      <c r="Q11" s="25" t="str">
        <f ca="1">IF(Table_complete_valeur[[#This Row],[Dive_Hour]]&lt;12,"Morning","Afternoon")</f>
        <v>Afternoon</v>
      </c>
      <c r="R11" s="25">
        <f ca="1">VLOOKUP([Dive_Date],Moon_age[],2,FALSE)</f>
        <v>13</v>
      </c>
      <c r="S11" s="25" t="str">
        <f t="shared" ca="1" si="0"/>
        <v/>
      </c>
      <c r="T11" s="26" t="s">
        <v>7</v>
      </c>
      <c r="U11" s="23"/>
      <c r="V11" s="25" t="s">
        <v>303</v>
      </c>
      <c r="W11" s="27">
        <v>10</v>
      </c>
      <c r="X11" s="24">
        <v>40</v>
      </c>
      <c r="Y11" s="27" t="s">
        <v>58</v>
      </c>
      <c r="Z11" s="31" t="s">
        <v>55</v>
      </c>
      <c r="AA11" s="27"/>
      <c r="AB11" s="27"/>
      <c r="AC11" s="27"/>
      <c r="AD11" s="27"/>
      <c r="AE11" s="27"/>
      <c r="AF11" s="120"/>
      <c r="AG11" s="119"/>
      <c r="AH11" s="124" t="str">
        <f t="shared" ca="1" si="2"/>
        <v/>
      </c>
      <c r="AI11" s="118" t="str">
        <f t="shared" ca="1" si="1"/>
        <v/>
      </c>
      <c r="AJ11" s="41" t="s">
        <v>80</v>
      </c>
      <c r="AK11" s="42"/>
      <c r="AL11" s="32" t="s">
        <v>82</v>
      </c>
    </row>
    <row r="12" spans="1:38">
      <c r="A12" s="107">
        <v>6</v>
      </c>
      <c r="B12" s="44">
        <v>43841</v>
      </c>
      <c r="C12" s="22">
        <v>0.65138888888888891</v>
      </c>
      <c r="D12" s="34" t="s">
        <v>79</v>
      </c>
      <c r="E12" s="45">
        <v>67</v>
      </c>
      <c r="F12" s="25" t="s">
        <v>3</v>
      </c>
      <c r="G12" s="45">
        <v>5</v>
      </c>
      <c r="H12" s="25" t="s">
        <v>2</v>
      </c>
      <c r="I12" s="25" t="s">
        <v>1</v>
      </c>
      <c r="J12" s="23">
        <f ca="1">VLOOKUP([Dive_Date],Tidal_coeficient[],2,FALSE)</f>
        <v>92</v>
      </c>
      <c r="K12" s="23">
        <v>4</v>
      </c>
      <c r="L12" s="24">
        <v>29</v>
      </c>
      <c r="M12" s="23">
        <f ca="1">YEAR(Table_complete_valeur[[#This Row],[Dive_Date]])</f>
        <v>2020</v>
      </c>
      <c r="N12" s="23">
        <f ca="1">DAY(Table_complete_valeur[[#This Row],[Dive_Date]])</f>
        <v>11</v>
      </c>
      <c r="O12" s="23">
        <f ca="1">MONTH(Table_complete_valeur[[#This Row],[Dive_Date]])</f>
        <v>1</v>
      </c>
      <c r="P12" s="23">
        <f ca="1">HOUR(Table_complete_valeur[[#This Row],[Time]])</f>
        <v>15</v>
      </c>
      <c r="Q12" s="25" t="str">
        <f ca="1">IF(Table_complete_valeur[[#This Row],[Dive_Hour]]&lt;12,"Morning","Afternoon")</f>
        <v>Afternoon</v>
      </c>
      <c r="R12" s="25">
        <f ca="1">VLOOKUP([Dive_Date],Moon_age[],2,FALSE)</f>
        <v>15</v>
      </c>
      <c r="S12" s="25" t="str">
        <f t="shared" ca="1" si="0"/>
        <v>Full Moon</v>
      </c>
      <c r="T12" s="26" t="s">
        <v>0</v>
      </c>
      <c r="U12" s="23"/>
      <c r="V12" s="25" t="s">
        <v>303</v>
      </c>
      <c r="W12" s="27">
        <v>11</v>
      </c>
      <c r="X12" s="24">
        <v>45</v>
      </c>
      <c r="Y12" s="27" t="s">
        <v>22</v>
      </c>
      <c r="Z12" s="31" t="s">
        <v>55</v>
      </c>
      <c r="AA12" s="27"/>
      <c r="AB12" s="27"/>
      <c r="AC12" s="27"/>
      <c r="AD12" s="27"/>
      <c r="AE12" s="27"/>
      <c r="AF12" s="120"/>
      <c r="AG12" s="119"/>
      <c r="AH12" s="124" t="str">
        <f t="shared" ca="1" si="2"/>
        <v/>
      </c>
      <c r="AI12" s="118" t="str">
        <f t="shared" ca="1" si="1"/>
        <v/>
      </c>
      <c r="AJ12" s="41" t="s">
        <v>65</v>
      </c>
      <c r="AK12" s="42"/>
      <c r="AL12" s="32" t="s">
        <v>83</v>
      </c>
    </row>
    <row r="13" spans="1:38">
      <c r="A13" s="107">
        <v>7</v>
      </c>
      <c r="B13" s="44">
        <v>43842</v>
      </c>
      <c r="C13" s="22">
        <v>0.66666666666666663</v>
      </c>
      <c r="D13" s="34" t="s">
        <v>79</v>
      </c>
      <c r="E13" s="45">
        <v>71</v>
      </c>
      <c r="F13" s="25" t="s">
        <v>3</v>
      </c>
      <c r="G13" s="45">
        <v>7</v>
      </c>
      <c r="H13" s="25" t="s">
        <v>2</v>
      </c>
      <c r="I13" s="25" t="s">
        <v>1</v>
      </c>
      <c r="J13" s="23">
        <f ca="1">VLOOKUP([Dive_Date],Tidal_coeficient[],2,FALSE)</f>
        <v>92</v>
      </c>
      <c r="K13" s="23">
        <v>3</v>
      </c>
      <c r="L13" s="24">
        <v>29</v>
      </c>
      <c r="M13" s="23">
        <f ca="1">YEAR(Table_complete_valeur[[#This Row],[Dive_Date]])</f>
        <v>2020</v>
      </c>
      <c r="N13" s="23">
        <f ca="1">DAY(Table_complete_valeur[[#This Row],[Dive_Date]])</f>
        <v>12</v>
      </c>
      <c r="O13" s="23">
        <f ca="1">MONTH(Table_complete_valeur[[#This Row],[Dive_Date]])</f>
        <v>1</v>
      </c>
      <c r="P13" s="23">
        <f ca="1">HOUR(Table_complete_valeur[[#This Row],[Time]])</f>
        <v>16</v>
      </c>
      <c r="Q13" s="25" t="str">
        <f ca="1">IF(Table_complete_valeur[[#This Row],[Dive_Hour]]&lt;12,"Morning","Afternoon")</f>
        <v>Afternoon</v>
      </c>
      <c r="R13" s="25">
        <f ca="1">VLOOKUP([Dive_Date],Moon_age[],2,FALSE)</f>
        <v>16</v>
      </c>
      <c r="S13" s="25" t="str">
        <f t="shared" ca="1" si="0"/>
        <v/>
      </c>
      <c r="T13" s="26" t="s">
        <v>0</v>
      </c>
      <c r="U13" s="23" t="s">
        <v>160</v>
      </c>
      <c r="V13" s="25" t="s">
        <v>317</v>
      </c>
      <c r="W13" s="27">
        <v>12</v>
      </c>
      <c r="X13" s="24">
        <v>45</v>
      </c>
      <c r="Y13" s="27" t="s">
        <v>22</v>
      </c>
      <c r="Z13" s="31" t="s">
        <v>4</v>
      </c>
      <c r="AA13" s="27">
        <v>30</v>
      </c>
      <c r="AB13" s="27">
        <v>194</v>
      </c>
      <c r="AC13" s="27">
        <v>211</v>
      </c>
      <c r="AD13" s="27">
        <v>65</v>
      </c>
      <c r="AE13" s="27">
        <v>44</v>
      </c>
      <c r="AF13" s="120">
        <v>263</v>
      </c>
      <c r="AG13" s="119">
        <f ca="1">1.29*Table_complete_valeur[[#This Row],[LF]]+3.58</f>
        <v>275.77</v>
      </c>
      <c r="AH13" s="133" t="str">
        <f t="shared" ca="1" si="2"/>
        <v>250 &lt; TL &lt; 300</v>
      </c>
      <c r="AI13" s="134" t="str">
        <f t="shared" ca="1" si="1"/>
        <v>250 &lt; TL &lt; 300</v>
      </c>
      <c r="AJ13" s="31" t="s">
        <v>66</v>
      </c>
      <c r="AK13" s="32"/>
      <c r="AL13" s="32" t="s">
        <v>84</v>
      </c>
    </row>
    <row r="14" spans="1:38">
      <c r="A14" s="107">
        <v>7</v>
      </c>
      <c r="B14" s="44">
        <v>43842</v>
      </c>
      <c r="C14" s="22">
        <v>0.66666666666666663</v>
      </c>
      <c r="D14" s="34" t="s">
        <v>79</v>
      </c>
      <c r="E14" s="45">
        <v>71</v>
      </c>
      <c r="F14" s="25" t="s">
        <v>3</v>
      </c>
      <c r="G14" s="45">
        <v>7</v>
      </c>
      <c r="H14" s="25" t="s">
        <v>2</v>
      </c>
      <c r="I14" s="25" t="s">
        <v>1</v>
      </c>
      <c r="J14" s="23">
        <f ca="1">VLOOKUP([Dive_Date],Tidal_coeficient[],2,FALSE)</f>
        <v>92</v>
      </c>
      <c r="K14" s="23">
        <v>3</v>
      </c>
      <c r="L14" s="24">
        <v>29</v>
      </c>
      <c r="M14" s="23">
        <f ca="1">YEAR(Table_complete_valeur[[#This Row],[Dive_Date]])</f>
        <v>2020</v>
      </c>
      <c r="N14" s="23">
        <f ca="1">DAY(Table_complete_valeur[[#This Row],[Dive_Date]])</f>
        <v>12</v>
      </c>
      <c r="O14" s="23">
        <f ca="1">MONTH(Table_complete_valeur[[#This Row],[Dive_Date]])</f>
        <v>1</v>
      </c>
      <c r="P14" s="23">
        <f ca="1">HOUR(Table_complete_valeur[[#This Row],[Time]])</f>
        <v>16</v>
      </c>
      <c r="Q14" s="25" t="str">
        <f ca="1">IF(Table_complete_valeur[[#This Row],[Dive_Hour]]&lt;12,"Morning","Afternoon")</f>
        <v>Afternoon</v>
      </c>
      <c r="R14" s="25">
        <f ca="1">VLOOKUP([Dive_Date],Moon_age[],2,FALSE)</f>
        <v>16</v>
      </c>
      <c r="S14" s="25" t="str">
        <f t="shared" ca="1" si="0"/>
        <v/>
      </c>
      <c r="T14" s="26" t="s">
        <v>0</v>
      </c>
      <c r="U14" s="23"/>
      <c r="V14" s="25" t="s">
        <v>318</v>
      </c>
      <c r="W14" s="27">
        <v>13</v>
      </c>
      <c r="X14" s="24">
        <v>25</v>
      </c>
      <c r="Y14" s="27" t="s">
        <v>24</v>
      </c>
      <c r="Z14" s="31" t="s">
        <v>55</v>
      </c>
      <c r="AA14" s="27"/>
      <c r="AB14" s="27"/>
      <c r="AC14" s="27"/>
      <c r="AD14" s="27"/>
      <c r="AE14" s="27"/>
      <c r="AF14" s="120"/>
      <c r="AG14" s="119"/>
      <c r="AH14" s="124" t="str">
        <f t="shared" ca="1" si="2"/>
        <v/>
      </c>
      <c r="AI14" s="118" t="str">
        <f t="shared" ca="1" si="1"/>
        <v/>
      </c>
      <c r="AJ14" s="41" t="s">
        <v>65</v>
      </c>
      <c r="AK14" s="42" t="s">
        <v>483</v>
      </c>
      <c r="AL14" s="32" t="s">
        <v>85</v>
      </c>
    </row>
    <row r="15" spans="1:38">
      <c r="A15" s="107">
        <v>8</v>
      </c>
      <c r="B15" s="44">
        <v>43843</v>
      </c>
      <c r="C15" s="22">
        <v>0.3125</v>
      </c>
      <c r="D15" s="34" t="s">
        <v>79</v>
      </c>
      <c r="E15" s="45">
        <v>58</v>
      </c>
      <c r="F15" s="25" t="s">
        <v>3</v>
      </c>
      <c r="G15" s="45">
        <v>4</v>
      </c>
      <c r="H15" s="25" t="s">
        <v>2</v>
      </c>
      <c r="I15" s="25" t="s">
        <v>1</v>
      </c>
      <c r="J15" s="23">
        <f ca="1">VLOOKUP([Dive_Date],Tidal_coeficient[],2,FALSE)</f>
        <v>90</v>
      </c>
      <c r="K15" s="23">
        <v>6</v>
      </c>
      <c r="L15" s="24">
        <v>29</v>
      </c>
      <c r="M15" s="23">
        <f ca="1">YEAR(Table_complete_valeur[[#This Row],[Dive_Date]])</f>
        <v>2020</v>
      </c>
      <c r="N15" s="23">
        <f ca="1">DAY(Table_complete_valeur[[#This Row],[Dive_Date]])</f>
        <v>13</v>
      </c>
      <c r="O15" s="23">
        <f ca="1">MONTH(Table_complete_valeur[[#This Row],[Dive_Date]])</f>
        <v>1</v>
      </c>
      <c r="P15" s="23">
        <f ca="1">HOUR(Table_complete_valeur[[#This Row],[Time]])</f>
        <v>7</v>
      </c>
      <c r="Q15" s="25" t="str">
        <f ca="1">IF(Table_complete_valeur[[#This Row],[Dive_Hour]]&lt;12,"Morning","Afternoon")</f>
        <v>Morning</v>
      </c>
      <c r="R15" s="25">
        <f ca="1">VLOOKUP([Dive_Date],Moon_age[],2,FALSE)</f>
        <v>17</v>
      </c>
      <c r="S15" s="25" t="str">
        <f t="shared" ca="1" si="0"/>
        <v/>
      </c>
      <c r="T15" s="26" t="s">
        <v>0</v>
      </c>
      <c r="U15" s="23"/>
      <c r="V15" s="25" t="s">
        <v>303</v>
      </c>
      <c r="W15" s="27">
        <v>14</v>
      </c>
      <c r="X15" s="45">
        <v>15</v>
      </c>
      <c r="Y15" s="27" t="s">
        <v>23</v>
      </c>
      <c r="Z15" s="31" t="s">
        <v>55</v>
      </c>
      <c r="AA15" s="27"/>
      <c r="AB15" s="27"/>
      <c r="AC15" s="27"/>
      <c r="AD15" s="27"/>
      <c r="AE15" s="27"/>
      <c r="AF15" s="120"/>
      <c r="AG15" s="119"/>
      <c r="AH15" s="124" t="str">
        <f t="shared" ca="1" si="2"/>
        <v/>
      </c>
      <c r="AI15" s="118" t="str">
        <f t="shared" ca="1" si="1"/>
        <v/>
      </c>
      <c r="AJ15" s="41" t="s">
        <v>65</v>
      </c>
      <c r="AK15" s="42"/>
      <c r="AL15" s="32" t="s">
        <v>86</v>
      </c>
    </row>
    <row r="16" spans="1:38">
      <c r="A16" s="107">
        <v>9</v>
      </c>
      <c r="B16" s="33">
        <v>43845</v>
      </c>
      <c r="C16" s="22">
        <v>0.29722222222222222</v>
      </c>
      <c r="D16" s="22" t="s">
        <v>90</v>
      </c>
      <c r="E16" s="23">
        <v>110</v>
      </c>
      <c r="F16" s="23" t="s">
        <v>17</v>
      </c>
      <c r="G16" s="23">
        <v>4</v>
      </c>
      <c r="H16" s="25" t="s">
        <v>2</v>
      </c>
      <c r="I16" s="25" t="s">
        <v>1</v>
      </c>
      <c r="J16" s="23">
        <f ca="1">VLOOKUP([Dive_Date],Tidal_coeficient[],2,FALSE)</f>
        <v>77</v>
      </c>
      <c r="K16" s="23">
        <v>4</v>
      </c>
      <c r="L16" s="24">
        <v>29</v>
      </c>
      <c r="M16" s="23">
        <f ca="1">YEAR(Table_complete_valeur[[#This Row],[Dive_Date]])</f>
        <v>2020</v>
      </c>
      <c r="N16" s="23">
        <f ca="1">DAY(Table_complete_valeur[[#This Row],[Dive_Date]])</f>
        <v>15</v>
      </c>
      <c r="O16" s="23">
        <f ca="1">MONTH(Table_complete_valeur[[#This Row],[Dive_Date]])</f>
        <v>1</v>
      </c>
      <c r="P16" s="23">
        <f ca="1">HOUR(Table_complete_valeur[[#This Row],[Time]])</f>
        <v>0</v>
      </c>
      <c r="Q16" s="25" t="str">
        <f ca="1">IF(Table_complete_valeur[[#This Row],[Dive_Hour]]&lt;12,"Morning","Afternoon")</f>
        <v>Morning</v>
      </c>
      <c r="R16" s="25">
        <f ca="1">VLOOKUP([Dive_Date],Moon_age[],2,FALSE)</f>
        <v>19</v>
      </c>
      <c r="S16" s="25" t="str">
        <f t="shared" ca="1" si="0"/>
        <v/>
      </c>
      <c r="T16" s="26" t="s">
        <v>0</v>
      </c>
      <c r="U16" s="23"/>
      <c r="V16" s="23" t="s">
        <v>314</v>
      </c>
      <c r="W16" s="27">
        <v>15</v>
      </c>
      <c r="X16" s="24">
        <v>50</v>
      </c>
      <c r="Y16" s="27" t="s">
        <v>22</v>
      </c>
      <c r="Z16" s="27" t="s">
        <v>55</v>
      </c>
      <c r="AA16" s="27"/>
      <c r="AB16" s="27"/>
      <c r="AC16" s="27"/>
      <c r="AD16" s="27"/>
      <c r="AE16" s="27"/>
      <c r="AF16" s="120"/>
      <c r="AG16" s="119"/>
      <c r="AH16" s="124" t="str">
        <f t="shared" ca="1" si="2"/>
        <v/>
      </c>
      <c r="AI16" s="118" t="str">
        <f t="shared" ca="1" si="1"/>
        <v/>
      </c>
      <c r="AJ16" s="41" t="s">
        <v>65</v>
      </c>
      <c r="AK16" s="46"/>
      <c r="AL16" s="28"/>
    </row>
    <row r="17" spans="1:38">
      <c r="A17" s="107">
        <v>10</v>
      </c>
      <c r="B17" s="33">
        <v>43845</v>
      </c>
      <c r="C17" s="34">
        <v>0.33263888888888887</v>
      </c>
      <c r="D17" s="34" t="s">
        <v>79</v>
      </c>
      <c r="E17" s="25">
        <v>59</v>
      </c>
      <c r="F17" s="25" t="s">
        <v>3</v>
      </c>
      <c r="G17" s="25">
        <v>4</v>
      </c>
      <c r="H17" s="25" t="s">
        <v>2</v>
      </c>
      <c r="I17" s="25" t="s">
        <v>1</v>
      </c>
      <c r="J17" s="23">
        <f ca="1">VLOOKUP([Dive_Date],Tidal_coeficient[],2,FALSE)</f>
        <v>77</v>
      </c>
      <c r="K17" s="25">
        <v>5</v>
      </c>
      <c r="L17" s="24">
        <v>29</v>
      </c>
      <c r="M17" s="25">
        <f ca="1">YEAR(Table_complete_valeur[[#This Row],[Dive_Date]])</f>
        <v>2020</v>
      </c>
      <c r="N17" s="25">
        <f ca="1">DAY(Table_complete_valeur[[#This Row],[Dive_Date]])</f>
        <v>15</v>
      </c>
      <c r="O17" s="25">
        <f ca="1">MONTH(Table_complete_valeur[[#This Row],[Dive_Date]])</f>
        <v>1</v>
      </c>
      <c r="P17" s="25">
        <f ca="1">HOUR(Table_complete_valeur[[#This Row],[Time]])</f>
        <v>7</v>
      </c>
      <c r="Q17" s="25" t="str">
        <f ca="1">IF(Table_complete_valeur[[#This Row],[Dive_Hour]]&lt;12,"Morning","Afternoon")</f>
        <v>Morning</v>
      </c>
      <c r="R17" s="25">
        <f ca="1">VLOOKUP([Dive_Date],Moon_age[],2,FALSE)</f>
        <v>19</v>
      </c>
      <c r="S17" s="25" t="str">
        <f t="shared" ca="1" si="0"/>
        <v/>
      </c>
      <c r="T17" s="26" t="s">
        <v>0</v>
      </c>
      <c r="U17" s="25"/>
      <c r="V17" s="23" t="s">
        <v>315</v>
      </c>
      <c r="W17" s="27">
        <v>16</v>
      </c>
      <c r="X17" s="40">
        <v>35</v>
      </c>
      <c r="Y17" s="30" t="s">
        <v>87</v>
      </c>
      <c r="Z17" s="30" t="s">
        <v>4</v>
      </c>
      <c r="AA17" s="30"/>
      <c r="AB17" s="30"/>
      <c r="AC17" s="30"/>
      <c r="AD17" s="30"/>
      <c r="AE17" s="30"/>
      <c r="AF17" s="117"/>
      <c r="AG17" s="118"/>
      <c r="AH17" s="124" t="str">
        <f t="shared" ca="1" si="2"/>
        <v/>
      </c>
      <c r="AI17" s="118" t="str">
        <f t="shared" ca="1" si="1"/>
        <v/>
      </c>
      <c r="AJ17" s="30" t="s">
        <v>80</v>
      </c>
      <c r="AK17" s="46"/>
      <c r="AL17" s="46" t="s">
        <v>88</v>
      </c>
    </row>
    <row r="18" spans="1:38">
      <c r="A18" s="107">
        <v>10</v>
      </c>
      <c r="B18" s="33">
        <v>43845</v>
      </c>
      <c r="C18" s="34">
        <v>0.33263888888888887</v>
      </c>
      <c r="D18" s="34" t="s">
        <v>79</v>
      </c>
      <c r="E18" s="25">
        <v>59</v>
      </c>
      <c r="F18" s="25" t="s">
        <v>3</v>
      </c>
      <c r="G18" s="25">
        <v>4</v>
      </c>
      <c r="H18" s="25" t="s">
        <v>2</v>
      </c>
      <c r="I18" s="25" t="s">
        <v>1</v>
      </c>
      <c r="J18" s="23">
        <f ca="1">VLOOKUP([Dive_Date],Tidal_coeficient[],2,FALSE)</f>
        <v>77</v>
      </c>
      <c r="K18" s="25">
        <v>5</v>
      </c>
      <c r="L18" s="24">
        <v>29</v>
      </c>
      <c r="M18" s="25">
        <f ca="1">YEAR(Table_complete_valeur[[#This Row],[Dive_Date]])</f>
        <v>2020</v>
      </c>
      <c r="N18" s="25">
        <f ca="1">DAY(Table_complete_valeur[[#This Row],[Dive_Date]])</f>
        <v>15</v>
      </c>
      <c r="O18" s="25">
        <f ca="1">MONTH(Table_complete_valeur[[#This Row],[Dive_Date]])</f>
        <v>1</v>
      </c>
      <c r="P18" s="25">
        <f ca="1">HOUR(Table_complete_valeur[[#This Row],[Time]])</f>
        <v>7</v>
      </c>
      <c r="Q18" s="25" t="str">
        <f ca="1">IF(Table_complete_valeur[[#This Row],[Dive_Hour]]&lt;12,"Morning","Afternoon")</f>
        <v>Morning</v>
      </c>
      <c r="R18" s="25">
        <f ca="1">VLOOKUP([Dive_Date],Moon_age[],2,FALSE)</f>
        <v>19</v>
      </c>
      <c r="S18" s="25" t="str">
        <f t="shared" ca="1" si="0"/>
        <v/>
      </c>
      <c r="T18" s="26" t="s">
        <v>0</v>
      </c>
      <c r="U18" s="25" t="s">
        <v>163</v>
      </c>
      <c r="V18" s="23" t="s">
        <v>316</v>
      </c>
      <c r="W18" s="27">
        <v>17</v>
      </c>
      <c r="X18" s="40">
        <v>18</v>
      </c>
      <c r="Y18" s="30" t="s">
        <v>24</v>
      </c>
      <c r="Z18" s="30" t="s">
        <v>4</v>
      </c>
      <c r="AA18" s="30"/>
      <c r="AB18" s="30"/>
      <c r="AC18" s="30"/>
      <c r="AD18" s="30"/>
      <c r="AE18" s="30"/>
      <c r="AF18" s="117"/>
      <c r="AG18" s="118"/>
      <c r="AH18" s="124" t="str">
        <f t="shared" ca="1" si="2"/>
        <v/>
      </c>
      <c r="AI18" s="118" t="str">
        <f t="shared" ca="1" si="1"/>
        <v/>
      </c>
      <c r="AJ18" s="30" t="s">
        <v>65</v>
      </c>
      <c r="AK18" s="46"/>
      <c r="AL18" s="46" t="s">
        <v>124</v>
      </c>
    </row>
    <row r="19" spans="1:38">
      <c r="A19" s="107">
        <v>11</v>
      </c>
      <c r="B19" s="33">
        <v>43846</v>
      </c>
      <c r="C19" s="34">
        <v>0.32847222222222222</v>
      </c>
      <c r="D19" s="34" t="s">
        <v>79</v>
      </c>
      <c r="E19" s="25">
        <v>63</v>
      </c>
      <c r="F19" s="25" t="s">
        <v>3</v>
      </c>
      <c r="G19" s="25">
        <v>3</v>
      </c>
      <c r="H19" s="25" t="s">
        <v>2</v>
      </c>
      <c r="I19" s="25" t="s">
        <v>1</v>
      </c>
      <c r="J19" s="25">
        <f ca="1">VLOOKUP([Dive_Date],Tidal_coeficient[],2,FALSE)</f>
        <v>68</v>
      </c>
      <c r="K19" s="25">
        <v>3.5</v>
      </c>
      <c r="L19" s="40">
        <v>29</v>
      </c>
      <c r="M19" s="25">
        <f ca="1">YEAR(Table_complete_valeur[[#This Row],[Dive_Date]])</f>
        <v>2020</v>
      </c>
      <c r="N19" s="25">
        <f ca="1">DAY(Table_complete_valeur[[#This Row],[Dive_Date]])</f>
        <v>16</v>
      </c>
      <c r="O19" s="25">
        <f ca="1">MONTH(Table_complete_valeur[[#This Row],[Dive_Date]])</f>
        <v>1</v>
      </c>
      <c r="P19" s="25">
        <f ca="1">HOUR(Table_complete_valeur[[#This Row],[Time]])</f>
        <v>7</v>
      </c>
      <c r="Q19" s="25" t="str">
        <f ca="1">IF(Table_complete_valeur[[#This Row],[Dive_Hour]]&lt;12,"Morning","Afternoon")</f>
        <v>Morning</v>
      </c>
      <c r="R19" s="25">
        <f ca="1">VLOOKUP([Dive_Date],Moon_age[],2,FALSE)</f>
        <v>20</v>
      </c>
      <c r="S19" s="25" t="str">
        <f t="shared" ca="1" si="0"/>
        <v/>
      </c>
      <c r="T19" s="35" t="s">
        <v>0</v>
      </c>
      <c r="U19" s="25"/>
      <c r="V19" s="25" t="s">
        <v>313</v>
      </c>
      <c r="W19" s="27">
        <v>18</v>
      </c>
      <c r="X19" s="40">
        <v>25</v>
      </c>
      <c r="Y19" s="30" t="s">
        <v>23</v>
      </c>
      <c r="Z19" s="30" t="s">
        <v>55</v>
      </c>
      <c r="AA19" s="30"/>
      <c r="AB19" s="30"/>
      <c r="AC19" s="30"/>
      <c r="AD19" s="30"/>
      <c r="AE19" s="30"/>
      <c r="AF19" s="117"/>
      <c r="AG19" s="118"/>
      <c r="AH19" s="124" t="str">
        <f t="shared" ca="1" si="2"/>
        <v/>
      </c>
      <c r="AI19" s="118" t="str">
        <f t="shared" ca="1" si="1"/>
        <v/>
      </c>
      <c r="AJ19" s="30" t="s">
        <v>80</v>
      </c>
      <c r="AK19" s="46"/>
      <c r="AL19" s="46" t="s">
        <v>89</v>
      </c>
    </row>
    <row r="20" spans="1:38">
      <c r="A20" s="107">
        <v>12</v>
      </c>
      <c r="B20" s="33">
        <v>43847</v>
      </c>
      <c r="C20" s="22">
        <v>0.33680555555555558</v>
      </c>
      <c r="D20" s="34" t="s">
        <v>79</v>
      </c>
      <c r="E20" s="25">
        <v>63</v>
      </c>
      <c r="F20" s="25" t="s">
        <v>3</v>
      </c>
      <c r="G20" s="23">
        <v>3</v>
      </c>
      <c r="H20" s="25" t="s">
        <v>2</v>
      </c>
      <c r="I20" s="25" t="s">
        <v>1</v>
      </c>
      <c r="J20" s="23">
        <f ca="1">VLOOKUP([Dive_Date],Tidal_coeficient[],2,FALSE)</f>
        <v>61</v>
      </c>
      <c r="K20" s="25">
        <v>3</v>
      </c>
      <c r="L20" s="40">
        <v>29</v>
      </c>
      <c r="M20" s="23">
        <f ca="1">YEAR(Table_complete_valeur[[#This Row],[Dive_Date]])</f>
        <v>2020</v>
      </c>
      <c r="N20" s="23">
        <f ca="1">DAY(Table_complete_valeur[[#This Row],[Dive_Date]])</f>
        <v>17</v>
      </c>
      <c r="O20" s="23">
        <f ca="1">MONTH(Table_complete_valeur[[#This Row],[Dive_Date]])</f>
        <v>1</v>
      </c>
      <c r="P20" s="23">
        <f ca="1">HOUR(Table_complete_valeur[[#This Row],[Time]])</f>
        <v>8</v>
      </c>
      <c r="Q20" s="25" t="str">
        <f ca="1">IF(Table_complete_valeur[[#This Row],[Dive_Hour]]&lt;12,"Morning","Afternoon")</f>
        <v>Morning</v>
      </c>
      <c r="R20" s="25">
        <f ca="1">VLOOKUP([Dive_Date],Moon_age[],2,FALSE)</f>
        <v>21</v>
      </c>
      <c r="S20" s="25" t="str">
        <f t="shared" ca="1" si="0"/>
        <v/>
      </c>
      <c r="T20" s="26" t="s">
        <v>6</v>
      </c>
      <c r="U20" s="25" t="s">
        <v>164</v>
      </c>
      <c r="V20" s="25" t="s">
        <v>304</v>
      </c>
      <c r="W20" s="27">
        <v>19</v>
      </c>
      <c r="X20" s="24">
        <v>50</v>
      </c>
      <c r="Y20" s="27" t="s">
        <v>22</v>
      </c>
      <c r="Z20" s="30" t="s">
        <v>4</v>
      </c>
      <c r="AA20" s="30">
        <v>30</v>
      </c>
      <c r="AB20" s="30">
        <v>167</v>
      </c>
      <c r="AC20" s="30">
        <v>179</v>
      </c>
      <c r="AD20" s="30">
        <v>53</v>
      </c>
      <c r="AE20" s="30">
        <v>35</v>
      </c>
      <c r="AF20" s="117">
        <v>224</v>
      </c>
      <c r="AG20" s="119">
        <f ca="1">1.29*Table_complete_valeur[[#This Row],[LF]]+3.58</f>
        <v>234.49</v>
      </c>
      <c r="AH20" s="135" t="str">
        <f t="shared" ca="1" si="2"/>
        <v>TL &lt; 250</v>
      </c>
      <c r="AI20" s="136" t="str">
        <f t="shared" ca="1" si="1"/>
        <v>TL &lt; 250</v>
      </c>
      <c r="AJ20" s="27" t="s">
        <v>91</v>
      </c>
      <c r="AK20" s="28"/>
      <c r="AL20" s="28" t="s">
        <v>98</v>
      </c>
    </row>
    <row r="21" spans="1:38">
      <c r="A21" s="107">
        <v>12</v>
      </c>
      <c r="B21" s="33">
        <v>43847</v>
      </c>
      <c r="C21" s="22">
        <v>0.33680555555555558</v>
      </c>
      <c r="D21" s="34" t="s">
        <v>79</v>
      </c>
      <c r="E21" s="25">
        <v>63</v>
      </c>
      <c r="F21" s="25" t="s">
        <v>3</v>
      </c>
      <c r="G21" s="23">
        <v>3</v>
      </c>
      <c r="H21" s="25" t="s">
        <v>2</v>
      </c>
      <c r="I21" s="25" t="s">
        <v>1</v>
      </c>
      <c r="J21" s="23">
        <f ca="1">VLOOKUP([Dive_Date],Tidal_coeficient[],2,FALSE)</f>
        <v>61</v>
      </c>
      <c r="K21" s="25">
        <v>3</v>
      </c>
      <c r="L21" s="40">
        <v>29</v>
      </c>
      <c r="M21" s="23">
        <f ca="1">YEAR(Table_complete_valeur[[#This Row],[Dive_Date]])</f>
        <v>2020</v>
      </c>
      <c r="N21" s="23">
        <f ca="1">DAY(Table_complete_valeur[[#This Row],[Dive_Date]])</f>
        <v>17</v>
      </c>
      <c r="O21" s="23">
        <f ca="1">MONTH(Table_complete_valeur[[#This Row],[Dive_Date]])</f>
        <v>1</v>
      </c>
      <c r="P21" s="23">
        <f ca="1">HOUR(Table_complete_valeur[[#This Row],[Time]])</f>
        <v>8</v>
      </c>
      <c r="Q21" s="25" t="str">
        <f ca="1">IF(Table_complete_valeur[[#This Row],[Dive_Hour]]&lt;12,"Morning","Afternoon")</f>
        <v>Morning</v>
      </c>
      <c r="R21" s="25">
        <f ca="1">VLOOKUP([Dive_Date],Moon_age[],2,FALSE)</f>
        <v>21</v>
      </c>
      <c r="S21" s="25" t="str">
        <f t="shared" ca="1" si="0"/>
        <v/>
      </c>
      <c r="T21" s="26" t="s">
        <v>6</v>
      </c>
      <c r="U21" s="25" t="s">
        <v>165</v>
      </c>
      <c r="V21" s="25" t="s">
        <v>305</v>
      </c>
      <c r="W21" s="27">
        <v>20</v>
      </c>
      <c r="X21" s="24">
        <v>50</v>
      </c>
      <c r="Y21" s="27" t="s">
        <v>20</v>
      </c>
      <c r="Z21" s="30" t="s">
        <v>4</v>
      </c>
      <c r="AA21" s="30">
        <v>30</v>
      </c>
      <c r="AB21" s="30">
        <v>188</v>
      </c>
      <c r="AC21" s="30">
        <v>214</v>
      </c>
      <c r="AD21" s="30"/>
      <c r="AE21" s="30">
        <v>43</v>
      </c>
      <c r="AF21" s="117">
        <v>251</v>
      </c>
      <c r="AG21" s="119">
        <f ca="1">1.29*Table_complete_valeur[[#This Row],[LF]]+3.58</f>
        <v>279.64</v>
      </c>
      <c r="AH21" s="133" t="str">
        <f t="shared" ca="1" si="2"/>
        <v>250 &lt; TL &lt; 300</v>
      </c>
      <c r="AI21" s="134" t="str">
        <f t="shared" ca="1" si="1"/>
        <v>250 &lt; TL &lt; 300</v>
      </c>
      <c r="AJ21" s="27" t="s">
        <v>91</v>
      </c>
      <c r="AK21" s="28"/>
      <c r="AL21" s="28" t="s">
        <v>98</v>
      </c>
    </row>
    <row r="22" spans="1:38">
      <c r="A22" s="107">
        <v>12</v>
      </c>
      <c r="B22" s="33">
        <v>43847</v>
      </c>
      <c r="C22" s="22">
        <v>0.33680555555555558</v>
      </c>
      <c r="D22" s="34" t="s">
        <v>79</v>
      </c>
      <c r="E22" s="25">
        <v>63</v>
      </c>
      <c r="F22" s="25" t="s">
        <v>3</v>
      </c>
      <c r="G22" s="23">
        <v>3</v>
      </c>
      <c r="H22" s="25" t="s">
        <v>2</v>
      </c>
      <c r="I22" s="25" t="s">
        <v>1</v>
      </c>
      <c r="J22" s="23">
        <f ca="1">VLOOKUP([Dive_Date],Tidal_coeficient[],2,FALSE)</f>
        <v>61</v>
      </c>
      <c r="K22" s="25">
        <v>3</v>
      </c>
      <c r="L22" s="40">
        <v>29</v>
      </c>
      <c r="M22" s="23">
        <f ca="1">YEAR(Table_complete_valeur[[#This Row],[Dive_Date]])</f>
        <v>2020</v>
      </c>
      <c r="N22" s="23">
        <f ca="1">DAY(Table_complete_valeur[[#This Row],[Dive_Date]])</f>
        <v>17</v>
      </c>
      <c r="O22" s="23">
        <f ca="1">MONTH(Table_complete_valeur[[#This Row],[Dive_Date]])</f>
        <v>1</v>
      </c>
      <c r="P22" s="23">
        <f ca="1">HOUR(Table_complete_valeur[[#This Row],[Time]])</f>
        <v>8</v>
      </c>
      <c r="Q22" s="25" t="str">
        <f ca="1">IF(Table_complete_valeur[[#This Row],[Dive_Hour]]&lt;12,"Morning","Afternoon")</f>
        <v>Morning</v>
      </c>
      <c r="R22" s="25">
        <f ca="1">VLOOKUP([Dive_Date],Moon_age[],2,FALSE)</f>
        <v>21</v>
      </c>
      <c r="S22" s="25" t="str">
        <f t="shared" ca="1" si="0"/>
        <v/>
      </c>
      <c r="T22" s="26" t="s">
        <v>6</v>
      </c>
      <c r="U22" s="25" t="s">
        <v>166</v>
      </c>
      <c r="V22" s="25" t="s">
        <v>306</v>
      </c>
      <c r="W22" s="27">
        <v>21</v>
      </c>
      <c r="X22" s="24">
        <v>45</v>
      </c>
      <c r="Y22" s="27" t="s">
        <v>54</v>
      </c>
      <c r="Z22" s="30" t="s">
        <v>4</v>
      </c>
      <c r="AA22" s="30">
        <v>30</v>
      </c>
      <c r="AB22" s="30">
        <v>196</v>
      </c>
      <c r="AC22" s="30">
        <v>205</v>
      </c>
      <c r="AD22" s="30"/>
      <c r="AE22" s="30">
        <v>39</v>
      </c>
      <c r="AF22" s="117">
        <v>257</v>
      </c>
      <c r="AG22" s="119">
        <f ca="1">1.29*Table_complete_valeur[[#This Row],[LF]]+3.58</f>
        <v>268.02999999999997</v>
      </c>
      <c r="AH22" s="133" t="str">
        <f t="shared" ca="1" si="2"/>
        <v>250 &lt; TL &lt; 300</v>
      </c>
      <c r="AI22" s="134" t="str">
        <f t="shared" ca="1" si="1"/>
        <v>250 &lt; TL &lt; 300</v>
      </c>
      <c r="AJ22" s="27" t="s">
        <v>91</v>
      </c>
      <c r="AK22" s="28"/>
      <c r="AL22" s="28" t="s">
        <v>98</v>
      </c>
    </row>
    <row r="23" spans="1:38">
      <c r="A23" s="107">
        <v>12</v>
      </c>
      <c r="B23" s="33">
        <v>43847</v>
      </c>
      <c r="C23" s="22">
        <v>0.33680555555555558</v>
      </c>
      <c r="D23" s="34" t="s">
        <v>79</v>
      </c>
      <c r="E23" s="25">
        <v>63</v>
      </c>
      <c r="F23" s="25" t="s">
        <v>3</v>
      </c>
      <c r="G23" s="23">
        <v>3</v>
      </c>
      <c r="H23" s="25" t="s">
        <v>2</v>
      </c>
      <c r="I23" s="25" t="s">
        <v>1</v>
      </c>
      <c r="J23" s="23">
        <f ca="1">VLOOKUP([Dive_Date],Tidal_coeficient[],2,FALSE)</f>
        <v>61</v>
      </c>
      <c r="K23" s="25">
        <v>3</v>
      </c>
      <c r="L23" s="40">
        <v>29</v>
      </c>
      <c r="M23" s="23">
        <f ca="1">YEAR(Table_complete_valeur[[#This Row],[Dive_Date]])</f>
        <v>2020</v>
      </c>
      <c r="N23" s="23">
        <f ca="1">DAY(Table_complete_valeur[[#This Row],[Dive_Date]])</f>
        <v>17</v>
      </c>
      <c r="O23" s="23">
        <f ca="1">MONTH(Table_complete_valeur[[#This Row],[Dive_Date]])</f>
        <v>1</v>
      </c>
      <c r="P23" s="23">
        <f ca="1">HOUR(Table_complete_valeur[[#This Row],[Time]])</f>
        <v>8</v>
      </c>
      <c r="Q23" s="25" t="str">
        <f ca="1">IF(Table_complete_valeur[[#This Row],[Dive_Hour]]&lt;12,"Morning","Afternoon")</f>
        <v>Morning</v>
      </c>
      <c r="R23" s="25">
        <f ca="1">VLOOKUP([Dive_Date],Moon_age[],2,FALSE)</f>
        <v>21</v>
      </c>
      <c r="S23" s="25" t="str">
        <f t="shared" ca="1" si="0"/>
        <v/>
      </c>
      <c r="T23" s="26" t="s">
        <v>6</v>
      </c>
      <c r="U23" s="23" t="s">
        <v>167</v>
      </c>
      <c r="V23" s="25" t="s">
        <v>307</v>
      </c>
      <c r="W23" s="27">
        <v>22</v>
      </c>
      <c r="X23" s="24">
        <v>45</v>
      </c>
      <c r="Y23" s="27" t="s">
        <v>69</v>
      </c>
      <c r="Z23" s="30" t="s">
        <v>4</v>
      </c>
      <c r="AA23" s="27">
        <v>30</v>
      </c>
      <c r="AB23" s="27">
        <v>176</v>
      </c>
      <c r="AC23" s="27">
        <v>202</v>
      </c>
      <c r="AD23" s="27"/>
      <c r="AE23" s="27">
        <v>45</v>
      </c>
      <c r="AF23" s="120">
        <v>255</v>
      </c>
      <c r="AG23" s="119">
        <f ca="1">1.29*Table_complete_valeur[[#This Row],[LF]]+3.58</f>
        <v>264.15999999999997</v>
      </c>
      <c r="AH23" s="133" t="str">
        <f t="shared" ca="1" si="2"/>
        <v>250 &lt; TL &lt; 300</v>
      </c>
      <c r="AI23" s="134" t="str">
        <f t="shared" ca="1" si="1"/>
        <v>250 &lt; TL &lt; 300</v>
      </c>
      <c r="AJ23" s="27" t="s">
        <v>91</v>
      </c>
      <c r="AK23" s="28"/>
      <c r="AL23" s="28" t="s">
        <v>98</v>
      </c>
    </row>
    <row r="24" spans="1:38">
      <c r="A24" s="107">
        <v>12</v>
      </c>
      <c r="B24" s="33">
        <v>43847</v>
      </c>
      <c r="C24" s="22">
        <v>0.33680555555555558</v>
      </c>
      <c r="D24" s="34" t="s">
        <v>79</v>
      </c>
      <c r="E24" s="25">
        <v>63</v>
      </c>
      <c r="F24" s="25" t="s">
        <v>3</v>
      </c>
      <c r="G24" s="23">
        <v>3</v>
      </c>
      <c r="H24" s="25" t="s">
        <v>2</v>
      </c>
      <c r="I24" s="25" t="s">
        <v>1</v>
      </c>
      <c r="J24" s="23">
        <f ca="1">VLOOKUP([Dive_Date],Tidal_coeficient[],2,FALSE)</f>
        <v>61</v>
      </c>
      <c r="K24" s="25">
        <v>3</v>
      </c>
      <c r="L24" s="40">
        <v>29</v>
      </c>
      <c r="M24" s="23">
        <f ca="1">YEAR(Table_complete_valeur[[#This Row],[Dive_Date]])</f>
        <v>2020</v>
      </c>
      <c r="N24" s="23">
        <f ca="1">DAY(Table_complete_valeur[[#This Row],[Dive_Date]])</f>
        <v>17</v>
      </c>
      <c r="O24" s="23">
        <f ca="1">MONTH(Table_complete_valeur[[#This Row],[Dive_Date]])</f>
        <v>1</v>
      </c>
      <c r="P24" s="23">
        <f ca="1">HOUR(Table_complete_valeur[[#This Row],[Time]])</f>
        <v>8</v>
      </c>
      <c r="Q24" s="25" t="str">
        <f ca="1">IF(Table_complete_valeur[[#This Row],[Dive_Hour]]&lt;12,"Morning","Afternoon")</f>
        <v>Morning</v>
      </c>
      <c r="R24" s="25">
        <f ca="1">VLOOKUP([Dive_Date],Moon_age[],2,FALSE)</f>
        <v>21</v>
      </c>
      <c r="S24" s="25" t="str">
        <f t="shared" ca="1" si="0"/>
        <v/>
      </c>
      <c r="T24" s="26" t="s">
        <v>6</v>
      </c>
      <c r="U24" s="25" t="s">
        <v>168</v>
      </c>
      <c r="V24" s="25" t="s">
        <v>308</v>
      </c>
      <c r="W24" s="27">
        <v>23</v>
      </c>
      <c r="X24" s="24">
        <v>35</v>
      </c>
      <c r="Y24" s="27" t="s">
        <v>68</v>
      </c>
      <c r="Z24" s="30" t="s">
        <v>4</v>
      </c>
      <c r="AA24" s="30">
        <v>30</v>
      </c>
      <c r="AB24" s="30">
        <v>180</v>
      </c>
      <c r="AC24" s="30">
        <v>193</v>
      </c>
      <c r="AD24" s="30"/>
      <c r="AE24" s="30">
        <v>42</v>
      </c>
      <c r="AF24" s="117">
        <v>249</v>
      </c>
      <c r="AG24" s="119">
        <f ca="1">1.29*Table_complete_valeur[[#This Row],[LF]]+3.58</f>
        <v>252.55</v>
      </c>
      <c r="AH24" s="135" t="str">
        <f t="shared" ca="1" si="2"/>
        <v>TL &lt; 250</v>
      </c>
      <c r="AI24" s="134" t="str">
        <f t="shared" ca="1" si="1"/>
        <v>250 &lt; TL &lt; 300</v>
      </c>
      <c r="AJ24" s="27" t="s">
        <v>91</v>
      </c>
      <c r="AK24" s="28"/>
      <c r="AL24" s="28" t="s">
        <v>98</v>
      </c>
    </row>
    <row r="25" spans="1:38">
      <c r="A25" s="107">
        <v>13</v>
      </c>
      <c r="B25" s="33">
        <v>43847</v>
      </c>
      <c r="C25" s="22">
        <v>0.33333333333333331</v>
      </c>
      <c r="D25" s="22" t="s">
        <v>90</v>
      </c>
      <c r="E25" s="23">
        <v>170</v>
      </c>
      <c r="F25" s="23" t="s">
        <v>17</v>
      </c>
      <c r="G25" s="23">
        <v>4</v>
      </c>
      <c r="H25" s="25" t="s">
        <v>2</v>
      </c>
      <c r="I25" s="25" t="s">
        <v>1</v>
      </c>
      <c r="J25" s="23">
        <f ca="1">VLOOKUP([Dive_Date],Tidal_coeficient[],2,FALSE)</f>
        <v>61</v>
      </c>
      <c r="K25" s="25">
        <v>3</v>
      </c>
      <c r="L25" s="24">
        <v>27</v>
      </c>
      <c r="M25" s="23">
        <f ca="1">YEAR(Table_complete_valeur[[#This Row],[Dive_Date]])</f>
        <v>2020</v>
      </c>
      <c r="N25" s="23">
        <f ca="1">DAY(Table_complete_valeur[[#This Row],[Dive_Date]])</f>
        <v>17</v>
      </c>
      <c r="O25" s="23">
        <f ca="1">MONTH(Table_complete_valeur[[#This Row],[Dive_Date]])</f>
        <v>1</v>
      </c>
      <c r="P25" s="23">
        <f ca="1">HOUR(Table_complete_valeur[[#This Row],[Time]])</f>
        <v>7</v>
      </c>
      <c r="Q25" s="25" t="str">
        <f ca="1">IF(Table_complete_valeur[[#This Row],[Dive_Hour]]&lt;12,"Morning","Afternoon")</f>
        <v>Morning</v>
      </c>
      <c r="R25" s="25">
        <f ca="1">VLOOKUP([Dive_Date],Moon_age[],2,FALSE)</f>
        <v>21</v>
      </c>
      <c r="S25" s="25" t="str">
        <f t="shared" ca="1" si="0"/>
        <v/>
      </c>
      <c r="T25" s="26" t="s">
        <v>6</v>
      </c>
      <c r="U25" s="25" t="s">
        <v>176</v>
      </c>
      <c r="V25" s="25" t="s">
        <v>309</v>
      </c>
      <c r="W25" s="27">
        <v>24</v>
      </c>
      <c r="X25" s="24">
        <v>50</v>
      </c>
      <c r="Y25" s="27" t="s">
        <v>71</v>
      </c>
      <c r="Z25" s="30" t="s">
        <v>4</v>
      </c>
      <c r="AA25" s="27">
        <v>50</v>
      </c>
      <c r="AB25" s="27">
        <v>226</v>
      </c>
      <c r="AC25" s="27">
        <v>241</v>
      </c>
      <c r="AD25" s="27">
        <v>74</v>
      </c>
      <c r="AE25" s="27">
        <v>51</v>
      </c>
      <c r="AF25" s="120">
        <v>305</v>
      </c>
      <c r="AG25" s="119">
        <f ca="1">1.29*Table_complete_valeur[[#This Row],[LF]]+3.58</f>
        <v>314.46999999999997</v>
      </c>
      <c r="AH25" s="131" t="str">
        <f t="shared" ca="1" si="2"/>
        <v>300 &lt; TL &lt; 350</v>
      </c>
      <c r="AI25" s="132" t="str">
        <f t="shared" ca="1" si="1"/>
        <v>300 &lt; TL &lt; 350</v>
      </c>
      <c r="AJ25" s="27" t="s">
        <v>91</v>
      </c>
      <c r="AK25" s="46"/>
      <c r="AL25" s="32" t="s">
        <v>93</v>
      </c>
    </row>
    <row r="26" spans="1:38">
      <c r="A26" s="107">
        <v>13</v>
      </c>
      <c r="B26" s="33">
        <v>43847</v>
      </c>
      <c r="C26" s="22">
        <v>0.33333333333333331</v>
      </c>
      <c r="D26" s="22" t="s">
        <v>90</v>
      </c>
      <c r="E26" s="23">
        <v>170</v>
      </c>
      <c r="F26" s="23" t="s">
        <v>17</v>
      </c>
      <c r="G26" s="23">
        <v>4</v>
      </c>
      <c r="H26" s="25" t="s">
        <v>2</v>
      </c>
      <c r="I26" s="25" t="s">
        <v>1</v>
      </c>
      <c r="J26" s="23">
        <f ca="1">VLOOKUP([Dive_Date],Tidal_coeficient[],2,FALSE)</f>
        <v>61</v>
      </c>
      <c r="K26" s="25">
        <v>3</v>
      </c>
      <c r="L26" s="24">
        <v>27</v>
      </c>
      <c r="M26" s="23">
        <f ca="1">YEAR(Table_complete_valeur[[#This Row],[Dive_Date]])</f>
        <v>2020</v>
      </c>
      <c r="N26" s="23">
        <f ca="1">DAY(Table_complete_valeur[[#This Row],[Dive_Date]])</f>
        <v>17</v>
      </c>
      <c r="O26" s="23">
        <f ca="1">MONTH(Table_complete_valeur[[#This Row],[Dive_Date]])</f>
        <v>1</v>
      </c>
      <c r="P26" s="23">
        <f ca="1">HOUR(Table_complete_valeur[[#This Row],[Time]])</f>
        <v>7</v>
      </c>
      <c r="Q26" s="25" t="str">
        <f ca="1">IF(Table_complete_valeur[[#This Row],[Dive_Hour]]&lt;12,"Morning","Afternoon")</f>
        <v>Morning</v>
      </c>
      <c r="R26" s="25">
        <f ca="1">VLOOKUP([Dive_Date],Moon_age[],2,FALSE)</f>
        <v>21</v>
      </c>
      <c r="S26" s="25" t="str">
        <f t="shared" ca="1" si="0"/>
        <v/>
      </c>
      <c r="T26" s="26" t="s">
        <v>6</v>
      </c>
      <c r="U26" s="25" t="s">
        <v>177</v>
      </c>
      <c r="V26" s="25" t="s">
        <v>310</v>
      </c>
      <c r="W26" s="27">
        <v>25</v>
      </c>
      <c r="X26" s="24">
        <v>50</v>
      </c>
      <c r="Y26" s="27" t="s">
        <v>19</v>
      </c>
      <c r="Z26" s="30" t="s">
        <v>4</v>
      </c>
      <c r="AA26" s="27">
        <v>50</v>
      </c>
      <c r="AB26" s="27">
        <v>220</v>
      </c>
      <c r="AC26" s="27">
        <v>239</v>
      </c>
      <c r="AD26" s="27"/>
      <c r="AE26" s="27">
        <v>49</v>
      </c>
      <c r="AF26" s="120">
        <v>296</v>
      </c>
      <c r="AG26" s="119">
        <f ca="1">1.29*Table_complete_valeur[[#This Row],[LF]]+3.58</f>
        <v>311.89</v>
      </c>
      <c r="AH26" s="133" t="str">
        <f t="shared" ca="1" si="2"/>
        <v>250 &lt; TL &lt; 300</v>
      </c>
      <c r="AI26" s="132" t="str">
        <f t="shared" ca="1" si="1"/>
        <v>300 &lt; TL &lt; 350</v>
      </c>
      <c r="AJ26" s="27" t="s">
        <v>91</v>
      </c>
      <c r="AK26" s="46"/>
      <c r="AL26" s="32" t="s">
        <v>93</v>
      </c>
    </row>
    <row r="27" spans="1:38">
      <c r="A27" s="107">
        <v>13</v>
      </c>
      <c r="B27" s="33">
        <v>43847</v>
      </c>
      <c r="C27" s="22">
        <v>0.33333333333333331</v>
      </c>
      <c r="D27" s="22" t="s">
        <v>90</v>
      </c>
      <c r="E27" s="23">
        <v>170</v>
      </c>
      <c r="F27" s="25" t="s">
        <v>17</v>
      </c>
      <c r="G27" s="23">
        <v>4</v>
      </c>
      <c r="H27" s="25" t="s">
        <v>2</v>
      </c>
      <c r="I27" s="25" t="s">
        <v>1</v>
      </c>
      <c r="J27" s="23">
        <f ca="1">VLOOKUP([Dive_Date],Tidal_coeficient[],2,FALSE)</f>
        <v>61</v>
      </c>
      <c r="K27" s="25">
        <v>3</v>
      </c>
      <c r="L27" s="24">
        <v>27</v>
      </c>
      <c r="M27" s="25">
        <f ca="1">YEAR(Table_complete_valeur[[#This Row],[Dive_Date]])</f>
        <v>2020</v>
      </c>
      <c r="N27" s="25">
        <f ca="1">DAY(Table_complete_valeur[[#This Row],[Dive_Date]])</f>
        <v>17</v>
      </c>
      <c r="O27" s="25">
        <f ca="1">MONTH(Table_complete_valeur[[#This Row],[Dive_Date]])</f>
        <v>1</v>
      </c>
      <c r="P27" s="25">
        <f ca="1">HOUR(Table_complete_valeur[[#This Row],[Time]])</f>
        <v>7</v>
      </c>
      <c r="Q27" s="25" t="str">
        <f ca="1">IF(Table_complete_valeur[[#This Row],[Dive_Hour]]&lt;12,"Morning","Afternoon")</f>
        <v>Morning</v>
      </c>
      <c r="R27" s="25">
        <f ca="1">VLOOKUP([Dive_Date],Moon_age[],2,FALSE)</f>
        <v>21</v>
      </c>
      <c r="S27" s="25" t="str">
        <f t="shared" ca="1" si="0"/>
        <v/>
      </c>
      <c r="T27" s="26" t="s">
        <v>6</v>
      </c>
      <c r="U27" s="25" t="s">
        <v>178</v>
      </c>
      <c r="V27" s="25" t="s">
        <v>311</v>
      </c>
      <c r="W27" s="27">
        <v>26</v>
      </c>
      <c r="X27" s="24">
        <v>50</v>
      </c>
      <c r="Y27" s="27" t="s">
        <v>18</v>
      </c>
      <c r="Z27" s="30" t="s">
        <v>4</v>
      </c>
      <c r="AA27" s="30">
        <v>50</v>
      </c>
      <c r="AB27" s="30">
        <v>200</v>
      </c>
      <c r="AC27" s="30">
        <v>223</v>
      </c>
      <c r="AD27" s="30">
        <v>69</v>
      </c>
      <c r="AE27" s="30">
        <v>49</v>
      </c>
      <c r="AF27" s="117"/>
      <c r="AG27" s="118">
        <f ca="1">1.29*Table_complete_valeur[[#This Row],[LF]]+3.58</f>
        <v>291.25</v>
      </c>
      <c r="AH27" s="124" t="str">
        <f t="shared" ca="1" si="2"/>
        <v/>
      </c>
      <c r="AI27" s="134" t="str">
        <f t="shared" ca="1" si="1"/>
        <v>250 &lt; TL &lt; 300</v>
      </c>
      <c r="AJ27" s="27" t="s">
        <v>91</v>
      </c>
      <c r="AK27" s="46"/>
      <c r="AL27" s="32" t="s">
        <v>93</v>
      </c>
    </row>
    <row r="28" spans="1:38">
      <c r="A28" s="107">
        <v>14</v>
      </c>
      <c r="B28" s="21">
        <v>43847</v>
      </c>
      <c r="C28" s="22">
        <v>0.63541666666666663</v>
      </c>
      <c r="D28" s="22" t="s">
        <v>90</v>
      </c>
      <c r="E28" s="23">
        <v>60</v>
      </c>
      <c r="F28" s="23" t="s">
        <v>99</v>
      </c>
      <c r="G28" s="23">
        <v>3</v>
      </c>
      <c r="H28" s="23" t="s">
        <v>100</v>
      </c>
      <c r="I28" s="23" t="s">
        <v>1</v>
      </c>
      <c r="J28" s="23">
        <f ca="1">VLOOKUP([Dive_Date],Tidal_coeficient[],2,FALSE)</f>
        <v>61</v>
      </c>
      <c r="K28" s="23">
        <v>-3</v>
      </c>
      <c r="L28" s="24">
        <v>29</v>
      </c>
      <c r="M28" s="23">
        <f ca="1">YEAR(Table_complete_valeur[[#This Row],[Dive_Date]])</f>
        <v>2020</v>
      </c>
      <c r="N28" s="23">
        <f ca="1">DAY(Table_complete_valeur[[#This Row],[Dive_Date]])</f>
        <v>17</v>
      </c>
      <c r="O28" s="23">
        <f ca="1">MONTH(Table_complete_valeur[[#This Row],[Dive_Date]])</f>
        <v>1</v>
      </c>
      <c r="P28" s="23">
        <f ca="1">HOUR(Table_complete_valeur[[#This Row],[Time]])</f>
        <v>15</v>
      </c>
      <c r="Q28" s="25" t="str">
        <f ca="1">IF(Table_complete_valeur[[#This Row],[Dive_Hour]]&lt;12,"Morning","Afternoon")</f>
        <v>Afternoon</v>
      </c>
      <c r="R28" s="25">
        <f ca="1">VLOOKUP([Dive_Date],Moon_age[],2,FALSE)</f>
        <v>21</v>
      </c>
      <c r="S28" s="25" t="str">
        <f t="shared" ca="1" si="0"/>
        <v/>
      </c>
      <c r="T28" s="26" t="s">
        <v>6</v>
      </c>
      <c r="U28" s="47" t="s">
        <v>458</v>
      </c>
      <c r="V28" s="23" t="s">
        <v>312</v>
      </c>
      <c r="W28" s="27">
        <v>27</v>
      </c>
      <c r="X28" s="24">
        <v>3</v>
      </c>
      <c r="Y28" s="27" t="s">
        <v>5</v>
      </c>
      <c r="Z28" s="27" t="s">
        <v>4</v>
      </c>
      <c r="AA28" s="27">
        <v>30</v>
      </c>
      <c r="AB28" s="27">
        <v>248</v>
      </c>
      <c r="AC28" s="27">
        <v>275</v>
      </c>
      <c r="AD28" s="27"/>
      <c r="AE28" s="27">
        <v>47</v>
      </c>
      <c r="AF28" s="120">
        <v>335</v>
      </c>
      <c r="AG28" s="119">
        <f ca="1">1.29*Table_complete_valeur[[#This Row],[LF]]+3.58</f>
        <v>358.33</v>
      </c>
      <c r="AH28" s="131" t="str">
        <f t="shared" ca="1" si="2"/>
        <v>300 &lt; TL &lt; 350</v>
      </c>
      <c r="AI28" s="137" t="str">
        <f t="shared" ca="1" si="1"/>
        <v>350 &lt; TL &lt; 400</v>
      </c>
      <c r="AJ28" s="27" t="s">
        <v>66</v>
      </c>
      <c r="AK28" s="28"/>
      <c r="AL28" s="28" t="s">
        <v>200</v>
      </c>
    </row>
    <row r="29" spans="1:38">
      <c r="A29" s="107">
        <v>15</v>
      </c>
      <c r="B29" s="33">
        <v>43848</v>
      </c>
      <c r="C29" s="22">
        <v>0.43541666666666662</v>
      </c>
      <c r="D29" s="22" t="s">
        <v>79</v>
      </c>
      <c r="E29" s="23">
        <v>61</v>
      </c>
      <c r="F29" s="23" t="s">
        <v>3</v>
      </c>
      <c r="G29" s="23">
        <v>5</v>
      </c>
      <c r="H29" s="25" t="s">
        <v>2</v>
      </c>
      <c r="I29" s="25" t="s">
        <v>1</v>
      </c>
      <c r="J29" s="23">
        <f ca="1">VLOOKUP([Dive_Date],Tidal_coeficient[],2,FALSE)</f>
        <v>57</v>
      </c>
      <c r="K29" s="25">
        <v>4</v>
      </c>
      <c r="L29" s="24">
        <v>29</v>
      </c>
      <c r="M29" s="23">
        <f ca="1">YEAR(Table_complete_valeur[[#This Row],[Dive_Date]])</f>
        <v>2020</v>
      </c>
      <c r="N29" s="23">
        <f ca="1">DAY(Table_complete_valeur[[#This Row],[Dive_Date]])</f>
        <v>18</v>
      </c>
      <c r="O29" s="23">
        <f ca="1">MONTH(Table_complete_valeur[[#This Row],[Dive_Date]])</f>
        <v>1</v>
      </c>
      <c r="P29" s="23">
        <f ca="1">HOUR(Table_complete_valeur[[#This Row],[Time]])</f>
        <v>10</v>
      </c>
      <c r="Q29" s="25" t="str">
        <f ca="1">IF(Table_complete_valeur[[#This Row],[Dive_Hour]]&lt;12,"Morning","Afternoon")</f>
        <v>Morning</v>
      </c>
      <c r="R29" s="25">
        <f ca="1">VLOOKUP([Dive_Date],Moon_age[],2,FALSE)</f>
        <v>22</v>
      </c>
      <c r="S29" s="25" t="str">
        <f t="shared" ca="1" si="0"/>
        <v>Last Quarter</v>
      </c>
      <c r="T29" s="26" t="s">
        <v>6</v>
      </c>
      <c r="U29" s="25"/>
      <c r="V29" s="25" t="s">
        <v>303</v>
      </c>
      <c r="W29" s="27">
        <v>28</v>
      </c>
      <c r="X29" s="24">
        <v>25</v>
      </c>
      <c r="Y29" s="27" t="s">
        <v>24</v>
      </c>
      <c r="Z29" s="30" t="s">
        <v>4</v>
      </c>
      <c r="AA29" s="30"/>
      <c r="AB29" s="30"/>
      <c r="AC29" s="30"/>
      <c r="AD29" s="30"/>
      <c r="AE29" s="30"/>
      <c r="AF29" s="117"/>
      <c r="AG29" s="119"/>
      <c r="AH29" s="124" t="str">
        <f t="shared" ca="1" si="2"/>
        <v/>
      </c>
      <c r="AI29" s="118" t="str">
        <f t="shared" ca="1" si="1"/>
        <v/>
      </c>
      <c r="AJ29" s="27" t="s">
        <v>65</v>
      </c>
      <c r="AK29" s="28"/>
      <c r="AL29" s="28" t="s">
        <v>92</v>
      </c>
    </row>
    <row r="30" spans="1:38">
      <c r="A30" s="107">
        <v>16</v>
      </c>
      <c r="B30" s="33">
        <v>43848</v>
      </c>
      <c r="C30" s="22">
        <v>0.34722222222222227</v>
      </c>
      <c r="D30" s="22" t="s">
        <v>90</v>
      </c>
      <c r="E30" s="23">
        <v>180</v>
      </c>
      <c r="F30" s="23" t="s">
        <v>17</v>
      </c>
      <c r="G30" s="23">
        <v>3</v>
      </c>
      <c r="H30" s="25" t="s">
        <v>2</v>
      </c>
      <c r="I30" s="25" t="s">
        <v>1</v>
      </c>
      <c r="J30" s="23">
        <f ca="1">VLOOKUP([Dive_Date],Tidal_coeficient[],2,FALSE)</f>
        <v>57</v>
      </c>
      <c r="K30" s="23">
        <v>2</v>
      </c>
      <c r="L30" s="24">
        <v>27</v>
      </c>
      <c r="M30" s="23">
        <f ca="1">YEAR(Table_complete_valeur[[#This Row],[Dive_Date]])</f>
        <v>2020</v>
      </c>
      <c r="N30" s="23">
        <f ca="1">DAY(Table_complete_valeur[[#This Row],[Dive_Date]])</f>
        <v>18</v>
      </c>
      <c r="O30" s="23">
        <f ca="1">MONTH(Table_complete_valeur[[#This Row],[Dive_Date]])</f>
        <v>1</v>
      </c>
      <c r="P30" s="23">
        <f ca="1">HOUR(Table_complete_valeur[[#This Row],[Time]])</f>
        <v>8</v>
      </c>
      <c r="Q30" s="25" t="str">
        <f ca="1">IF(Table_complete_valeur[[#This Row],[Dive_Hour]]&lt;12,"Morning","Afternoon")</f>
        <v>Morning</v>
      </c>
      <c r="R30" s="25">
        <f ca="1">VLOOKUP([Dive_Date],Moon_age[],2,FALSE)</f>
        <v>22</v>
      </c>
      <c r="S30" s="25" t="str">
        <f t="shared" ca="1" si="0"/>
        <v>Last Quarter</v>
      </c>
      <c r="T30" s="26" t="s">
        <v>6</v>
      </c>
      <c r="U30" s="25" t="s">
        <v>326</v>
      </c>
      <c r="V30" s="23" t="s">
        <v>251</v>
      </c>
      <c r="W30" s="27">
        <v>29</v>
      </c>
      <c r="X30" s="31">
        <v>65</v>
      </c>
      <c r="Y30" s="27" t="s">
        <v>21</v>
      </c>
      <c r="Z30" s="30" t="s">
        <v>4</v>
      </c>
      <c r="AA30" s="27">
        <v>50</v>
      </c>
      <c r="AB30" s="27">
        <v>246</v>
      </c>
      <c r="AC30" s="27">
        <v>251</v>
      </c>
      <c r="AD30" s="27"/>
      <c r="AE30" s="27">
        <v>39</v>
      </c>
      <c r="AF30" s="120">
        <v>333</v>
      </c>
      <c r="AG30" s="119">
        <f ca="1">1.29*Table_complete_valeur[[#This Row],[LF]]+3.58</f>
        <v>327.37</v>
      </c>
      <c r="AH30" s="131" t="str">
        <f t="shared" ca="1" si="2"/>
        <v>300 &lt; TL &lt; 350</v>
      </c>
      <c r="AI30" s="132" t="str">
        <f t="shared" ca="1" si="1"/>
        <v>300 &lt; TL &lt; 350</v>
      </c>
      <c r="AJ30" s="27" t="s">
        <v>65</v>
      </c>
      <c r="AK30" s="46"/>
      <c r="AL30" s="32" t="s">
        <v>94</v>
      </c>
    </row>
    <row r="31" spans="1:38">
      <c r="A31" s="107">
        <v>16</v>
      </c>
      <c r="B31" s="33">
        <v>43848</v>
      </c>
      <c r="C31" s="22">
        <v>0.34722222222222227</v>
      </c>
      <c r="D31" s="22" t="s">
        <v>90</v>
      </c>
      <c r="E31" s="23">
        <v>180</v>
      </c>
      <c r="F31" s="23" t="s">
        <v>17</v>
      </c>
      <c r="G31" s="23">
        <v>3</v>
      </c>
      <c r="H31" s="25" t="s">
        <v>2</v>
      </c>
      <c r="I31" s="25" t="s">
        <v>1</v>
      </c>
      <c r="J31" s="23">
        <f ca="1">VLOOKUP([Dive_Date],Tidal_coeficient[],2,FALSE)</f>
        <v>57</v>
      </c>
      <c r="K31" s="23">
        <v>2</v>
      </c>
      <c r="L31" s="24">
        <v>27</v>
      </c>
      <c r="M31" s="23">
        <f ca="1">YEAR(Table_complete_valeur[[#This Row],[Dive_Date]])</f>
        <v>2020</v>
      </c>
      <c r="N31" s="23">
        <f ca="1">DAY(Table_complete_valeur[[#This Row],[Dive_Date]])</f>
        <v>18</v>
      </c>
      <c r="O31" s="23">
        <f ca="1">MONTH(Table_complete_valeur[[#This Row],[Dive_Date]])</f>
        <v>1</v>
      </c>
      <c r="P31" s="23">
        <f ca="1">HOUR(Table_complete_valeur[[#This Row],[Time]])</f>
        <v>8</v>
      </c>
      <c r="Q31" s="25" t="str">
        <f ca="1">IF(Table_complete_valeur[[#This Row],[Dive_Hour]]&lt;12,"Morning","Afternoon")</f>
        <v>Morning</v>
      </c>
      <c r="R31" s="25">
        <f ca="1">VLOOKUP([Dive_Date],Moon_age[],2,FALSE)</f>
        <v>22</v>
      </c>
      <c r="S31" s="25" t="str">
        <f t="shared" ca="1" si="0"/>
        <v>Last Quarter</v>
      </c>
      <c r="T31" s="26" t="s">
        <v>6</v>
      </c>
      <c r="U31" s="25"/>
      <c r="V31" s="23" t="s">
        <v>253</v>
      </c>
      <c r="W31" s="27">
        <v>30</v>
      </c>
      <c r="X31" s="31">
        <v>55</v>
      </c>
      <c r="Y31" s="27" t="s">
        <v>22</v>
      </c>
      <c r="Z31" s="30" t="s">
        <v>4</v>
      </c>
      <c r="AA31" s="27"/>
      <c r="AB31" s="27"/>
      <c r="AC31" s="27"/>
      <c r="AD31" s="27"/>
      <c r="AE31" s="27"/>
      <c r="AF31" s="120"/>
      <c r="AG31" s="119"/>
      <c r="AH31" s="124" t="str">
        <f t="shared" ca="1" si="2"/>
        <v/>
      </c>
      <c r="AI31" s="118" t="str">
        <f t="shared" ca="1" si="1"/>
        <v/>
      </c>
      <c r="AJ31" s="27" t="s">
        <v>65</v>
      </c>
      <c r="AK31" s="46"/>
      <c r="AL31" s="32" t="s">
        <v>95</v>
      </c>
    </row>
    <row r="32" spans="1:38">
      <c r="A32" s="107">
        <v>16</v>
      </c>
      <c r="B32" s="33">
        <v>43848</v>
      </c>
      <c r="C32" s="22">
        <v>0.34722222222222227</v>
      </c>
      <c r="D32" s="22" t="s">
        <v>90</v>
      </c>
      <c r="E32" s="23">
        <v>180</v>
      </c>
      <c r="F32" s="23" t="s">
        <v>17</v>
      </c>
      <c r="G32" s="23">
        <v>3</v>
      </c>
      <c r="H32" s="25" t="s">
        <v>2</v>
      </c>
      <c r="I32" s="25" t="s">
        <v>1</v>
      </c>
      <c r="J32" s="23">
        <f ca="1">VLOOKUP([Dive_Date],Tidal_coeficient[],2,FALSE)</f>
        <v>57</v>
      </c>
      <c r="K32" s="23">
        <v>2</v>
      </c>
      <c r="L32" s="24">
        <v>27</v>
      </c>
      <c r="M32" s="23">
        <f ca="1">YEAR(Table_complete_valeur[[#This Row],[Dive_Date]])</f>
        <v>2020</v>
      </c>
      <c r="N32" s="23">
        <f ca="1">DAY(Table_complete_valeur[[#This Row],[Dive_Date]])</f>
        <v>18</v>
      </c>
      <c r="O32" s="23">
        <f ca="1">MONTH(Table_complete_valeur[[#This Row],[Dive_Date]])</f>
        <v>1</v>
      </c>
      <c r="P32" s="23">
        <f ca="1">HOUR(Table_complete_valeur[[#This Row],[Time]])</f>
        <v>8</v>
      </c>
      <c r="Q32" s="25" t="str">
        <f ca="1">IF(Table_complete_valeur[[#This Row],[Dive_Hour]]&lt;12,"Morning","Afternoon")</f>
        <v>Morning</v>
      </c>
      <c r="R32" s="25">
        <f ca="1">VLOOKUP([Dive_Date],Moon_age[],2,FALSE)</f>
        <v>22</v>
      </c>
      <c r="S32" s="25" t="str">
        <f t="shared" ca="1" si="0"/>
        <v>Last Quarter</v>
      </c>
      <c r="T32" s="26" t="s">
        <v>6</v>
      </c>
      <c r="U32" s="25"/>
      <c r="V32" s="23" t="s">
        <v>254</v>
      </c>
      <c r="W32" s="27">
        <v>31</v>
      </c>
      <c r="X32" s="31">
        <v>80</v>
      </c>
      <c r="Y32" s="27" t="s">
        <v>22</v>
      </c>
      <c r="Z32" s="30" t="s">
        <v>4</v>
      </c>
      <c r="AA32" s="27"/>
      <c r="AB32" s="27"/>
      <c r="AC32" s="27"/>
      <c r="AD32" s="27"/>
      <c r="AE32" s="27"/>
      <c r="AF32" s="120"/>
      <c r="AG32" s="119"/>
      <c r="AH32" s="124" t="str">
        <f t="shared" ca="1" si="2"/>
        <v/>
      </c>
      <c r="AI32" s="118" t="str">
        <f t="shared" ca="1" si="1"/>
        <v/>
      </c>
      <c r="AJ32" s="27" t="s">
        <v>65</v>
      </c>
      <c r="AK32" s="46"/>
      <c r="AL32" s="32" t="s">
        <v>96</v>
      </c>
    </row>
    <row r="33" spans="1:38">
      <c r="A33" s="107">
        <v>16</v>
      </c>
      <c r="B33" s="33">
        <v>43848</v>
      </c>
      <c r="C33" s="22">
        <v>0.34722222222222227</v>
      </c>
      <c r="D33" s="22" t="s">
        <v>90</v>
      </c>
      <c r="E33" s="23">
        <v>180</v>
      </c>
      <c r="F33" s="23" t="s">
        <v>17</v>
      </c>
      <c r="G33" s="23">
        <v>3</v>
      </c>
      <c r="H33" s="25" t="s">
        <v>2</v>
      </c>
      <c r="I33" s="25" t="s">
        <v>1</v>
      </c>
      <c r="J33" s="23">
        <f ca="1">VLOOKUP([Dive_Date],Tidal_coeficient[],2,FALSE)</f>
        <v>57</v>
      </c>
      <c r="K33" s="23">
        <v>2</v>
      </c>
      <c r="L33" s="24">
        <v>27</v>
      </c>
      <c r="M33" s="23">
        <f ca="1">YEAR(Table_complete_valeur[[#This Row],[Dive_Date]])</f>
        <v>2020</v>
      </c>
      <c r="N33" s="23">
        <f ca="1">DAY(Table_complete_valeur[[#This Row],[Dive_Date]])</f>
        <v>18</v>
      </c>
      <c r="O33" s="23">
        <f ca="1">MONTH(Table_complete_valeur[[#This Row],[Dive_Date]])</f>
        <v>1</v>
      </c>
      <c r="P33" s="23">
        <f ca="1">HOUR(Table_complete_valeur[[#This Row],[Time]])</f>
        <v>8</v>
      </c>
      <c r="Q33" s="25" t="str">
        <f ca="1">IF(Table_complete_valeur[[#This Row],[Dive_Hour]]&lt;12,"Morning","Afternoon")</f>
        <v>Morning</v>
      </c>
      <c r="R33" s="25">
        <f ca="1">VLOOKUP([Dive_Date],Moon_age[],2,FALSE)</f>
        <v>22</v>
      </c>
      <c r="S33" s="25" t="str">
        <f t="shared" ca="1" si="0"/>
        <v>Last Quarter</v>
      </c>
      <c r="T33" s="26" t="s">
        <v>6</v>
      </c>
      <c r="U33" s="25"/>
      <c r="V33" s="23" t="s">
        <v>255</v>
      </c>
      <c r="W33" s="27">
        <v>32</v>
      </c>
      <c r="X33" s="31">
        <v>80</v>
      </c>
      <c r="Y33" s="27" t="s">
        <v>22</v>
      </c>
      <c r="Z33" s="30" t="s">
        <v>4</v>
      </c>
      <c r="AA33" s="27"/>
      <c r="AB33" s="27"/>
      <c r="AC33" s="27"/>
      <c r="AD33" s="27"/>
      <c r="AE33" s="27"/>
      <c r="AF33" s="120"/>
      <c r="AG33" s="119"/>
      <c r="AH33" s="124" t="str">
        <f t="shared" ca="1" si="2"/>
        <v/>
      </c>
      <c r="AI33" s="118" t="str">
        <f t="shared" ca="1" si="1"/>
        <v/>
      </c>
      <c r="AJ33" s="27" t="s">
        <v>65</v>
      </c>
      <c r="AK33" s="46"/>
      <c r="AL33" s="32" t="s">
        <v>97</v>
      </c>
    </row>
    <row r="34" spans="1:38">
      <c r="A34" s="107">
        <v>17</v>
      </c>
      <c r="B34" s="33">
        <v>43848</v>
      </c>
      <c r="C34" s="22">
        <v>0.43194444444444446</v>
      </c>
      <c r="D34" s="22" t="s">
        <v>256</v>
      </c>
      <c r="E34" s="23">
        <v>180</v>
      </c>
      <c r="F34" s="23" t="s">
        <v>17</v>
      </c>
      <c r="G34" s="23">
        <v>3</v>
      </c>
      <c r="H34" s="25" t="s">
        <v>2</v>
      </c>
      <c r="I34" s="25" t="s">
        <v>1</v>
      </c>
      <c r="J34" s="23">
        <f ca="1">VLOOKUP([Dive_Date],Tidal_coeficient[],2,FALSE)</f>
        <v>57</v>
      </c>
      <c r="K34" s="23">
        <v>4</v>
      </c>
      <c r="L34" s="24">
        <v>27</v>
      </c>
      <c r="M34" s="23">
        <f ca="1">YEAR(Table_complete_valeur[[#This Row],[Dive_Date]])</f>
        <v>2020</v>
      </c>
      <c r="N34" s="23">
        <f ca="1">DAY(Table_complete_valeur[[#This Row],[Dive_Date]])</f>
        <v>18</v>
      </c>
      <c r="O34" s="23">
        <f ca="1">MONTH(Table_complete_valeur[[#This Row],[Dive_Date]])</f>
        <v>1</v>
      </c>
      <c r="P34" s="23">
        <f ca="1">HOUR(Table_complete_valeur[[#This Row],[Time]])</f>
        <v>0</v>
      </c>
      <c r="Q34" s="25" t="str">
        <f ca="1">IF(Table_complete_valeur[[#This Row],[Dive_Hour]]&lt;12,"Morning","Afternoon")</f>
        <v>Morning</v>
      </c>
      <c r="R34" s="25">
        <f ca="1">VLOOKUP([Dive_Date],Moon_age[],2,FALSE)</f>
        <v>22</v>
      </c>
      <c r="S34" s="25" t="str">
        <f t="shared" ref="S34:S65" ca="1" si="3">IF(R34=0,"New Moon",IF(R34=7,"First Quarter",IF(R34=15,"Full Moon",IF(R34=22,"Last Quarter",""))))</f>
        <v>Last Quarter</v>
      </c>
      <c r="T34" s="26" t="s">
        <v>6</v>
      </c>
      <c r="U34" s="25"/>
      <c r="V34" s="23" t="s">
        <v>258</v>
      </c>
      <c r="W34" s="27">
        <v>33</v>
      </c>
      <c r="X34" s="31">
        <v>50</v>
      </c>
      <c r="Y34" s="27" t="s">
        <v>22</v>
      </c>
      <c r="Z34" s="30" t="s">
        <v>55</v>
      </c>
      <c r="AA34" s="27"/>
      <c r="AB34" s="27"/>
      <c r="AC34" s="27"/>
      <c r="AD34" s="27"/>
      <c r="AE34" s="27"/>
      <c r="AF34" s="120"/>
      <c r="AG34" s="119"/>
      <c r="AH34" s="124" t="str">
        <f t="shared" ca="1" si="2"/>
        <v/>
      </c>
      <c r="AI34" s="118" t="str">
        <f t="shared" ref="AI34:AI65" ca="1" si="4">IF(AG34="","",IF(AG34&lt;250,"TL &lt; 250",IF(AG34&lt;300,"250 &lt; TL &lt; 300",IF(AG34&lt;350,"300 &lt; TL &lt; 350",IF(AG34&lt;400,"350 &lt; TL &lt; 400",IF(AG34&gt;400,"TL &gt; 400",""))))))</f>
        <v/>
      </c>
      <c r="AJ34" s="27" t="s">
        <v>65</v>
      </c>
      <c r="AK34" s="46"/>
      <c r="AL34" s="32" t="s">
        <v>257</v>
      </c>
    </row>
    <row r="35" spans="1:38" s="31" customFormat="1">
      <c r="A35" s="107">
        <v>18</v>
      </c>
      <c r="B35" s="33">
        <v>43849</v>
      </c>
      <c r="C35" s="49">
        <v>0.42708333333333331</v>
      </c>
      <c r="D35" s="31" t="s">
        <v>79</v>
      </c>
      <c r="E35" s="31">
        <v>67</v>
      </c>
      <c r="F35" s="31" t="s">
        <v>128</v>
      </c>
      <c r="G35" s="31">
        <v>4</v>
      </c>
      <c r="H35" s="31" t="s">
        <v>2</v>
      </c>
      <c r="I35" s="31" t="s">
        <v>1</v>
      </c>
      <c r="J35" s="142">
        <f ca="1">VLOOKUP([Dive_Date],Tidal_coeficient[],2,FALSE)</f>
        <v>56</v>
      </c>
      <c r="K35" s="31">
        <v>3</v>
      </c>
      <c r="L35" s="31">
        <v>28</v>
      </c>
      <c r="M35" s="31">
        <f ca="1">YEAR(Table_complete_valeur[[#This Row],[Dive_Date]])</f>
        <v>2020</v>
      </c>
      <c r="N35" s="31">
        <f ca="1">DAY(Table_complete_valeur[[#This Row],[Dive_Date]])</f>
        <v>19</v>
      </c>
      <c r="O35" s="31">
        <f ca="1">MONTH(Table_complete_valeur[[#This Row],[Dive_Date]])</f>
        <v>1</v>
      </c>
      <c r="P35" s="31">
        <f ca="1">HOUR(Table_complete_valeur[[#This Row],[Time]])</f>
        <v>10</v>
      </c>
      <c r="Q35" s="31" t="str">
        <f ca="1">IF(Table_complete_valeur[[#This Row],[Dive_Hour]]&lt;12,"Morning","Afternoon")</f>
        <v>Morning</v>
      </c>
      <c r="R35" s="25">
        <f ca="1">VLOOKUP([Dive_Date],Moon_age[],2,FALSE)</f>
        <v>23</v>
      </c>
      <c r="S35" s="25" t="str">
        <f t="shared" ca="1" si="3"/>
        <v/>
      </c>
      <c r="T35" s="105" t="s">
        <v>6</v>
      </c>
      <c r="U35" s="25" t="s">
        <v>327</v>
      </c>
      <c r="V35" s="31" t="s">
        <v>252</v>
      </c>
      <c r="W35" s="27">
        <v>34</v>
      </c>
      <c r="X35" s="31">
        <v>50</v>
      </c>
      <c r="Y35" s="31" t="s">
        <v>22</v>
      </c>
      <c r="Z35" s="31" t="s">
        <v>4</v>
      </c>
      <c r="AA35" s="31">
        <v>30</v>
      </c>
      <c r="AB35" s="31">
        <v>229</v>
      </c>
      <c r="AC35" s="31">
        <v>238</v>
      </c>
      <c r="AE35" s="31">
        <v>45</v>
      </c>
      <c r="AF35" s="121">
        <v>302</v>
      </c>
      <c r="AG35" s="119">
        <f ca="1">1.29*Table_complete_valeur[[#This Row],[LF]]+3.58</f>
        <v>310.59999999999997</v>
      </c>
      <c r="AH35" s="131" t="str">
        <f t="shared" ca="1" si="2"/>
        <v>300 &lt; TL &lt; 350</v>
      </c>
      <c r="AI35" s="132" t="str">
        <f t="shared" ca="1" si="4"/>
        <v>300 &lt; TL &lt; 350</v>
      </c>
      <c r="AJ35" s="31" t="s">
        <v>65</v>
      </c>
      <c r="AK35" s="32"/>
      <c r="AL35" s="32" t="s">
        <v>132</v>
      </c>
    </row>
    <row r="36" spans="1:38" s="31" customFormat="1">
      <c r="A36" s="107">
        <v>18</v>
      </c>
      <c r="B36" s="33">
        <v>43849</v>
      </c>
      <c r="C36" s="49">
        <v>0.42708333333333331</v>
      </c>
      <c r="D36" s="31" t="s">
        <v>79</v>
      </c>
      <c r="E36" s="31">
        <v>67</v>
      </c>
      <c r="F36" s="31" t="s">
        <v>128</v>
      </c>
      <c r="G36" s="31">
        <v>4</v>
      </c>
      <c r="H36" s="31" t="s">
        <v>2</v>
      </c>
      <c r="I36" s="31" t="s">
        <v>1</v>
      </c>
      <c r="J36" s="142">
        <f ca="1">VLOOKUP([Dive_Date],Tidal_coeficient[],2,FALSE)</f>
        <v>56</v>
      </c>
      <c r="K36" s="31">
        <v>3</v>
      </c>
      <c r="L36" s="31">
        <v>28</v>
      </c>
      <c r="M36" s="31">
        <f ca="1">YEAR(Table_complete_valeur[[#This Row],[Dive_Date]])</f>
        <v>2020</v>
      </c>
      <c r="N36" s="31">
        <f ca="1">DAY(Table_complete_valeur[[#This Row],[Dive_Date]])</f>
        <v>19</v>
      </c>
      <c r="O36" s="31">
        <f ca="1">MONTH(Table_complete_valeur[[#This Row],[Dive_Date]])</f>
        <v>1</v>
      </c>
      <c r="P36" s="31">
        <f ca="1">HOUR(Table_complete_valeur[[#This Row],[Time]])</f>
        <v>10</v>
      </c>
      <c r="Q36" s="31" t="str">
        <f ca="1">IF(Table_complete_valeur[[#This Row],[Dive_Hour]]&lt;12,"Morning","Afternoon")</f>
        <v>Morning</v>
      </c>
      <c r="R36" s="25">
        <f ca="1">VLOOKUP([Dive_Date],Moon_age[],2,FALSE)</f>
        <v>23</v>
      </c>
      <c r="S36" s="25" t="str">
        <f t="shared" ca="1" si="3"/>
        <v/>
      </c>
      <c r="T36" s="90" t="s">
        <v>6</v>
      </c>
      <c r="U36" s="25"/>
      <c r="V36" s="31" t="s">
        <v>259</v>
      </c>
      <c r="W36" s="27">
        <v>35</v>
      </c>
      <c r="X36" s="31">
        <v>30</v>
      </c>
      <c r="Y36" s="31" t="s">
        <v>22</v>
      </c>
      <c r="Z36" s="31" t="s">
        <v>4</v>
      </c>
      <c r="AF36" s="121"/>
      <c r="AG36" s="119"/>
      <c r="AH36" s="124" t="str">
        <f t="shared" ca="1" si="2"/>
        <v/>
      </c>
      <c r="AI36" s="118" t="str">
        <f t="shared" ca="1" si="4"/>
        <v/>
      </c>
      <c r="AJ36" s="31" t="s">
        <v>65</v>
      </c>
      <c r="AK36" s="32"/>
      <c r="AL36" s="32" t="s">
        <v>131</v>
      </c>
    </row>
    <row r="37" spans="1:38" s="31" customFormat="1">
      <c r="A37" s="107">
        <v>18</v>
      </c>
      <c r="B37" s="33">
        <v>43849</v>
      </c>
      <c r="C37" s="49">
        <v>0.42708333333333331</v>
      </c>
      <c r="D37" s="31" t="s">
        <v>79</v>
      </c>
      <c r="E37" s="31">
        <v>67</v>
      </c>
      <c r="F37" s="31" t="s">
        <v>128</v>
      </c>
      <c r="G37" s="31">
        <v>4</v>
      </c>
      <c r="H37" s="31" t="s">
        <v>2</v>
      </c>
      <c r="I37" s="31" t="s">
        <v>1</v>
      </c>
      <c r="J37" s="142">
        <f ca="1">VLOOKUP([Dive_Date],Tidal_coeficient[],2,FALSE)</f>
        <v>56</v>
      </c>
      <c r="K37" s="31">
        <v>3</v>
      </c>
      <c r="L37" s="31">
        <v>28</v>
      </c>
      <c r="M37" s="31">
        <f ca="1">YEAR(Table_complete_valeur[[#This Row],[Dive_Date]])</f>
        <v>2020</v>
      </c>
      <c r="N37" s="31">
        <f ca="1">DAY(Table_complete_valeur[[#This Row],[Dive_Date]])</f>
        <v>19</v>
      </c>
      <c r="O37" s="31">
        <f ca="1">MONTH(Table_complete_valeur[[#This Row],[Dive_Date]])</f>
        <v>1</v>
      </c>
      <c r="P37" s="31">
        <f ca="1">HOUR(Table_complete_valeur[[#This Row],[Time]])</f>
        <v>10</v>
      </c>
      <c r="Q37" s="31" t="str">
        <f ca="1">IF(Table_complete_valeur[[#This Row],[Dive_Hour]]&lt;12,"Morning","Afternoon")</f>
        <v>Morning</v>
      </c>
      <c r="R37" s="25">
        <f ca="1">VLOOKUP([Dive_Date],Moon_age[],2,FALSE)</f>
        <v>23</v>
      </c>
      <c r="S37" s="25" t="str">
        <f t="shared" ca="1" si="3"/>
        <v/>
      </c>
      <c r="T37" s="90" t="s">
        <v>6</v>
      </c>
      <c r="U37" s="25"/>
      <c r="V37" s="31" t="s">
        <v>260</v>
      </c>
      <c r="W37" s="27">
        <v>36</v>
      </c>
      <c r="X37" s="31">
        <v>35</v>
      </c>
      <c r="Y37" s="31" t="s">
        <v>56</v>
      </c>
      <c r="Z37" s="31" t="s">
        <v>4</v>
      </c>
      <c r="AF37" s="121"/>
      <c r="AG37" s="119"/>
      <c r="AH37" s="124" t="str">
        <f t="shared" ca="1" si="2"/>
        <v/>
      </c>
      <c r="AI37" s="118" t="str">
        <f t="shared" ca="1" si="4"/>
        <v/>
      </c>
      <c r="AJ37" s="31" t="s">
        <v>65</v>
      </c>
      <c r="AK37" s="32"/>
      <c r="AL37" s="32" t="s">
        <v>130</v>
      </c>
    </row>
    <row r="38" spans="1:38" s="31" customFormat="1">
      <c r="A38" s="107">
        <v>18</v>
      </c>
      <c r="B38" s="33">
        <v>43849</v>
      </c>
      <c r="C38" s="49">
        <v>0.43055555555555558</v>
      </c>
      <c r="D38" s="31" t="s">
        <v>127</v>
      </c>
      <c r="E38" s="31">
        <v>60</v>
      </c>
      <c r="F38" s="31" t="s">
        <v>128</v>
      </c>
      <c r="G38" s="31">
        <v>4</v>
      </c>
      <c r="H38" s="31" t="s">
        <v>2</v>
      </c>
      <c r="I38" s="31" t="s">
        <v>1</v>
      </c>
      <c r="J38" s="142">
        <f ca="1">VLOOKUP([Dive_Date],Tidal_coeficient[],2,FALSE)</f>
        <v>56</v>
      </c>
      <c r="K38" s="31">
        <v>3</v>
      </c>
      <c r="L38" s="31">
        <v>28</v>
      </c>
      <c r="M38" s="31">
        <f ca="1">YEAR(Table_complete_valeur[[#This Row],[Dive_Date]])</f>
        <v>2020</v>
      </c>
      <c r="N38" s="31">
        <f ca="1">DAY(Table_complete_valeur[[#This Row],[Dive_Date]])</f>
        <v>19</v>
      </c>
      <c r="O38" s="31">
        <f ca="1">MONTH(Table_complete_valeur[[#This Row],[Dive_Date]])</f>
        <v>1</v>
      </c>
      <c r="P38" s="31">
        <f ca="1">HOUR(Table_complete_valeur[[#This Row],[Time]])</f>
        <v>10</v>
      </c>
      <c r="Q38" s="31" t="str">
        <f ca="1">IF(Table_complete_valeur[[#This Row],[Dive_Hour]]&lt;12,"Morning","Afternoon")</f>
        <v>Morning</v>
      </c>
      <c r="R38" s="25">
        <f ca="1">VLOOKUP([Dive_Date],Moon_age[],2,FALSE)</f>
        <v>23</v>
      </c>
      <c r="S38" s="25" t="str">
        <f t="shared" ca="1" si="3"/>
        <v/>
      </c>
      <c r="T38" s="90" t="s">
        <v>6</v>
      </c>
      <c r="U38" s="25"/>
      <c r="V38" s="31" t="s">
        <v>303</v>
      </c>
      <c r="W38" s="27">
        <v>37</v>
      </c>
      <c r="X38" s="31">
        <v>40</v>
      </c>
      <c r="Y38" s="31" t="s">
        <v>22</v>
      </c>
      <c r="Z38" s="31" t="s">
        <v>55</v>
      </c>
      <c r="AF38" s="121"/>
      <c r="AG38" s="119"/>
      <c r="AH38" s="124" t="str">
        <f t="shared" ca="1" si="2"/>
        <v/>
      </c>
      <c r="AI38" s="118" t="str">
        <f t="shared" ca="1" si="4"/>
        <v/>
      </c>
      <c r="AJ38" s="31" t="s">
        <v>65</v>
      </c>
      <c r="AK38" s="32"/>
      <c r="AL38" s="32" t="s">
        <v>129</v>
      </c>
    </row>
    <row r="39" spans="1:38" s="31" customFormat="1">
      <c r="A39" s="107">
        <v>18</v>
      </c>
      <c r="B39" s="33">
        <v>43849</v>
      </c>
      <c r="C39" s="49">
        <v>0.43055555555555558</v>
      </c>
      <c r="D39" s="31" t="s">
        <v>127</v>
      </c>
      <c r="E39" s="31">
        <v>60</v>
      </c>
      <c r="F39" s="31" t="s">
        <v>128</v>
      </c>
      <c r="G39" s="31">
        <v>4</v>
      </c>
      <c r="H39" s="31" t="s">
        <v>2</v>
      </c>
      <c r="I39" s="31" t="s">
        <v>1</v>
      </c>
      <c r="J39" s="142">
        <f ca="1">VLOOKUP([Dive_Date],Tidal_coeficient[],2,FALSE)</f>
        <v>56</v>
      </c>
      <c r="K39" s="31">
        <v>3</v>
      </c>
      <c r="L39" s="31">
        <v>28</v>
      </c>
      <c r="M39" s="31">
        <f ca="1">YEAR(Table_complete_valeur[[#This Row],[Dive_Date]])</f>
        <v>2020</v>
      </c>
      <c r="N39" s="31">
        <f ca="1">DAY(Table_complete_valeur[[#This Row],[Dive_Date]])</f>
        <v>19</v>
      </c>
      <c r="O39" s="31">
        <f ca="1">MONTH(Table_complete_valeur[[#This Row],[Dive_Date]])</f>
        <v>1</v>
      </c>
      <c r="P39" s="31">
        <f ca="1">HOUR(Table_complete_valeur[[#This Row],[Time]])</f>
        <v>10</v>
      </c>
      <c r="Q39" s="31" t="str">
        <f ca="1">IF(Table_complete_valeur[[#This Row],[Dive_Hour]]&lt;12,"Morning","Afternoon")</f>
        <v>Morning</v>
      </c>
      <c r="R39" s="25">
        <f ca="1">VLOOKUP([Dive_Date],Moon_age[],2,FALSE)</f>
        <v>23</v>
      </c>
      <c r="S39" s="25" t="str">
        <f t="shared" ca="1" si="3"/>
        <v/>
      </c>
      <c r="T39" s="90" t="s">
        <v>6</v>
      </c>
      <c r="U39" s="25"/>
      <c r="V39" s="31" t="s">
        <v>303</v>
      </c>
      <c r="W39" s="27">
        <v>38</v>
      </c>
      <c r="X39" s="31">
        <v>50</v>
      </c>
      <c r="Y39" s="31" t="s">
        <v>22</v>
      </c>
      <c r="Z39" s="31" t="s">
        <v>55</v>
      </c>
      <c r="AF39" s="121"/>
      <c r="AG39" s="119"/>
      <c r="AH39" s="124" t="str">
        <f t="shared" ca="1" si="2"/>
        <v/>
      </c>
      <c r="AI39" s="118" t="str">
        <f t="shared" ca="1" si="4"/>
        <v/>
      </c>
      <c r="AJ39" s="31" t="s">
        <v>65</v>
      </c>
      <c r="AK39" s="32"/>
      <c r="AL39" s="32" t="s">
        <v>126</v>
      </c>
    </row>
    <row r="40" spans="1:38" s="31" customFormat="1">
      <c r="A40" s="107">
        <v>19</v>
      </c>
      <c r="B40" s="33">
        <v>43849</v>
      </c>
      <c r="C40" s="49">
        <v>0.4236111111111111</v>
      </c>
      <c r="D40" s="31" t="s">
        <v>90</v>
      </c>
      <c r="E40" s="31">
        <v>180</v>
      </c>
      <c r="F40" s="31" t="s">
        <v>17</v>
      </c>
      <c r="G40" s="31">
        <v>3</v>
      </c>
      <c r="H40" s="31" t="s">
        <v>2</v>
      </c>
      <c r="I40" s="31" t="s">
        <v>1</v>
      </c>
      <c r="J40" s="142">
        <f ca="1">VLOOKUP([Dive_Date],Tidal_coeficient[],2,FALSE)</f>
        <v>56</v>
      </c>
      <c r="K40" s="31">
        <v>3</v>
      </c>
      <c r="L40" s="31">
        <v>27</v>
      </c>
      <c r="M40" s="31">
        <f ca="1">YEAR(Table_complete_valeur[[#This Row],[Dive_Date]])</f>
        <v>2020</v>
      </c>
      <c r="N40" s="31">
        <f ca="1">DAY(Table_complete_valeur[[#This Row],[Dive_Date]])</f>
        <v>19</v>
      </c>
      <c r="O40" s="31">
        <f ca="1">MONTH(Table_complete_valeur[[#This Row],[Dive_Date]])</f>
        <v>1</v>
      </c>
      <c r="P40" s="31">
        <f ca="1">HOUR(Table_complete_valeur[[#This Row],[Time]])</f>
        <v>10</v>
      </c>
      <c r="Q40" s="31" t="str">
        <f ca="1">IF(Table_complete_valeur[[#This Row],[Dive_Hour]]&lt;12,"Morning","Afternoon")</f>
        <v>Morning</v>
      </c>
      <c r="R40" s="25">
        <f ca="1">VLOOKUP([Dive_Date],Moon_age[],2,FALSE)</f>
        <v>23</v>
      </c>
      <c r="S40" s="25" t="str">
        <f t="shared" ca="1" si="3"/>
        <v/>
      </c>
      <c r="T40" s="90" t="s">
        <v>6</v>
      </c>
      <c r="U40" s="25"/>
      <c r="V40" s="31" t="s">
        <v>261</v>
      </c>
      <c r="W40" s="27">
        <v>39</v>
      </c>
      <c r="X40" s="31">
        <v>50</v>
      </c>
      <c r="Y40" s="31" t="s">
        <v>22</v>
      </c>
      <c r="Z40" s="31" t="s">
        <v>4</v>
      </c>
      <c r="AF40" s="121"/>
      <c r="AG40" s="119"/>
      <c r="AH40" s="124" t="str">
        <f t="shared" ca="1" si="2"/>
        <v/>
      </c>
      <c r="AI40" s="118" t="str">
        <f t="shared" ca="1" si="4"/>
        <v/>
      </c>
      <c r="AJ40" s="31" t="s">
        <v>65</v>
      </c>
      <c r="AK40" s="32"/>
      <c r="AL40" s="32" t="s">
        <v>257</v>
      </c>
    </row>
    <row r="41" spans="1:38">
      <c r="A41" s="107">
        <v>20</v>
      </c>
      <c r="B41" s="33">
        <v>43850</v>
      </c>
      <c r="C41" s="34">
        <v>0.44444444444444442</v>
      </c>
      <c r="D41" s="34" t="s">
        <v>16</v>
      </c>
      <c r="E41" s="25">
        <v>200</v>
      </c>
      <c r="F41" s="25" t="s">
        <v>17</v>
      </c>
      <c r="G41" s="25">
        <v>4</v>
      </c>
      <c r="H41" s="25" t="s">
        <v>2</v>
      </c>
      <c r="I41" s="25" t="s">
        <v>1</v>
      </c>
      <c r="J41" s="25">
        <f ca="1">VLOOKUP([Dive_Date],Tidal_coeficient[],2,FALSE)</f>
        <v>60</v>
      </c>
      <c r="K41" s="25">
        <v>2.5</v>
      </c>
      <c r="L41" s="40">
        <v>27</v>
      </c>
      <c r="M41" s="25">
        <f ca="1">YEAR(Table_complete_valeur[[#This Row],[Dive_Date]])</f>
        <v>2020</v>
      </c>
      <c r="N41" s="25">
        <f ca="1">DAY(Table_complete_valeur[[#This Row],[Dive_Date]])</f>
        <v>20</v>
      </c>
      <c r="O41" s="25">
        <f ca="1">MONTH(Table_complete_valeur[[#This Row],[Dive_Date]])</f>
        <v>1</v>
      </c>
      <c r="P41" s="25">
        <f ca="1">HOUR(Table_complete_valeur[[#This Row],[Time]])</f>
        <v>10</v>
      </c>
      <c r="Q41" s="25" t="str">
        <f ca="1">IF(Table_complete_valeur[[#This Row],[Dive_Hour]]&lt;12,"Morning","Afternoon")</f>
        <v>Morning</v>
      </c>
      <c r="R41" s="25">
        <f ca="1">VLOOKUP([Dive_Date],Moon_age[],2,FALSE)</f>
        <v>24</v>
      </c>
      <c r="S41" s="25" t="str">
        <f t="shared" ca="1" si="3"/>
        <v/>
      </c>
      <c r="T41" s="26" t="s">
        <v>6</v>
      </c>
      <c r="U41" s="25" t="s">
        <v>412</v>
      </c>
      <c r="V41" s="25" t="s">
        <v>264</v>
      </c>
      <c r="W41" s="27">
        <v>40</v>
      </c>
      <c r="X41" s="40">
        <v>55</v>
      </c>
      <c r="Y41" s="30" t="s">
        <v>22</v>
      </c>
      <c r="Z41" s="30" t="s">
        <v>4</v>
      </c>
      <c r="AA41" s="30">
        <v>50</v>
      </c>
      <c r="AB41" s="91">
        <v>178</v>
      </c>
      <c r="AC41" s="91">
        <v>202</v>
      </c>
      <c r="AD41" s="91"/>
      <c r="AE41" s="91">
        <v>37</v>
      </c>
      <c r="AF41" s="122">
        <v>250</v>
      </c>
      <c r="AG41" s="118">
        <f ca="1">1.29*Table_complete_valeur[[#This Row],[LF]]+3.58</f>
        <v>264.15999999999997</v>
      </c>
      <c r="AH41" s="133" t="str">
        <f t="shared" ca="1" si="2"/>
        <v>250 &lt; TL &lt; 300</v>
      </c>
      <c r="AI41" s="134" t="str">
        <f t="shared" ca="1" si="4"/>
        <v>250 &lt; TL &lt; 300</v>
      </c>
      <c r="AJ41" s="30" t="s">
        <v>66</v>
      </c>
      <c r="AK41" s="46"/>
      <c r="AL41" s="46" t="s">
        <v>262</v>
      </c>
    </row>
    <row r="42" spans="1:38">
      <c r="A42" s="107">
        <v>20</v>
      </c>
      <c r="B42" s="33">
        <v>43850</v>
      </c>
      <c r="C42" s="34">
        <v>0.44444444444444442</v>
      </c>
      <c r="D42" s="34" t="s">
        <v>16</v>
      </c>
      <c r="E42" s="25">
        <v>200</v>
      </c>
      <c r="F42" s="25" t="s">
        <v>17</v>
      </c>
      <c r="G42" s="25">
        <v>4</v>
      </c>
      <c r="H42" s="25" t="s">
        <v>2</v>
      </c>
      <c r="I42" s="25" t="s">
        <v>1</v>
      </c>
      <c r="J42" s="25">
        <f ca="1">VLOOKUP([Dive_Date],Tidal_coeficient[],2,FALSE)</f>
        <v>60</v>
      </c>
      <c r="K42" s="25">
        <v>2.5</v>
      </c>
      <c r="L42" s="40">
        <v>27</v>
      </c>
      <c r="M42" s="25">
        <f ca="1">YEAR(Table_complete_valeur[[#This Row],[Dive_Date]])</f>
        <v>2020</v>
      </c>
      <c r="N42" s="25">
        <f ca="1">DAY(Table_complete_valeur[[#This Row],[Dive_Date]])</f>
        <v>20</v>
      </c>
      <c r="O42" s="25">
        <f ca="1">MONTH(Table_complete_valeur[[#This Row],[Dive_Date]])</f>
        <v>1</v>
      </c>
      <c r="P42" s="25">
        <f ca="1">HOUR(Table_complete_valeur[[#This Row],[Time]])</f>
        <v>10</v>
      </c>
      <c r="Q42" s="25" t="str">
        <f ca="1">IF(Table_complete_valeur[[#This Row],[Dive_Hour]]&lt;12,"Morning","Afternoon")</f>
        <v>Morning</v>
      </c>
      <c r="R42" s="25">
        <f ca="1">VLOOKUP([Dive_Date],Moon_age[],2,FALSE)</f>
        <v>24</v>
      </c>
      <c r="S42" s="25" t="str">
        <f t="shared" ca="1" si="3"/>
        <v/>
      </c>
      <c r="T42" s="26" t="s">
        <v>6</v>
      </c>
      <c r="U42" s="25" t="s">
        <v>415</v>
      </c>
      <c r="V42" s="25" t="s">
        <v>265</v>
      </c>
      <c r="W42" s="27">
        <v>41</v>
      </c>
      <c r="X42" s="40">
        <v>55</v>
      </c>
      <c r="Y42" s="30" t="s">
        <v>22</v>
      </c>
      <c r="Z42" s="30" t="s">
        <v>4</v>
      </c>
      <c r="AA42" s="30">
        <v>50</v>
      </c>
      <c r="AB42" s="92">
        <v>196</v>
      </c>
      <c r="AC42" s="92">
        <v>206</v>
      </c>
      <c r="AD42" s="92"/>
      <c r="AE42" s="92">
        <v>45</v>
      </c>
      <c r="AF42" s="123">
        <v>248</v>
      </c>
      <c r="AG42" s="118">
        <f ca="1">1.29*Table_complete_valeur[[#This Row],[LF]]+3.58</f>
        <v>269.32</v>
      </c>
      <c r="AH42" s="135" t="str">
        <f t="shared" ca="1" si="2"/>
        <v>TL &lt; 250</v>
      </c>
      <c r="AI42" s="134" t="str">
        <f t="shared" ca="1" si="4"/>
        <v>250 &lt; TL &lt; 300</v>
      </c>
      <c r="AJ42" s="30" t="s">
        <v>66</v>
      </c>
      <c r="AK42" s="52" t="s">
        <v>494</v>
      </c>
      <c r="AL42" s="46" t="s">
        <v>262</v>
      </c>
    </row>
    <row r="43" spans="1:38">
      <c r="A43" s="107">
        <v>20</v>
      </c>
      <c r="B43" s="33">
        <v>43850</v>
      </c>
      <c r="C43" s="34">
        <v>0.44444444444444442</v>
      </c>
      <c r="D43" s="34" t="s">
        <v>16</v>
      </c>
      <c r="E43" s="25">
        <v>200</v>
      </c>
      <c r="F43" s="25" t="s">
        <v>17</v>
      </c>
      <c r="G43" s="25">
        <v>4</v>
      </c>
      <c r="H43" s="25" t="s">
        <v>2</v>
      </c>
      <c r="I43" s="25" t="s">
        <v>1</v>
      </c>
      <c r="J43" s="25">
        <f ca="1">VLOOKUP([Dive_Date],Tidal_coeficient[],2,FALSE)</f>
        <v>60</v>
      </c>
      <c r="K43" s="25">
        <v>2.5</v>
      </c>
      <c r="L43" s="40">
        <v>27</v>
      </c>
      <c r="M43" s="25">
        <f ca="1">YEAR(Table_complete_valeur[[#This Row],[Dive_Date]])</f>
        <v>2020</v>
      </c>
      <c r="N43" s="25">
        <f ca="1">DAY(Table_complete_valeur[[#This Row],[Dive_Date]])</f>
        <v>20</v>
      </c>
      <c r="O43" s="25">
        <f ca="1">MONTH(Table_complete_valeur[[#This Row],[Dive_Date]])</f>
        <v>1</v>
      </c>
      <c r="P43" s="25">
        <f ca="1">HOUR(Table_complete_valeur[[#This Row],[Time]])</f>
        <v>10</v>
      </c>
      <c r="Q43" s="25" t="str">
        <f ca="1">IF(Table_complete_valeur[[#This Row],[Dive_Hour]]&lt;12,"Morning","Afternoon")</f>
        <v>Morning</v>
      </c>
      <c r="R43" s="25">
        <f ca="1">VLOOKUP([Dive_Date],Moon_age[],2,FALSE)</f>
        <v>24</v>
      </c>
      <c r="S43" s="25" t="str">
        <f t="shared" ca="1" si="3"/>
        <v/>
      </c>
      <c r="T43" s="26" t="s">
        <v>6</v>
      </c>
      <c r="U43" s="25" t="s">
        <v>413</v>
      </c>
      <c r="V43" s="25" t="s">
        <v>266</v>
      </c>
      <c r="W43" s="27">
        <v>42</v>
      </c>
      <c r="X43" s="40">
        <v>55</v>
      </c>
      <c r="Y43" s="30" t="s">
        <v>22</v>
      </c>
      <c r="Z43" s="30" t="s">
        <v>4</v>
      </c>
      <c r="AA43" s="30">
        <v>50</v>
      </c>
      <c r="AB43" s="91">
        <v>215</v>
      </c>
      <c r="AC43" s="91">
        <v>234</v>
      </c>
      <c r="AD43" s="91"/>
      <c r="AE43" s="91">
        <v>48</v>
      </c>
      <c r="AF43" s="122">
        <v>272</v>
      </c>
      <c r="AG43" s="118">
        <f ca="1">1.29*Table_complete_valeur[[#This Row],[LF]]+3.58</f>
        <v>305.44</v>
      </c>
      <c r="AH43" s="133" t="str">
        <f t="shared" ca="1" si="2"/>
        <v>250 &lt; TL &lt; 300</v>
      </c>
      <c r="AI43" s="132" t="str">
        <f t="shared" ca="1" si="4"/>
        <v>300 &lt; TL &lt; 350</v>
      </c>
      <c r="AJ43" s="30" t="s">
        <v>66</v>
      </c>
      <c r="AK43" s="46" t="s">
        <v>81</v>
      </c>
      <c r="AL43" s="46" t="s">
        <v>263</v>
      </c>
    </row>
    <row r="44" spans="1:38">
      <c r="A44" s="107">
        <v>21</v>
      </c>
      <c r="B44" s="33">
        <v>43850</v>
      </c>
      <c r="C44" s="22">
        <v>0.53472222222222221</v>
      </c>
      <c r="D44" s="22" t="s">
        <v>127</v>
      </c>
      <c r="E44" s="23">
        <v>73</v>
      </c>
      <c r="F44" s="23" t="s">
        <v>128</v>
      </c>
      <c r="G44" s="23">
        <v>6</v>
      </c>
      <c r="H44" s="25" t="s">
        <v>2</v>
      </c>
      <c r="I44" s="25" t="s">
        <v>1</v>
      </c>
      <c r="J44" s="25">
        <f ca="1">VLOOKUP([Dive_Date],Tidal_coeficient[],2,FALSE)</f>
        <v>60</v>
      </c>
      <c r="K44" s="25">
        <v>5</v>
      </c>
      <c r="L44" s="24">
        <v>29</v>
      </c>
      <c r="M44" s="23">
        <f ca="1">YEAR(Table_complete_valeur[[#This Row],[Dive_Date]])</f>
        <v>2020</v>
      </c>
      <c r="N44" s="23">
        <f ca="1">DAY(Table_complete_valeur[[#This Row],[Dive_Date]])</f>
        <v>20</v>
      </c>
      <c r="O44" s="23">
        <f ca="1">MONTH(Table_complete_valeur[[#This Row],[Dive_Date]])</f>
        <v>1</v>
      </c>
      <c r="P44" s="23">
        <f ca="1">HOUR(Table_complete_valeur[[#This Row],[Time]])</f>
        <v>12</v>
      </c>
      <c r="Q44" s="25" t="str">
        <f ca="1">IF(Table_complete_valeur[[#This Row],[Dive_Hour]]&lt;12,"Morning","Afternoon")</f>
        <v>Afternoon</v>
      </c>
      <c r="R44" s="25">
        <f ca="1">VLOOKUP([Dive_Date],Moon_age[],2,FALSE)</f>
        <v>24</v>
      </c>
      <c r="S44" s="25" t="str">
        <f t="shared" ca="1" si="3"/>
        <v/>
      </c>
      <c r="T44" s="26" t="s">
        <v>6</v>
      </c>
      <c r="U44" s="25"/>
      <c r="V44" s="25" t="s">
        <v>267</v>
      </c>
      <c r="W44" s="27">
        <v>43</v>
      </c>
      <c r="X44" s="24">
        <v>35</v>
      </c>
      <c r="Y44" s="27" t="s">
        <v>24</v>
      </c>
      <c r="Z44" s="30" t="s">
        <v>4</v>
      </c>
      <c r="AA44" s="30"/>
      <c r="AB44" s="30"/>
      <c r="AC44" s="30"/>
      <c r="AD44" s="30"/>
      <c r="AE44" s="30"/>
      <c r="AF44" s="120"/>
      <c r="AG44" s="119"/>
      <c r="AH44" s="124" t="str">
        <f t="shared" ca="1" si="2"/>
        <v/>
      </c>
      <c r="AI44" s="118" t="str">
        <f t="shared" ca="1" si="4"/>
        <v/>
      </c>
      <c r="AJ44" s="27" t="s">
        <v>80</v>
      </c>
      <c r="AK44" s="28" t="s">
        <v>325</v>
      </c>
      <c r="AL44" s="28" t="s">
        <v>133</v>
      </c>
    </row>
    <row r="45" spans="1:38">
      <c r="A45" s="107">
        <v>21</v>
      </c>
      <c r="B45" s="33">
        <v>43850</v>
      </c>
      <c r="C45" s="22">
        <v>0.53472222222222221</v>
      </c>
      <c r="D45" s="22" t="s">
        <v>127</v>
      </c>
      <c r="E45" s="23">
        <v>73</v>
      </c>
      <c r="F45" s="23" t="s">
        <v>128</v>
      </c>
      <c r="G45" s="23">
        <v>6</v>
      </c>
      <c r="H45" s="25" t="s">
        <v>2</v>
      </c>
      <c r="I45" s="25" t="s">
        <v>1</v>
      </c>
      <c r="J45" s="25">
        <f ca="1">VLOOKUP([Dive_Date],Tidal_coeficient[],2,FALSE)</f>
        <v>60</v>
      </c>
      <c r="K45" s="25">
        <v>5</v>
      </c>
      <c r="L45" s="24">
        <v>29</v>
      </c>
      <c r="M45" s="23">
        <f ca="1">YEAR(Table_complete_valeur[[#This Row],[Dive_Date]])</f>
        <v>2020</v>
      </c>
      <c r="N45" s="23">
        <f ca="1">DAY(Table_complete_valeur[[#This Row],[Dive_Date]])</f>
        <v>20</v>
      </c>
      <c r="O45" s="23">
        <f ca="1">MONTH(Table_complete_valeur[[#This Row],[Dive_Date]])</f>
        <v>1</v>
      </c>
      <c r="P45" s="23">
        <f ca="1">HOUR(Table_complete_valeur[[#This Row],[Time]])</f>
        <v>12</v>
      </c>
      <c r="Q45" s="25" t="str">
        <f ca="1">IF(Table_complete_valeur[[#This Row],[Dive_Hour]]&lt;12,"Morning","Afternoon")</f>
        <v>Afternoon</v>
      </c>
      <c r="R45" s="25">
        <f ca="1">VLOOKUP([Dive_Date],Moon_age[],2,FALSE)</f>
        <v>24</v>
      </c>
      <c r="S45" s="25" t="str">
        <f t="shared" ca="1" si="3"/>
        <v/>
      </c>
      <c r="T45" s="26" t="s">
        <v>6</v>
      </c>
      <c r="U45" s="25"/>
      <c r="V45" s="25" t="s">
        <v>268</v>
      </c>
      <c r="W45" s="27">
        <v>44</v>
      </c>
      <c r="X45" s="24">
        <v>20</v>
      </c>
      <c r="Y45" s="27" t="s">
        <v>24</v>
      </c>
      <c r="Z45" s="27" t="s">
        <v>4</v>
      </c>
      <c r="AA45" s="27"/>
      <c r="AB45" s="27"/>
      <c r="AC45" s="27"/>
      <c r="AD45" s="27"/>
      <c r="AE45" s="27"/>
      <c r="AF45" s="120"/>
      <c r="AG45" s="119"/>
      <c r="AH45" s="124" t="str">
        <f t="shared" ca="1" si="2"/>
        <v/>
      </c>
      <c r="AI45" s="118" t="str">
        <f t="shared" ca="1" si="4"/>
        <v/>
      </c>
      <c r="AJ45" s="27" t="s">
        <v>65</v>
      </c>
      <c r="AK45" s="28"/>
      <c r="AL45" s="28" t="s">
        <v>134</v>
      </c>
    </row>
    <row r="46" spans="1:38">
      <c r="A46" s="107">
        <v>22</v>
      </c>
      <c r="B46" s="33">
        <v>43851</v>
      </c>
      <c r="C46" s="22">
        <v>0.4861111111111111</v>
      </c>
      <c r="D46" s="34" t="s">
        <v>79</v>
      </c>
      <c r="E46" s="23">
        <v>57</v>
      </c>
      <c r="F46" s="23" t="s">
        <v>128</v>
      </c>
      <c r="G46" s="23">
        <v>3</v>
      </c>
      <c r="H46" s="25" t="s">
        <v>2</v>
      </c>
      <c r="I46" s="25" t="s">
        <v>1</v>
      </c>
      <c r="J46" s="23">
        <f ca="1">VLOOKUP([Dive_Date],Tidal_coeficient[],2,FALSE)</f>
        <v>66</v>
      </c>
      <c r="K46" s="25">
        <v>3</v>
      </c>
      <c r="L46" s="24">
        <v>29</v>
      </c>
      <c r="M46" s="23">
        <f ca="1">YEAR(Table_complete_valeur[[#This Row],[Dive_Date]])</f>
        <v>2020</v>
      </c>
      <c r="N46" s="23">
        <f ca="1">DAY(Table_complete_valeur[[#This Row],[Dive_Date]])</f>
        <v>21</v>
      </c>
      <c r="O46" s="23">
        <f ca="1">MONTH(Table_complete_valeur[[#This Row],[Dive_Date]])</f>
        <v>1</v>
      </c>
      <c r="P46" s="23">
        <f ca="1">HOUR(Table_complete_valeur[[#This Row],[Time]])</f>
        <v>11</v>
      </c>
      <c r="Q46" s="25" t="str">
        <f ca="1">IF(Table_complete_valeur[[#This Row],[Dive_Hour]]&lt;12,"Morning","Afternoon")</f>
        <v>Morning</v>
      </c>
      <c r="R46" s="25">
        <f ca="1">VLOOKUP([Dive_Date],Moon_age[],2,FALSE)</f>
        <v>25</v>
      </c>
      <c r="S46" s="25" t="str">
        <f t="shared" ca="1" si="3"/>
        <v/>
      </c>
      <c r="T46" s="26" t="s">
        <v>6</v>
      </c>
      <c r="U46" s="25" t="s">
        <v>329</v>
      </c>
      <c r="V46" s="25" t="s">
        <v>202</v>
      </c>
      <c r="W46" s="27">
        <v>45</v>
      </c>
      <c r="X46" s="24">
        <v>45</v>
      </c>
      <c r="Y46" s="27" t="s">
        <v>22</v>
      </c>
      <c r="Z46" s="30" t="s">
        <v>4</v>
      </c>
      <c r="AA46" s="30">
        <v>30</v>
      </c>
      <c r="AB46" s="30">
        <v>272</v>
      </c>
      <c r="AC46" s="30">
        <v>277</v>
      </c>
      <c r="AD46" s="30"/>
      <c r="AE46" s="30">
        <v>45</v>
      </c>
      <c r="AF46" s="120">
        <v>313</v>
      </c>
      <c r="AG46" s="119">
        <f ca="1">1.29*Table_complete_valeur[[#This Row],[LF]]+3.58</f>
        <v>360.90999999999997</v>
      </c>
      <c r="AH46" s="131" t="str">
        <f t="shared" ca="1" si="2"/>
        <v>300 &lt; TL &lt; 350</v>
      </c>
      <c r="AI46" s="137" t="str">
        <f t="shared" ca="1" si="4"/>
        <v>350 &lt; TL &lt; 400</v>
      </c>
      <c r="AJ46" s="27" t="s">
        <v>66</v>
      </c>
      <c r="AK46" s="28"/>
      <c r="AL46" s="28" t="s">
        <v>135</v>
      </c>
    </row>
    <row r="47" spans="1:38">
      <c r="A47" s="107">
        <v>22</v>
      </c>
      <c r="B47" s="33">
        <v>43851</v>
      </c>
      <c r="C47" s="22">
        <v>0.4861111111111111</v>
      </c>
      <c r="D47" s="34" t="s">
        <v>79</v>
      </c>
      <c r="E47" s="23">
        <v>57</v>
      </c>
      <c r="F47" s="23" t="s">
        <v>128</v>
      </c>
      <c r="G47" s="23">
        <v>3</v>
      </c>
      <c r="H47" s="25" t="s">
        <v>2</v>
      </c>
      <c r="I47" s="25" t="s">
        <v>1</v>
      </c>
      <c r="J47" s="23">
        <f ca="1">VLOOKUP([Dive_Date],Tidal_coeficient[],2,FALSE)</f>
        <v>66</v>
      </c>
      <c r="K47" s="25">
        <v>3</v>
      </c>
      <c r="L47" s="24">
        <v>29</v>
      </c>
      <c r="M47" s="23">
        <f ca="1">YEAR(Table_complete_valeur[[#This Row],[Dive_Date]])</f>
        <v>2020</v>
      </c>
      <c r="N47" s="23">
        <f ca="1">DAY(Table_complete_valeur[[#This Row],[Dive_Date]])</f>
        <v>21</v>
      </c>
      <c r="O47" s="23">
        <f ca="1">MONTH(Table_complete_valeur[[#This Row],[Dive_Date]])</f>
        <v>1</v>
      </c>
      <c r="P47" s="23">
        <f ca="1">HOUR(Table_complete_valeur[[#This Row],[Time]])</f>
        <v>11</v>
      </c>
      <c r="Q47" s="25" t="str">
        <f ca="1">IF(Table_complete_valeur[[#This Row],[Dive_Hour]]&lt;12,"Morning","Afternoon")</f>
        <v>Morning</v>
      </c>
      <c r="R47" s="25">
        <f ca="1">VLOOKUP([Dive_Date],Moon_age[],2,FALSE)</f>
        <v>25</v>
      </c>
      <c r="S47" s="25" t="str">
        <f t="shared" ca="1" si="3"/>
        <v/>
      </c>
      <c r="T47" s="26" t="s">
        <v>6</v>
      </c>
      <c r="U47" s="25"/>
      <c r="V47" s="23" t="s">
        <v>203</v>
      </c>
      <c r="W47" s="27">
        <v>46</v>
      </c>
      <c r="X47" s="24">
        <v>45</v>
      </c>
      <c r="Y47" s="27" t="s">
        <v>22</v>
      </c>
      <c r="Z47" s="27" t="s">
        <v>4</v>
      </c>
      <c r="AA47" s="27"/>
      <c r="AB47" s="27"/>
      <c r="AC47" s="27"/>
      <c r="AD47" s="27"/>
      <c r="AE47" s="27"/>
      <c r="AF47" s="120"/>
      <c r="AG47" s="119"/>
      <c r="AH47" s="124" t="str">
        <f t="shared" ca="1" si="2"/>
        <v/>
      </c>
      <c r="AI47" s="118" t="str">
        <f t="shared" ca="1" si="4"/>
        <v/>
      </c>
      <c r="AJ47" s="27" t="s">
        <v>80</v>
      </c>
      <c r="AK47" s="28"/>
      <c r="AL47" s="28" t="s">
        <v>136</v>
      </c>
    </row>
    <row r="48" spans="1:38">
      <c r="A48" s="107">
        <v>22</v>
      </c>
      <c r="B48" s="21">
        <v>43851</v>
      </c>
      <c r="C48" s="22">
        <v>0.4861111111111111</v>
      </c>
      <c r="D48" s="34" t="s">
        <v>79</v>
      </c>
      <c r="E48" s="23">
        <v>53</v>
      </c>
      <c r="F48" s="23" t="s">
        <v>128</v>
      </c>
      <c r="G48" s="23">
        <v>4</v>
      </c>
      <c r="H48" s="25" t="s">
        <v>2</v>
      </c>
      <c r="I48" s="25" t="s">
        <v>1</v>
      </c>
      <c r="J48" s="23">
        <f ca="1">VLOOKUP([Dive_Date],Tidal_coeficient[],2,FALSE)</f>
        <v>66</v>
      </c>
      <c r="K48" s="25">
        <v>3</v>
      </c>
      <c r="L48" s="24">
        <v>29</v>
      </c>
      <c r="M48" s="23">
        <f ca="1">YEAR(Table_complete_valeur[[#This Row],[Dive_Date]])</f>
        <v>2020</v>
      </c>
      <c r="N48" s="23">
        <f ca="1">DAY(Table_complete_valeur[[#This Row],[Dive_Date]])</f>
        <v>21</v>
      </c>
      <c r="O48" s="23">
        <f ca="1">MONTH(Table_complete_valeur[[#This Row],[Dive_Date]])</f>
        <v>1</v>
      </c>
      <c r="P48" s="23">
        <f ca="1">HOUR(Table_complete_valeur[[#This Row],[Time]])</f>
        <v>11</v>
      </c>
      <c r="Q48" s="25" t="str">
        <f ca="1">IF(Table_complete_valeur[[#This Row],[Dive_Hour]]&lt;12,"Morning","Afternoon")</f>
        <v>Morning</v>
      </c>
      <c r="R48" s="25">
        <f ca="1">VLOOKUP([Dive_Date],Moon_age[],2,FALSE)</f>
        <v>25</v>
      </c>
      <c r="S48" s="25" t="str">
        <f t="shared" ca="1" si="3"/>
        <v/>
      </c>
      <c r="T48" s="26" t="s">
        <v>6</v>
      </c>
      <c r="U48" s="25"/>
      <c r="V48" s="23" t="s">
        <v>206</v>
      </c>
      <c r="W48" s="27">
        <v>47</v>
      </c>
      <c r="X48" s="24">
        <v>35</v>
      </c>
      <c r="Y48" s="27" t="s">
        <v>22</v>
      </c>
      <c r="Z48" s="27" t="s">
        <v>4</v>
      </c>
      <c r="AA48" s="27"/>
      <c r="AB48" s="27"/>
      <c r="AC48" s="27"/>
      <c r="AD48" s="27"/>
      <c r="AE48" s="27"/>
      <c r="AF48" s="120"/>
      <c r="AG48" s="119"/>
      <c r="AH48" s="124" t="str">
        <f t="shared" ca="1" si="2"/>
        <v/>
      </c>
      <c r="AI48" s="118" t="str">
        <f t="shared" ca="1" si="4"/>
        <v/>
      </c>
      <c r="AJ48" s="30" t="s">
        <v>65</v>
      </c>
      <c r="AK48" s="46"/>
      <c r="AL48" s="28"/>
    </row>
    <row r="49" spans="1:38">
      <c r="A49" s="107">
        <v>23</v>
      </c>
      <c r="B49" s="21">
        <v>43851</v>
      </c>
      <c r="C49" s="22">
        <v>0.62708333333333333</v>
      </c>
      <c r="D49" s="22" t="s">
        <v>79</v>
      </c>
      <c r="E49" s="23">
        <v>63</v>
      </c>
      <c r="F49" s="23" t="s">
        <v>128</v>
      </c>
      <c r="G49" s="23">
        <v>5</v>
      </c>
      <c r="H49" s="25" t="s">
        <v>2</v>
      </c>
      <c r="I49" s="25" t="s">
        <v>1</v>
      </c>
      <c r="J49" s="23">
        <f ca="1">VLOOKUP([Dive_Date],Tidal_coeficient[],2,FALSE)</f>
        <v>66</v>
      </c>
      <c r="K49" s="23">
        <v>6</v>
      </c>
      <c r="L49" s="24">
        <v>29</v>
      </c>
      <c r="M49" s="23">
        <f ca="1">YEAR(Table_complete_valeur[[#This Row],[Dive_Date]])</f>
        <v>2020</v>
      </c>
      <c r="N49" s="23">
        <f ca="1">DAY(Table_complete_valeur[[#This Row],[Dive_Date]])</f>
        <v>21</v>
      </c>
      <c r="O49" s="23">
        <f ca="1">MONTH(Table_complete_valeur[[#This Row],[Dive_Date]])</f>
        <v>1</v>
      </c>
      <c r="P49" s="23">
        <f ca="1">HOUR(Table_complete_valeur[[#This Row],[Time]])</f>
        <v>15</v>
      </c>
      <c r="Q49" s="25" t="str">
        <f ca="1">IF(Table_complete_valeur[[#This Row],[Dive_Hour]]&lt;12,"Morning","Afternoon")</f>
        <v>Afternoon</v>
      </c>
      <c r="R49" s="25">
        <f ca="1">VLOOKUP([Dive_Date],Moon_age[],2,FALSE)</f>
        <v>25</v>
      </c>
      <c r="S49" s="25" t="str">
        <f t="shared" ca="1" si="3"/>
        <v/>
      </c>
      <c r="T49" s="26" t="s">
        <v>6</v>
      </c>
      <c r="U49" s="25"/>
      <c r="V49" s="23" t="s">
        <v>204</v>
      </c>
      <c r="W49" s="27">
        <v>48</v>
      </c>
      <c r="X49" s="24">
        <v>35</v>
      </c>
      <c r="Y49" s="27" t="s">
        <v>24</v>
      </c>
      <c r="Z49" s="27" t="s">
        <v>4</v>
      </c>
      <c r="AA49" s="27"/>
      <c r="AB49" s="27"/>
      <c r="AC49" s="27"/>
      <c r="AD49" s="27"/>
      <c r="AE49" s="27"/>
      <c r="AF49" s="120"/>
      <c r="AG49" s="119"/>
      <c r="AH49" s="124" t="str">
        <f t="shared" ca="1" si="2"/>
        <v/>
      </c>
      <c r="AI49" s="118" t="str">
        <f t="shared" ca="1" si="4"/>
        <v/>
      </c>
      <c r="AJ49" s="27" t="s">
        <v>80</v>
      </c>
      <c r="AK49" s="28" t="s">
        <v>335</v>
      </c>
      <c r="AL49" s="28" t="s">
        <v>137</v>
      </c>
    </row>
    <row r="50" spans="1:38">
      <c r="A50" s="107">
        <v>23</v>
      </c>
      <c r="B50" s="21">
        <v>43851</v>
      </c>
      <c r="C50" s="22">
        <v>0.62708333333333333</v>
      </c>
      <c r="D50" s="34" t="s">
        <v>79</v>
      </c>
      <c r="E50" s="25">
        <v>63</v>
      </c>
      <c r="F50" s="23" t="s">
        <v>128</v>
      </c>
      <c r="G50" s="25">
        <v>5</v>
      </c>
      <c r="H50" s="25" t="s">
        <v>2</v>
      </c>
      <c r="I50" s="25" t="s">
        <v>1</v>
      </c>
      <c r="J50" s="23">
        <f ca="1">VLOOKUP([Dive_Date],Tidal_coeficient[],2,FALSE)</f>
        <v>66</v>
      </c>
      <c r="K50" s="23">
        <v>6</v>
      </c>
      <c r="L50" s="24">
        <v>29</v>
      </c>
      <c r="M50" s="25">
        <f ca="1">YEAR(Table_complete_valeur[[#This Row],[Dive_Date]])</f>
        <v>2020</v>
      </c>
      <c r="N50" s="25">
        <f ca="1">DAY(Table_complete_valeur[[#This Row],[Dive_Date]])</f>
        <v>21</v>
      </c>
      <c r="O50" s="25">
        <f ca="1">MONTH(Table_complete_valeur[[#This Row],[Dive_Date]])</f>
        <v>1</v>
      </c>
      <c r="P50" s="25">
        <f ca="1">HOUR(Table_complete_valeur[[#This Row],[Time]])</f>
        <v>15</v>
      </c>
      <c r="Q50" s="25" t="str">
        <f ca="1">IF(Table_complete_valeur[[#This Row],[Dive_Hour]]&lt;12,"Morning","Afternoon")</f>
        <v>Afternoon</v>
      </c>
      <c r="R50" s="25">
        <f ca="1">VLOOKUP([Dive_Date],Moon_age[],2,FALSE)</f>
        <v>25</v>
      </c>
      <c r="S50" s="25" t="str">
        <f t="shared" ca="1" si="3"/>
        <v/>
      </c>
      <c r="T50" s="26" t="s">
        <v>6</v>
      </c>
      <c r="U50" s="25" t="s">
        <v>328</v>
      </c>
      <c r="V50" s="25" t="s">
        <v>205</v>
      </c>
      <c r="W50" s="27">
        <v>49</v>
      </c>
      <c r="X50" s="40">
        <v>20</v>
      </c>
      <c r="Y50" s="30" t="s">
        <v>24</v>
      </c>
      <c r="Z50" s="27" t="s">
        <v>4</v>
      </c>
      <c r="AA50" s="30">
        <v>30</v>
      </c>
      <c r="AB50" s="30">
        <v>308</v>
      </c>
      <c r="AC50" s="30">
        <v>315</v>
      </c>
      <c r="AD50" s="30"/>
      <c r="AE50" s="30">
        <v>54</v>
      </c>
      <c r="AF50" s="117">
        <v>365</v>
      </c>
      <c r="AG50" s="118">
        <f ca="1">1.29*Table_complete_valeur[[#This Row],[LF]]+3.58</f>
        <v>409.93</v>
      </c>
      <c r="AH50" s="138" t="str">
        <f t="shared" ca="1" si="2"/>
        <v>350 &lt; TL &lt; 400</v>
      </c>
      <c r="AI50" s="139" t="str">
        <f t="shared" ca="1" si="4"/>
        <v>TL &gt; 400</v>
      </c>
      <c r="AJ50" s="30" t="s">
        <v>65</v>
      </c>
      <c r="AK50" s="46"/>
      <c r="AL50" s="46" t="s">
        <v>138</v>
      </c>
    </row>
    <row r="51" spans="1:38">
      <c r="A51" s="107">
        <v>24</v>
      </c>
      <c r="B51" s="21">
        <v>43851</v>
      </c>
      <c r="C51" s="22">
        <v>0.52083333333333337</v>
      </c>
      <c r="D51" s="34" t="s">
        <v>90</v>
      </c>
      <c r="E51" s="23">
        <v>120</v>
      </c>
      <c r="F51" s="23" t="s">
        <v>17</v>
      </c>
      <c r="G51" s="23">
        <v>2</v>
      </c>
      <c r="H51" s="25" t="s">
        <v>2</v>
      </c>
      <c r="I51" s="25" t="s">
        <v>1</v>
      </c>
      <c r="J51" s="23">
        <f ca="1">VLOOKUP([Dive_Date],Tidal_coeficient[],2,FALSE)</f>
        <v>66</v>
      </c>
      <c r="K51" s="25">
        <v>4</v>
      </c>
      <c r="L51" s="24">
        <v>27</v>
      </c>
      <c r="M51" s="23">
        <f ca="1">YEAR(Table_complete_valeur[[#This Row],[Dive_Date]])</f>
        <v>2020</v>
      </c>
      <c r="N51" s="23">
        <f ca="1">DAY(Table_complete_valeur[[#This Row],[Dive_Date]])</f>
        <v>21</v>
      </c>
      <c r="O51" s="23">
        <f ca="1">MONTH(Table_complete_valeur[[#This Row],[Dive_Date]])</f>
        <v>1</v>
      </c>
      <c r="P51" s="23">
        <f ca="1">HOUR(Table_complete_valeur[[#This Row],[Time]])</f>
        <v>12</v>
      </c>
      <c r="Q51" s="25" t="str">
        <f ca="1">IF(Table_complete_valeur[[#This Row],[Dive_Hour]]&lt;12,"Morning","Afternoon")</f>
        <v>Afternoon</v>
      </c>
      <c r="R51" s="25">
        <f ca="1">VLOOKUP([Dive_Date],Moon_age[],2,FALSE)</f>
        <v>25</v>
      </c>
      <c r="S51" s="25" t="str">
        <f t="shared" ca="1" si="3"/>
        <v/>
      </c>
      <c r="T51" s="26" t="s">
        <v>6</v>
      </c>
      <c r="U51" s="25" t="s">
        <v>330</v>
      </c>
      <c r="V51" s="25" t="s">
        <v>207</v>
      </c>
      <c r="W51" s="27">
        <v>50</v>
      </c>
      <c r="X51" s="24">
        <v>60</v>
      </c>
      <c r="Y51" s="27" t="s">
        <v>22</v>
      </c>
      <c r="Z51" s="30" t="s">
        <v>4</v>
      </c>
      <c r="AA51" s="30">
        <v>50</v>
      </c>
      <c r="AB51" s="30">
        <v>242</v>
      </c>
      <c r="AC51" s="30">
        <v>261</v>
      </c>
      <c r="AD51" s="30"/>
      <c r="AE51" s="30">
        <v>50</v>
      </c>
      <c r="AF51" s="120">
        <v>319</v>
      </c>
      <c r="AG51" s="119">
        <f ca="1">1.29*Table_complete_valeur[[#This Row],[LF]]+3.58</f>
        <v>340.27</v>
      </c>
      <c r="AH51" s="131" t="str">
        <f t="shared" ca="1" si="2"/>
        <v>300 &lt; TL &lt; 350</v>
      </c>
      <c r="AI51" s="132" t="str">
        <f t="shared" ca="1" si="4"/>
        <v>300 &lt; TL &lt; 350</v>
      </c>
      <c r="AJ51" s="27" t="s">
        <v>66</v>
      </c>
      <c r="AK51" s="28" t="s">
        <v>414</v>
      </c>
      <c r="AL51" s="28" t="s">
        <v>139</v>
      </c>
    </row>
    <row r="52" spans="1:38">
      <c r="A52" s="107">
        <v>24</v>
      </c>
      <c r="B52" s="21">
        <v>43851</v>
      </c>
      <c r="C52" s="22">
        <v>0.52083333333333337</v>
      </c>
      <c r="D52" s="34" t="s">
        <v>90</v>
      </c>
      <c r="E52" s="23">
        <v>120</v>
      </c>
      <c r="F52" s="23" t="s">
        <v>17</v>
      </c>
      <c r="G52" s="23">
        <v>2</v>
      </c>
      <c r="H52" s="25" t="s">
        <v>2</v>
      </c>
      <c r="I52" s="25" t="s">
        <v>1</v>
      </c>
      <c r="J52" s="23">
        <f ca="1">VLOOKUP([Dive_Date],Tidal_coeficient[],2,FALSE)</f>
        <v>66</v>
      </c>
      <c r="K52" s="25">
        <v>4</v>
      </c>
      <c r="L52" s="24">
        <v>27</v>
      </c>
      <c r="M52" s="23">
        <f ca="1">YEAR(Table_complete_valeur[[#This Row],[Dive_Date]])</f>
        <v>2020</v>
      </c>
      <c r="N52" s="23">
        <f ca="1">DAY(Table_complete_valeur[[#This Row],[Dive_Date]])</f>
        <v>21</v>
      </c>
      <c r="O52" s="23">
        <f ca="1">MONTH(Table_complete_valeur[[#This Row],[Dive_Date]])</f>
        <v>1</v>
      </c>
      <c r="P52" s="23">
        <f ca="1">HOUR(Table_complete_valeur[[#This Row],[Time]])</f>
        <v>12</v>
      </c>
      <c r="Q52" s="25" t="str">
        <f ca="1">IF(Table_complete_valeur[[#This Row],[Dive_Hour]]&lt;12,"Morning","Afternoon")</f>
        <v>Afternoon</v>
      </c>
      <c r="R52" s="25">
        <f ca="1">VLOOKUP([Dive_Date],Moon_age[],2,FALSE)</f>
        <v>25</v>
      </c>
      <c r="S52" s="25" t="str">
        <f t="shared" ca="1" si="3"/>
        <v/>
      </c>
      <c r="T52" s="26" t="s">
        <v>6</v>
      </c>
      <c r="U52" s="25" t="s">
        <v>331</v>
      </c>
      <c r="V52" s="23" t="s">
        <v>208</v>
      </c>
      <c r="W52" s="27">
        <v>51</v>
      </c>
      <c r="X52" s="24">
        <v>50</v>
      </c>
      <c r="Y52" s="27" t="s">
        <v>22</v>
      </c>
      <c r="Z52" s="30" t="s">
        <v>4</v>
      </c>
      <c r="AA52" s="30">
        <v>50</v>
      </c>
      <c r="AB52" s="30">
        <v>185</v>
      </c>
      <c r="AC52" s="30">
        <v>200</v>
      </c>
      <c r="AD52" s="30">
        <v>63</v>
      </c>
      <c r="AE52" s="30">
        <v>44</v>
      </c>
      <c r="AF52" s="120">
        <v>251</v>
      </c>
      <c r="AG52" s="119">
        <f ca="1">1.29*Table_complete_valeur[[#This Row],[LF]]+3.58</f>
        <v>261.58</v>
      </c>
      <c r="AH52" s="133" t="str">
        <f t="shared" ca="1" si="2"/>
        <v>250 &lt; TL &lt; 300</v>
      </c>
      <c r="AI52" s="134" t="str">
        <f t="shared" ca="1" si="4"/>
        <v>250 &lt; TL &lt; 300</v>
      </c>
      <c r="AJ52" s="27" t="s">
        <v>66</v>
      </c>
      <c r="AK52" s="28"/>
      <c r="AL52" s="28" t="s">
        <v>140</v>
      </c>
    </row>
    <row r="53" spans="1:38">
      <c r="A53" s="107">
        <v>24</v>
      </c>
      <c r="B53" s="21">
        <v>43851</v>
      </c>
      <c r="C53" s="22">
        <v>0.52083333333333337</v>
      </c>
      <c r="D53" s="34" t="s">
        <v>90</v>
      </c>
      <c r="E53" s="23">
        <v>120</v>
      </c>
      <c r="F53" s="23" t="s">
        <v>17</v>
      </c>
      <c r="G53" s="23">
        <v>2</v>
      </c>
      <c r="H53" s="25" t="s">
        <v>2</v>
      </c>
      <c r="I53" s="25" t="s">
        <v>1</v>
      </c>
      <c r="J53" s="23">
        <f ca="1">VLOOKUP([Dive_Date],Tidal_coeficient[],2,FALSE)</f>
        <v>66</v>
      </c>
      <c r="K53" s="25">
        <v>4</v>
      </c>
      <c r="L53" s="24">
        <v>27</v>
      </c>
      <c r="M53" s="23">
        <f ca="1">YEAR(Table_complete_valeur[[#This Row],[Dive_Date]])</f>
        <v>2020</v>
      </c>
      <c r="N53" s="23">
        <f ca="1">DAY(Table_complete_valeur[[#This Row],[Dive_Date]])</f>
        <v>21</v>
      </c>
      <c r="O53" s="23">
        <f ca="1">MONTH(Table_complete_valeur[[#This Row],[Dive_Date]])</f>
        <v>1</v>
      </c>
      <c r="P53" s="23">
        <f ca="1">HOUR(Table_complete_valeur[[#This Row],[Time]])</f>
        <v>12</v>
      </c>
      <c r="Q53" s="25" t="str">
        <f ca="1">IF(Table_complete_valeur[[#This Row],[Dive_Hour]]&lt;12,"Morning","Afternoon")</f>
        <v>Afternoon</v>
      </c>
      <c r="R53" s="25">
        <f ca="1">VLOOKUP([Dive_Date],Moon_age[],2,FALSE)</f>
        <v>25</v>
      </c>
      <c r="S53" s="25" t="str">
        <f t="shared" ca="1" si="3"/>
        <v/>
      </c>
      <c r="T53" s="26" t="s">
        <v>6</v>
      </c>
      <c r="U53" s="25" t="s">
        <v>332</v>
      </c>
      <c r="V53" s="25" t="s">
        <v>209</v>
      </c>
      <c r="W53" s="27">
        <v>52</v>
      </c>
      <c r="X53" s="24">
        <v>50</v>
      </c>
      <c r="Y53" s="27" t="s">
        <v>22</v>
      </c>
      <c r="Z53" s="30" t="s">
        <v>4</v>
      </c>
      <c r="AA53" s="30">
        <v>50</v>
      </c>
      <c r="AB53" s="30">
        <v>194</v>
      </c>
      <c r="AC53" s="30">
        <v>214</v>
      </c>
      <c r="AD53" s="30"/>
      <c r="AE53" s="30">
        <v>41</v>
      </c>
      <c r="AF53" s="120">
        <v>272</v>
      </c>
      <c r="AG53" s="119">
        <f ca="1">1.29*Table_complete_valeur[[#This Row],[LF]]+3.58</f>
        <v>279.64</v>
      </c>
      <c r="AH53" s="133" t="str">
        <f t="shared" ca="1" si="2"/>
        <v>250 &lt; TL &lt; 300</v>
      </c>
      <c r="AI53" s="134" t="str">
        <f t="shared" ca="1" si="4"/>
        <v>250 &lt; TL &lt; 300</v>
      </c>
      <c r="AJ53" s="27" t="s">
        <v>66</v>
      </c>
      <c r="AK53" s="28"/>
      <c r="AL53" s="28" t="s">
        <v>140</v>
      </c>
    </row>
    <row r="54" spans="1:38">
      <c r="A54" s="107">
        <v>25</v>
      </c>
      <c r="B54" s="21">
        <v>43852</v>
      </c>
      <c r="C54" s="22">
        <v>0.51041666666666663</v>
      </c>
      <c r="D54" s="22" t="s">
        <v>90</v>
      </c>
      <c r="E54" s="23">
        <v>150</v>
      </c>
      <c r="F54" s="23" t="s">
        <v>17</v>
      </c>
      <c r="G54" s="23">
        <v>3</v>
      </c>
      <c r="H54" s="25" t="s">
        <v>2</v>
      </c>
      <c r="I54" s="25" t="s">
        <v>1</v>
      </c>
      <c r="J54" s="23">
        <f ca="1">VLOOKUP([Dive_Date],Tidal_coeficient[],2,FALSE)</f>
        <v>72</v>
      </c>
      <c r="K54" s="23">
        <v>2.5</v>
      </c>
      <c r="L54" s="24">
        <v>28</v>
      </c>
      <c r="M54" s="23">
        <f ca="1">YEAR(Table_complete_valeur[[#This Row],[Dive_Date]])</f>
        <v>2020</v>
      </c>
      <c r="N54" s="23">
        <f ca="1">DAY(Table_complete_valeur[[#This Row],[Dive_Date]])</f>
        <v>22</v>
      </c>
      <c r="O54" s="23">
        <f ca="1">MONTH(Table_complete_valeur[[#This Row],[Dive_Date]])</f>
        <v>1</v>
      </c>
      <c r="P54" s="23">
        <f ca="1">HOUR(Table_complete_valeur[[#This Row],[Time]])</f>
        <v>12</v>
      </c>
      <c r="Q54" s="25" t="str">
        <f ca="1">IF(Table_complete_valeur[[#This Row],[Dive_Hour]]&lt;12,"Morning","Afternoon")</f>
        <v>Afternoon</v>
      </c>
      <c r="R54" s="25">
        <f ca="1">VLOOKUP([Dive_Date],Moon_age[],2,FALSE)</f>
        <v>26</v>
      </c>
      <c r="S54" s="25" t="str">
        <f t="shared" ca="1" si="3"/>
        <v/>
      </c>
      <c r="T54" s="26" t="s">
        <v>6</v>
      </c>
      <c r="U54" s="25"/>
      <c r="V54" s="23" t="s">
        <v>269</v>
      </c>
      <c r="W54" s="27">
        <v>53</v>
      </c>
      <c r="X54" s="24">
        <v>55</v>
      </c>
      <c r="Y54" s="27" t="s">
        <v>22</v>
      </c>
      <c r="Z54" s="27" t="s">
        <v>4</v>
      </c>
      <c r="AA54" s="27"/>
      <c r="AB54" s="27"/>
      <c r="AC54" s="27"/>
      <c r="AD54" s="27"/>
      <c r="AE54" s="27"/>
      <c r="AF54" s="120"/>
      <c r="AG54" s="119"/>
      <c r="AH54" s="124" t="str">
        <f t="shared" ca="1" si="2"/>
        <v/>
      </c>
      <c r="AI54" s="118" t="str">
        <f t="shared" ca="1" si="4"/>
        <v/>
      </c>
      <c r="AJ54" s="27" t="s">
        <v>65</v>
      </c>
      <c r="AK54" s="28"/>
      <c r="AL54" s="28" t="s">
        <v>143</v>
      </c>
    </row>
    <row r="55" spans="1:38">
      <c r="A55" s="107">
        <v>25</v>
      </c>
      <c r="B55" s="21">
        <v>43852</v>
      </c>
      <c r="C55" s="22">
        <v>0.51041666666666663</v>
      </c>
      <c r="D55" s="22" t="s">
        <v>90</v>
      </c>
      <c r="E55" s="23">
        <v>150</v>
      </c>
      <c r="F55" s="23" t="s">
        <v>17</v>
      </c>
      <c r="G55" s="23">
        <v>3</v>
      </c>
      <c r="H55" s="25" t="s">
        <v>2</v>
      </c>
      <c r="I55" s="25" t="s">
        <v>1</v>
      </c>
      <c r="J55" s="23">
        <f ca="1">VLOOKUP([Dive_Date],Tidal_coeficient[],2,FALSE)</f>
        <v>72</v>
      </c>
      <c r="K55" s="23">
        <v>2.5</v>
      </c>
      <c r="L55" s="24">
        <v>28</v>
      </c>
      <c r="M55" s="23">
        <f ca="1">YEAR(Table_complete_valeur[[#This Row],[Dive_Date]])</f>
        <v>2020</v>
      </c>
      <c r="N55" s="23">
        <f ca="1">DAY(Table_complete_valeur[[#This Row],[Dive_Date]])</f>
        <v>22</v>
      </c>
      <c r="O55" s="23">
        <f ca="1">MONTH(Table_complete_valeur[[#This Row],[Dive_Date]])</f>
        <v>1</v>
      </c>
      <c r="P55" s="23">
        <f ca="1">HOUR(Table_complete_valeur[[#This Row],[Time]])</f>
        <v>12</v>
      </c>
      <c r="Q55" s="25" t="str">
        <f ca="1">IF(Table_complete_valeur[[#This Row],[Dive_Hour]]&lt;12,"Morning","Afternoon")</f>
        <v>Afternoon</v>
      </c>
      <c r="R55" s="25">
        <f ca="1">VLOOKUP([Dive_Date],Moon_age[],2,FALSE)</f>
        <v>26</v>
      </c>
      <c r="S55" s="25" t="str">
        <f t="shared" ca="1" si="3"/>
        <v/>
      </c>
      <c r="T55" s="26" t="s">
        <v>6</v>
      </c>
      <c r="U55" s="25"/>
      <c r="V55" s="23" t="s">
        <v>271</v>
      </c>
      <c r="W55" s="27">
        <v>54</v>
      </c>
      <c r="X55" s="24">
        <v>55</v>
      </c>
      <c r="Y55" s="27" t="s">
        <v>22</v>
      </c>
      <c r="Z55" s="27" t="s">
        <v>4</v>
      </c>
      <c r="AA55" s="27"/>
      <c r="AB55" s="27"/>
      <c r="AC55" s="27"/>
      <c r="AD55" s="27"/>
      <c r="AE55" s="27"/>
      <c r="AF55" s="120"/>
      <c r="AG55" s="119"/>
      <c r="AH55" s="124" t="str">
        <f t="shared" ca="1" si="2"/>
        <v/>
      </c>
      <c r="AI55" s="118" t="str">
        <f t="shared" ca="1" si="4"/>
        <v/>
      </c>
      <c r="AJ55" s="27" t="s">
        <v>65</v>
      </c>
      <c r="AK55" s="28"/>
      <c r="AL55" s="28" t="s">
        <v>143</v>
      </c>
    </row>
    <row r="56" spans="1:38">
      <c r="A56" s="107">
        <v>26</v>
      </c>
      <c r="B56" s="21">
        <v>43852</v>
      </c>
      <c r="C56" s="22">
        <v>0.57361111111111118</v>
      </c>
      <c r="D56" s="22" t="s">
        <v>79</v>
      </c>
      <c r="E56" s="23">
        <v>60</v>
      </c>
      <c r="F56" s="23" t="s">
        <v>128</v>
      </c>
      <c r="G56" s="23">
        <v>3</v>
      </c>
      <c r="H56" s="25" t="s">
        <v>2</v>
      </c>
      <c r="I56" s="25" t="s">
        <v>1</v>
      </c>
      <c r="J56" s="23">
        <f ca="1">VLOOKUP([Dive_Date],Tidal_coeficient[],2,FALSE)</f>
        <v>72</v>
      </c>
      <c r="K56" s="23">
        <v>4</v>
      </c>
      <c r="L56" s="24">
        <v>28</v>
      </c>
      <c r="M56" s="23">
        <f ca="1">YEAR(Table_complete_valeur[[#This Row],[Dive_Date]])</f>
        <v>2020</v>
      </c>
      <c r="N56" s="23">
        <f ca="1">DAY(Table_complete_valeur[[#This Row],[Dive_Date]])</f>
        <v>22</v>
      </c>
      <c r="O56" s="23">
        <f ca="1">MONTH(Table_complete_valeur[[#This Row],[Dive_Date]])</f>
        <v>1</v>
      </c>
      <c r="P56" s="23">
        <f ca="1">HOUR(Table_complete_valeur[[#This Row],[Time]])</f>
        <v>13</v>
      </c>
      <c r="Q56" s="25" t="str">
        <f ca="1">IF(Table_complete_valeur[[#This Row],[Dive_Hour]]&lt;12,"Morning","Afternoon")</f>
        <v>Afternoon</v>
      </c>
      <c r="R56" s="25">
        <f ca="1">VLOOKUP([Dive_Date],Moon_age[],2,FALSE)</f>
        <v>26</v>
      </c>
      <c r="S56" s="25" t="str">
        <f t="shared" ca="1" si="3"/>
        <v/>
      </c>
      <c r="T56" s="26" t="s">
        <v>6</v>
      </c>
      <c r="U56" s="25" t="s">
        <v>333</v>
      </c>
      <c r="V56" s="23" t="s">
        <v>272</v>
      </c>
      <c r="W56" s="27">
        <v>55</v>
      </c>
      <c r="X56" s="24">
        <v>45</v>
      </c>
      <c r="Y56" s="27" t="s">
        <v>22</v>
      </c>
      <c r="Z56" s="27" t="s">
        <v>55</v>
      </c>
      <c r="AA56" s="27">
        <v>30</v>
      </c>
      <c r="AB56" s="27">
        <v>250</v>
      </c>
      <c r="AC56" s="27">
        <v>263</v>
      </c>
      <c r="AD56" s="27">
        <v>76</v>
      </c>
      <c r="AE56" s="27">
        <v>54</v>
      </c>
      <c r="AF56" s="120">
        <v>355</v>
      </c>
      <c r="AG56" s="119">
        <f ca="1">1.29*Table_complete_valeur[[#This Row],[LF]]+3.58</f>
        <v>342.84999999999997</v>
      </c>
      <c r="AH56" s="138" t="str">
        <f t="shared" ca="1" si="2"/>
        <v>350 &lt; TL &lt; 400</v>
      </c>
      <c r="AI56" s="132" t="str">
        <f t="shared" ca="1" si="4"/>
        <v>300 &lt; TL &lt; 350</v>
      </c>
      <c r="AJ56" s="27" t="s">
        <v>66</v>
      </c>
      <c r="AK56" s="28"/>
      <c r="AL56" s="28" t="s">
        <v>144</v>
      </c>
    </row>
    <row r="57" spans="1:38">
      <c r="A57" s="107">
        <v>27</v>
      </c>
      <c r="B57" s="21">
        <v>43852</v>
      </c>
      <c r="C57" s="22">
        <v>0.57222222222222219</v>
      </c>
      <c r="D57" s="34" t="s">
        <v>127</v>
      </c>
      <c r="E57" s="23">
        <v>62</v>
      </c>
      <c r="F57" s="23" t="s">
        <v>128</v>
      </c>
      <c r="G57" s="23">
        <v>4</v>
      </c>
      <c r="H57" s="25" t="s">
        <v>2</v>
      </c>
      <c r="I57" s="25" t="s">
        <v>1</v>
      </c>
      <c r="J57" s="23">
        <f ca="1">VLOOKUP([Dive_Date],Tidal_coeficient[],2,FALSE)</f>
        <v>72</v>
      </c>
      <c r="K57" s="23">
        <v>4</v>
      </c>
      <c r="L57" s="24">
        <v>29</v>
      </c>
      <c r="M57" s="23">
        <f ca="1">YEAR(Table_complete_valeur[[#This Row],[Dive_Date]])</f>
        <v>2020</v>
      </c>
      <c r="N57" s="23">
        <f ca="1">DAY(Table_complete_valeur[[#This Row],[Dive_Date]])</f>
        <v>22</v>
      </c>
      <c r="O57" s="23">
        <f ca="1">MONTH(Table_complete_valeur[[#This Row],[Dive_Date]])</f>
        <v>1</v>
      </c>
      <c r="P57" s="23">
        <f ca="1">HOUR(Table_complete_valeur[[#This Row],[Time]])</f>
        <v>13</v>
      </c>
      <c r="Q57" s="25" t="str">
        <f ca="1">IF(Table_complete_valeur[[#This Row],[Dive_Hour]]&lt;12,"Morning","Afternoon")</f>
        <v>Afternoon</v>
      </c>
      <c r="R57" s="25">
        <f ca="1">VLOOKUP([Dive_Date],Moon_age[],2,FALSE)</f>
        <v>26</v>
      </c>
      <c r="S57" s="25" t="str">
        <f t="shared" ca="1" si="3"/>
        <v/>
      </c>
      <c r="T57" s="26" t="s">
        <v>6</v>
      </c>
      <c r="U57" s="25"/>
      <c r="V57" s="31" t="s">
        <v>303</v>
      </c>
      <c r="W57" s="27">
        <v>56</v>
      </c>
      <c r="X57" s="24">
        <v>50</v>
      </c>
      <c r="Y57" s="27" t="s">
        <v>22</v>
      </c>
      <c r="Z57" s="30" t="s">
        <v>4</v>
      </c>
      <c r="AA57" s="30"/>
      <c r="AB57" s="30"/>
      <c r="AC57" s="30"/>
      <c r="AD57" s="30"/>
      <c r="AE57" s="30"/>
      <c r="AF57" s="120"/>
      <c r="AG57" s="119"/>
      <c r="AH57" s="124" t="str">
        <f t="shared" ca="1" si="2"/>
        <v/>
      </c>
      <c r="AI57" s="118" t="str">
        <f t="shared" ca="1" si="4"/>
        <v/>
      </c>
      <c r="AJ57" s="27" t="s">
        <v>65</v>
      </c>
      <c r="AK57" s="28"/>
      <c r="AL57" s="28" t="s">
        <v>141</v>
      </c>
    </row>
    <row r="58" spans="1:38">
      <c r="A58" s="107">
        <v>27</v>
      </c>
      <c r="B58" s="21">
        <v>43852</v>
      </c>
      <c r="C58" s="22">
        <v>0.57222222222222219</v>
      </c>
      <c r="D58" s="34" t="s">
        <v>127</v>
      </c>
      <c r="E58" s="23">
        <v>62</v>
      </c>
      <c r="F58" s="23" t="s">
        <v>128</v>
      </c>
      <c r="G58" s="23">
        <v>4</v>
      </c>
      <c r="H58" s="25" t="s">
        <v>2</v>
      </c>
      <c r="I58" s="25" t="s">
        <v>1</v>
      </c>
      <c r="J58" s="23">
        <f ca="1">VLOOKUP([Dive_Date],Tidal_coeficient[],2,FALSE)</f>
        <v>72</v>
      </c>
      <c r="K58" s="23">
        <v>4</v>
      </c>
      <c r="L58" s="24">
        <v>29</v>
      </c>
      <c r="M58" s="23">
        <f ca="1">YEAR(Table_complete_valeur[[#This Row],[Dive_Date]])</f>
        <v>2020</v>
      </c>
      <c r="N58" s="23">
        <f ca="1">DAY(Table_complete_valeur[[#This Row],[Dive_Date]])</f>
        <v>22</v>
      </c>
      <c r="O58" s="23">
        <f ca="1">MONTH(Table_complete_valeur[[#This Row],[Dive_Date]])</f>
        <v>1</v>
      </c>
      <c r="P58" s="23">
        <f ca="1">HOUR(Table_complete_valeur[[#This Row],[Time]])</f>
        <v>13</v>
      </c>
      <c r="Q58" s="25" t="str">
        <f ca="1">IF(Table_complete_valeur[[#This Row],[Dive_Hour]]&lt;12,"Morning","Afternoon")</f>
        <v>Afternoon</v>
      </c>
      <c r="R58" s="25">
        <f ca="1">VLOOKUP([Dive_Date],Moon_age[],2,FALSE)</f>
        <v>26</v>
      </c>
      <c r="S58" s="25" t="str">
        <f t="shared" ca="1" si="3"/>
        <v/>
      </c>
      <c r="T58" s="26" t="s">
        <v>6</v>
      </c>
      <c r="U58" s="25"/>
      <c r="V58" s="31" t="s">
        <v>303</v>
      </c>
      <c r="W58" s="27">
        <v>57</v>
      </c>
      <c r="X58" s="24">
        <v>50</v>
      </c>
      <c r="Y58" s="27" t="s">
        <v>22</v>
      </c>
      <c r="Z58" s="30" t="s">
        <v>55</v>
      </c>
      <c r="AA58" s="30"/>
      <c r="AB58" s="30"/>
      <c r="AC58" s="30"/>
      <c r="AD58" s="30"/>
      <c r="AE58" s="30"/>
      <c r="AF58" s="120"/>
      <c r="AG58" s="119"/>
      <c r="AH58" s="124" t="str">
        <f t="shared" ca="1" si="2"/>
        <v/>
      </c>
      <c r="AI58" s="118" t="str">
        <f t="shared" ca="1" si="4"/>
        <v/>
      </c>
      <c r="AJ58" s="27" t="s">
        <v>65</v>
      </c>
      <c r="AK58" s="28"/>
      <c r="AL58" s="28" t="s">
        <v>142</v>
      </c>
    </row>
    <row r="59" spans="1:38">
      <c r="A59" s="107">
        <v>28</v>
      </c>
      <c r="B59" s="21">
        <v>43853</v>
      </c>
      <c r="C59" s="22">
        <v>0.3430555555555555</v>
      </c>
      <c r="D59" s="22" t="s">
        <v>256</v>
      </c>
      <c r="E59" s="23"/>
      <c r="F59" s="23" t="s">
        <v>128</v>
      </c>
      <c r="G59" s="23">
        <v>2</v>
      </c>
      <c r="H59" s="25" t="s">
        <v>2</v>
      </c>
      <c r="I59" s="25" t="s">
        <v>488</v>
      </c>
      <c r="J59" s="23">
        <f ca="1">VLOOKUP([Dive_Date],Tidal_coeficient[],2,FALSE)</f>
        <v>77</v>
      </c>
      <c r="K59" s="23">
        <v>-2</v>
      </c>
      <c r="L59" s="24">
        <v>29</v>
      </c>
      <c r="M59" s="23">
        <f ca="1">YEAR(Table_complete_valeur[[#This Row],[Dive_Date]])</f>
        <v>2020</v>
      </c>
      <c r="N59" s="23">
        <f ca="1">DAY(Table_complete_valeur[[#This Row],[Dive_Date]])</f>
        <v>23</v>
      </c>
      <c r="O59" s="23">
        <f ca="1">MONTH(Table_complete_valeur[[#This Row],[Dive_Date]])</f>
        <v>1</v>
      </c>
      <c r="P59" s="23">
        <f ca="1">HOUR(Table_complete_valeur[[#This Row],[Time]])</f>
        <v>0</v>
      </c>
      <c r="Q59" s="25" t="str">
        <f ca="1">IF(Table_complete_valeur[[#This Row],[Dive_Hour]]&lt;12,"Morning","Afternoon")</f>
        <v>Morning</v>
      </c>
      <c r="R59" s="25">
        <f ca="1">VLOOKUP([Dive_Date],Moon_age[],2,FALSE)</f>
        <v>27</v>
      </c>
      <c r="S59" s="25" t="str">
        <f t="shared" ca="1" si="3"/>
        <v/>
      </c>
      <c r="T59" s="26" t="s">
        <v>6</v>
      </c>
      <c r="U59" s="25"/>
      <c r="V59" s="23" t="s">
        <v>273</v>
      </c>
      <c r="W59" s="27">
        <v>58</v>
      </c>
      <c r="X59" s="24">
        <v>10</v>
      </c>
      <c r="Y59" s="27" t="s">
        <v>26</v>
      </c>
      <c r="Z59" s="27" t="s">
        <v>55</v>
      </c>
      <c r="AA59" s="27"/>
      <c r="AB59" s="27"/>
      <c r="AC59" s="27"/>
      <c r="AD59" s="27"/>
      <c r="AE59" s="27"/>
      <c r="AF59" s="120"/>
      <c r="AG59" s="119"/>
      <c r="AH59" s="124" t="str">
        <f t="shared" ca="1" si="2"/>
        <v/>
      </c>
      <c r="AI59" s="118" t="str">
        <f t="shared" ca="1" si="4"/>
        <v/>
      </c>
      <c r="AJ59" s="27" t="s">
        <v>65</v>
      </c>
      <c r="AK59" s="28"/>
      <c r="AL59" s="28" t="s">
        <v>277</v>
      </c>
    </row>
    <row r="60" spans="1:38">
      <c r="A60" s="107">
        <v>28</v>
      </c>
      <c r="B60" s="21">
        <v>43853</v>
      </c>
      <c r="C60" s="22">
        <v>0.60625000000000007</v>
      </c>
      <c r="D60" s="22" t="s">
        <v>256</v>
      </c>
      <c r="E60" s="23"/>
      <c r="F60" s="23" t="s">
        <v>128</v>
      </c>
      <c r="G60" s="23">
        <v>2</v>
      </c>
      <c r="H60" s="25" t="s">
        <v>2</v>
      </c>
      <c r="I60" s="25" t="s">
        <v>1</v>
      </c>
      <c r="J60" s="23">
        <f ca="1">VLOOKUP([Dive_Date],Tidal_coeficient[],2,FALSE)</f>
        <v>77</v>
      </c>
      <c r="K60" s="143">
        <v>4</v>
      </c>
      <c r="L60" s="24">
        <v>29</v>
      </c>
      <c r="M60" s="23">
        <f ca="1">YEAR(Table_complete_valeur[[#This Row],[Dive_Date]])</f>
        <v>2020</v>
      </c>
      <c r="N60" s="23">
        <f ca="1">DAY(Table_complete_valeur[[#This Row],[Dive_Date]])</f>
        <v>23</v>
      </c>
      <c r="O60" s="23">
        <f ca="1">MONTH(Table_complete_valeur[[#This Row],[Dive_Date]])</f>
        <v>1</v>
      </c>
      <c r="P60" s="23">
        <f ca="1">HOUR(Table_complete_valeur[[#This Row],[Time]])</f>
        <v>0</v>
      </c>
      <c r="Q60" s="25" t="str">
        <f ca="1">IF(Table_complete_valeur[[#This Row],[Dive_Hour]]&lt;12,"Morning","Afternoon")</f>
        <v>Morning</v>
      </c>
      <c r="R60" s="25">
        <f ca="1">VLOOKUP([Dive_Date],Moon_age[],2,FALSE)</f>
        <v>27</v>
      </c>
      <c r="S60" s="25" t="str">
        <f t="shared" ca="1" si="3"/>
        <v/>
      </c>
      <c r="T60" s="26" t="s">
        <v>6</v>
      </c>
      <c r="U60" s="25"/>
      <c r="V60" s="23" t="s">
        <v>274</v>
      </c>
      <c r="W60" s="27">
        <v>59</v>
      </c>
      <c r="X60" s="24">
        <v>40</v>
      </c>
      <c r="Y60" s="27" t="s">
        <v>20</v>
      </c>
      <c r="Z60" s="27" t="s">
        <v>55</v>
      </c>
      <c r="AA60" s="27"/>
      <c r="AB60" s="27"/>
      <c r="AC60" s="27"/>
      <c r="AD60" s="27"/>
      <c r="AE60" s="27"/>
      <c r="AF60" s="120"/>
      <c r="AG60" s="119"/>
      <c r="AH60" s="124" t="str">
        <f t="shared" ca="1" si="2"/>
        <v/>
      </c>
      <c r="AI60" s="118" t="str">
        <f t="shared" ca="1" si="4"/>
        <v/>
      </c>
      <c r="AJ60" s="27" t="s">
        <v>65</v>
      </c>
      <c r="AK60" s="28"/>
      <c r="AL60" s="28"/>
    </row>
    <row r="61" spans="1:38">
      <c r="A61" s="107">
        <v>28</v>
      </c>
      <c r="B61" s="21">
        <v>43853</v>
      </c>
      <c r="C61" s="22">
        <v>0.60625000000000007</v>
      </c>
      <c r="D61" s="22" t="s">
        <v>256</v>
      </c>
      <c r="E61" s="23"/>
      <c r="F61" s="23" t="s">
        <v>128</v>
      </c>
      <c r="G61" s="23">
        <v>2</v>
      </c>
      <c r="H61" s="25" t="s">
        <v>2</v>
      </c>
      <c r="I61" s="25" t="s">
        <v>1</v>
      </c>
      <c r="J61" s="23">
        <f ca="1">VLOOKUP([Dive_Date],Tidal_coeficient[],2,FALSE)</f>
        <v>77</v>
      </c>
      <c r="K61" s="143">
        <v>4</v>
      </c>
      <c r="L61" s="24">
        <v>29</v>
      </c>
      <c r="M61" s="23">
        <f ca="1">YEAR(Table_complete_valeur[[#This Row],[Dive_Date]])</f>
        <v>2020</v>
      </c>
      <c r="N61" s="23">
        <f ca="1">DAY(Table_complete_valeur[[#This Row],[Dive_Date]])</f>
        <v>23</v>
      </c>
      <c r="O61" s="23">
        <f ca="1">MONTH(Table_complete_valeur[[#This Row],[Dive_Date]])</f>
        <v>1</v>
      </c>
      <c r="P61" s="23">
        <f ca="1">HOUR(Table_complete_valeur[[#This Row],[Time]])</f>
        <v>0</v>
      </c>
      <c r="Q61" s="25" t="str">
        <f ca="1">IF(Table_complete_valeur[[#This Row],[Dive_Hour]]&lt;12,"Morning","Afternoon")</f>
        <v>Morning</v>
      </c>
      <c r="R61" s="25">
        <f ca="1">VLOOKUP([Dive_Date],Moon_age[],2,FALSE)</f>
        <v>27</v>
      </c>
      <c r="S61" s="25" t="str">
        <f t="shared" ca="1" si="3"/>
        <v/>
      </c>
      <c r="T61" s="26" t="s">
        <v>6</v>
      </c>
      <c r="U61" s="25"/>
      <c r="V61" s="23" t="s">
        <v>275</v>
      </c>
      <c r="W61" s="27">
        <v>60</v>
      </c>
      <c r="X61" s="24">
        <v>30</v>
      </c>
      <c r="Y61" s="27" t="s">
        <v>25</v>
      </c>
      <c r="Z61" s="27" t="s">
        <v>55</v>
      </c>
      <c r="AA61" s="27"/>
      <c r="AB61" s="27"/>
      <c r="AC61" s="27"/>
      <c r="AD61" s="27"/>
      <c r="AE61" s="27"/>
      <c r="AF61" s="120"/>
      <c r="AG61" s="119"/>
      <c r="AH61" s="124" t="str">
        <f t="shared" ca="1" si="2"/>
        <v/>
      </c>
      <c r="AI61" s="118" t="str">
        <f t="shared" ca="1" si="4"/>
        <v/>
      </c>
      <c r="AJ61" s="27" t="s">
        <v>65</v>
      </c>
      <c r="AK61" s="28"/>
      <c r="AL61" s="28"/>
    </row>
    <row r="62" spans="1:38">
      <c r="A62" s="107">
        <v>29</v>
      </c>
      <c r="B62" s="21">
        <v>43854</v>
      </c>
      <c r="C62" s="48"/>
      <c r="D62" s="22" t="s">
        <v>90</v>
      </c>
      <c r="E62" s="109"/>
      <c r="F62" s="23" t="s">
        <v>17</v>
      </c>
      <c r="G62" s="109"/>
      <c r="H62" s="25" t="s">
        <v>2</v>
      </c>
      <c r="I62" s="25" t="s">
        <v>1</v>
      </c>
      <c r="J62" s="23">
        <f ca="1">VLOOKUP([Dive_Date],Tidal_coeficient[],2,FALSE)</f>
        <v>81</v>
      </c>
      <c r="K62" s="109"/>
      <c r="L62" s="24">
        <v>29</v>
      </c>
      <c r="M62" s="23">
        <f ca="1">YEAR(Table_complete_valeur[[#This Row],[Dive_Date]])</f>
        <v>2020</v>
      </c>
      <c r="N62" s="23">
        <f ca="1">DAY(Table_complete_valeur[[#This Row],[Dive_Date]])</f>
        <v>24</v>
      </c>
      <c r="O62" s="23">
        <f ca="1">MONTH(Table_complete_valeur[[#This Row],[Dive_Date]])</f>
        <v>1</v>
      </c>
      <c r="P62" s="23">
        <f ca="1">HOUR(Table_complete_valeur[[#This Row],[Time]])</f>
        <v>0</v>
      </c>
      <c r="Q62" s="25" t="str">
        <f ca="1">IF(Table_complete_valeur[[#This Row],[Dive_Hour]]&lt;12,"Morning","Afternoon")</f>
        <v>Morning</v>
      </c>
      <c r="R62" s="25">
        <f ca="1">VLOOKUP([Dive_Date],Moon_age[],2,FALSE)</f>
        <v>28</v>
      </c>
      <c r="S62" s="25" t="str">
        <f t="shared" ca="1" si="3"/>
        <v/>
      </c>
      <c r="T62" s="26" t="s">
        <v>9</v>
      </c>
      <c r="U62" s="25"/>
      <c r="V62" s="23" t="s">
        <v>270</v>
      </c>
      <c r="W62" s="27">
        <v>61</v>
      </c>
      <c r="X62" s="24">
        <v>55</v>
      </c>
      <c r="Y62" s="27" t="s">
        <v>22</v>
      </c>
      <c r="Z62" s="27" t="s">
        <v>55</v>
      </c>
      <c r="AA62" s="27"/>
      <c r="AB62" s="27"/>
      <c r="AC62" s="27"/>
      <c r="AD62" s="27"/>
      <c r="AE62" s="27"/>
      <c r="AF62" s="120"/>
      <c r="AG62" s="119"/>
      <c r="AH62" s="124" t="str">
        <f t="shared" ca="1" si="2"/>
        <v/>
      </c>
      <c r="AI62" s="118" t="str">
        <f t="shared" ca="1" si="4"/>
        <v/>
      </c>
      <c r="AJ62" s="27" t="s">
        <v>65</v>
      </c>
      <c r="AK62" s="28"/>
      <c r="AL62" s="28" t="s">
        <v>283</v>
      </c>
    </row>
    <row r="63" spans="1:38">
      <c r="A63" s="107">
        <v>29</v>
      </c>
      <c r="B63" s="21">
        <v>43854</v>
      </c>
      <c r="C63" s="48"/>
      <c r="D63" s="22" t="s">
        <v>90</v>
      </c>
      <c r="E63" s="109"/>
      <c r="F63" s="23" t="s">
        <v>17</v>
      </c>
      <c r="G63" s="109"/>
      <c r="H63" s="25" t="s">
        <v>2</v>
      </c>
      <c r="I63" s="25" t="s">
        <v>1</v>
      </c>
      <c r="J63" s="23">
        <f ca="1">VLOOKUP([Dive_Date],Tidal_coeficient[],2,FALSE)</f>
        <v>81</v>
      </c>
      <c r="K63" s="109"/>
      <c r="L63" s="24">
        <v>29</v>
      </c>
      <c r="M63" s="23">
        <f ca="1">YEAR(Table_complete_valeur[[#This Row],[Dive_Date]])</f>
        <v>2020</v>
      </c>
      <c r="N63" s="23">
        <f ca="1">DAY(Table_complete_valeur[[#This Row],[Dive_Date]])</f>
        <v>24</v>
      </c>
      <c r="O63" s="23">
        <f ca="1">MONTH(Table_complete_valeur[[#This Row],[Dive_Date]])</f>
        <v>1</v>
      </c>
      <c r="P63" s="23">
        <f ca="1">HOUR(Table_complete_valeur[[#This Row],[Time]])</f>
        <v>0</v>
      </c>
      <c r="Q63" s="25" t="str">
        <f ca="1">IF(Table_complete_valeur[[#This Row],[Dive_Hour]]&lt;12,"Morning","Afternoon")</f>
        <v>Morning</v>
      </c>
      <c r="R63" s="25">
        <f ca="1">VLOOKUP([Dive_Date],Moon_age[],2,FALSE)</f>
        <v>28</v>
      </c>
      <c r="S63" s="25" t="str">
        <f t="shared" ca="1" si="3"/>
        <v/>
      </c>
      <c r="T63" s="26" t="s">
        <v>9</v>
      </c>
      <c r="U63" s="25"/>
      <c r="V63" s="23" t="s">
        <v>278</v>
      </c>
      <c r="W63" s="27">
        <v>62</v>
      </c>
      <c r="X63" s="24">
        <v>55</v>
      </c>
      <c r="Y63" s="27" t="s">
        <v>22</v>
      </c>
      <c r="Z63" s="27" t="s">
        <v>55</v>
      </c>
      <c r="AA63" s="27"/>
      <c r="AB63" s="27"/>
      <c r="AC63" s="27"/>
      <c r="AD63" s="27"/>
      <c r="AE63" s="27"/>
      <c r="AF63" s="120"/>
      <c r="AG63" s="119"/>
      <c r="AH63" s="124" t="str">
        <f t="shared" ca="1" si="2"/>
        <v/>
      </c>
      <c r="AI63" s="118" t="str">
        <f t="shared" ca="1" si="4"/>
        <v/>
      </c>
      <c r="AJ63" s="27" t="s">
        <v>65</v>
      </c>
      <c r="AK63" s="28"/>
      <c r="AL63" s="28" t="s">
        <v>283</v>
      </c>
    </row>
    <row r="64" spans="1:38">
      <c r="A64" s="107">
        <v>29</v>
      </c>
      <c r="B64" s="21">
        <v>43854</v>
      </c>
      <c r="C64" s="48"/>
      <c r="D64" s="22" t="s">
        <v>90</v>
      </c>
      <c r="E64" s="109"/>
      <c r="F64" s="23" t="s">
        <v>17</v>
      </c>
      <c r="G64" s="109"/>
      <c r="H64" s="25" t="s">
        <v>2</v>
      </c>
      <c r="I64" s="25" t="s">
        <v>1</v>
      </c>
      <c r="J64" s="23">
        <f ca="1">VLOOKUP([Dive_Date],Tidal_coeficient[],2,FALSE)</f>
        <v>81</v>
      </c>
      <c r="K64" s="109"/>
      <c r="L64" s="24">
        <v>29</v>
      </c>
      <c r="M64" s="23">
        <f ca="1">YEAR(Table_complete_valeur[[#This Row],[Dive_Date]])</f>
        <v>2020</v>
      </c>
      <c r="N64" s="23">
        <f ca="1">DAY(Table_complete_valeur[[#This Row],[Dive_Date]])</f>
        <v>24</v>
      </c>
      <c r="O64" s="23">
        <f ca="1">MONTH(Table_complete_valeur[[#This Row],[Dive_Date]])</f>
        <v>1</v>
      </c>
      <c r="P64" s="23">
        <f ca="1">HOUR(Table_complete_valeur[[#This Row],[Time]])</f>
        <v>0</v>
      </c>
      <c r="Q64" s="25" t="str">
        <f ca="1">IF(Table_complete_valeur[[#This Row],[Dive_Hour]]&lt;12,"Morning","Afternoon")</f>
        <v>Morning</v>
      </c>
      <c r="R64" s="25">
        <f ca="1">VLOOKUP([Dive_Date],Moon_age[],2,FALSE)</f>
        <v>28</v>
      </c>
      <c r="S64" s="25" t="str">
        <f t="shared" ca="1" si="3"/>
        <v/>
      </c>
      <c r="T64" s="26" t="s">
        <v>9</v>
      </c>
      <c r="U64" s="25"/>
      <c r="V64" s="23" t="s">
        <v>279</v>
      </c>
      <c r="W64" s="27">
        <v>63</v>
      </c>
      <c r="X64" s="24">
        <v>55</v>
      </c>
      <c r="Y64" s="27" t="s">
        <v>22</v>
      </c>
      <c r="Z64" s="27" t="s">
        <v>55</v>
      </c>
      <c r="AA64" s="27"/>
      <c r="AB64" s="27"/>
      <c r="AC64" s="27"/>
      <c r="AD64" s="27"/>
      <c r="AE64" s="27"/>
      <c r="AF64" s="120"/>
      <c r="AG64" s="119"/>
      <c r="AH64" s="124" t="str">
        <f t="shared" ca="1" si="2"/>
        <v/>
      </c>
      <c r="AI64" s="118" t="str">
        <f t="shared" ca="1" si="4"/>
        <v/>
      </c>
      <c r="AJ64" s="27" t="s">
        <v>65</v>
      </c>
      <c r="AK64" s="28"/>
      <c r="AL64" s="28" t="s">
        <v>282</v>
      </c>
    </row>
    <row r="65" spans="1:38">
      <c r="A65" s="107">
        <v>29</v>
      </c>
      <c r="B65" s="21">
        <v>43854</v>
      </c>
      <c r="C65" s="48"/>
      <c r="D65" s="22" t="s">
        <v>90</v>
      </c>
      <c r="E65" s="109"/>
      <c r="F65" s="23" t="s">
        <v>17</v>
      </c>
      <c r="G65" s="109"/>
      <c r="H65" s="25" t="s">
        <v>2</v>
      </c>
      <c r="I65" s="25" t="s">
        <v>1</v>
      </c>
      <c r="J65" s="23">
        <f ca="1">VLOOKUP([Dive_Date],Tidal_coeficient[],2,FALSE)</f>
        <v>81</v>
      </c>
      <c r="K65" s="109"/>
      <c r="L65" s="24">
        <v>29</v>
      </c>
      <c r="M65" s="23">
        <f ca="1">YEAR(Table_complete_valeur[[#This Row],[Dive_Date]])</f>
        <v>2020</v>
      </c>
      <c r="N65" s="23">
        <f ca="1">DAY(Table_complete_valeur[[#This Row],[Dive_Date]])</f>
        <v>24</v>
      </c>
      <c r="O65" s="23">
        <f ca="1">MONTH(Table_complete_valeur[[#This Row],[Dive_Date]])</f>
        <v>1</v>
      </c>
      <c r="P65" s="23">
        <f ca="1">HOUR(Table_complete_valeur[[#This Row],[Time]])</f>
        <v>0</v>
      </c>
      <c r="Q65" s="25" t="str">
        <f ca="1">IF(Table_complete_valeur[[#This Row],[Dive_Hour]]&lt;12,"Morning","Afternoon")</f>
        <v>Morning</v>
      </c>
      <c r="R65" s="25">
        <f ca="1">VLOOKUP([Dive_Date],Moon_age[],2,FALSE)</f>
        <v>28</v>
      </c>
      <c r="S65" s="25" t="str">
        <f t="shared" ca="1" si="3"/>
        <v/>
      </c>
      <c r="T65" s="26" t="s">
        <v>9</v>
      </c>
      <c r="U65" s="25"/>
      <c r="V65" s="23" t="s">
        <v>280</v>
      </c>
      <c r="W65" s="27">
        <v>64</v>
      </c>
      <c r="X65" s="24">
        <v>55</v>
      </c>
      <c r="Y65" s="27" t="s">
        <v>22</v>
      </c>
      <c r="Z65" s="27" t="s">
        <v>55</v>
      </c>
      <c r="AA65" s="27"/>
      <c r="AB65" s="27"/>
      <c r="AC65" s="27"/>
      <c r="AD65" s="27"/>
      <c r="AE65" s="27"/>
      <c r="AF65" s="120"/>
      <c r="AG65" s="119"/>
      <c r="AH65" s="124" t="str">
        <f t="shared" ca="1" si="2"/>
        <v/>
      </c>
      <c r="AI65" s="118" t="str">
        <f t="shared" ca="1" si="4"/>
        <v/>
      </c>
      <c r="AJ65" s="27" t="s">
        <v>65</v>
      </c>
      <c r="AK65" s="28"/>
      <c r="AL65" s="28" t="s">
        <v>282</v>
      </c>
    </row>
    <row r="66" spans="1:38">
      <c r="A66" s="107">
        <v>29</v>
      </c>
      <c r="B66" s="21">
        <v>43854</v>
      </c>
      <c r="C66" s="48"/>
      <c r="D66" s="22" t="s">
        <v>90</v>
      </c>
      <c r="E66" s="109"/>
      <c r="F66" s="23" t="s">
        <v>17</v>
      </c>
      <c r="G66" s="109"/>
      <c r="H66" s="25" t="s">
        <v>2</v>
      </c>
      <c r="I66" s="25" t="s">
        <v>1</v>
      </c>
      <c r="J66" s="23">
        <f ca="1">VLOOKUP([Dive_Date],Tidal_coeficient[],2,FALSE)</f>
        <v>81</v>
      </c>
      <c r="K66" s="109"/>
      <c r="L66" s="24">
        <v>29</v>
      </c>
      <c r="M66" s="23">
        <f ca="1">YEAR(Table_complete_valeur[[#This Row],[Dive_Date]])</f>
        <v>2020</v>
      </c>
      <c r="N66" s="23">
        <f ca="1">DAY(Table_complete_valeur[[#This Row],[Dive_Date]])</f>
        <v>24</v>
      </c>
      <c r="O66" s="23">
        <f ca="1">MONTH(Table_complete_valeur[[#This Row],[Dive_Date]])</f>
        <v>1</v>
      </c>
      <c r="P66" s="23">
        <f ca="1">HOUR(Table_complete_valeur[[#This Row],[Time]])</f>
        <v>0</v>
      </c>
      <c r="Q66" s="25" t="str">
        <f ca="1">IF(Table_complete_valeur[[#This Row],[Dive_Hour]]&lt;12,"Morning","Afternoon")</f>
        <v>Morning</v>
      </c>
      <c r="R66" s="25">
        <f ca="1">VLOOKUP([Dive_Date],Moon_age[],2,FALSE)</f>
        <v>28</v>
      </c>
      <c r="S66" s="25" t="str">
        <f t="shared" ref="S66:S97" ca="1" si="5">IF(R66=0,"New Moon",IF(R66=7,"First Quarter",IF(R66=15,"Full Moon",IF(R66=22,"Last Quarter",""))))</f>
        <v/>
      </c>
      <c r="T66" s="26" t="s">
        <v>9</v>
      </c>
      <c r="U66" s="25"/>
      <c r="V66" s="23" t="s">
        <v>281</v>
      </c>
      <c r="W66" s="27">
        <v>65</v>
      </c>
      <c r="X66" s="24">
        <v>55</v>
      </c>
      <c r="Y66" s="27" t="s">
        <v>22</v>
      </c>
      <c r="Z66" s="27" t="s">
        <v>55</v>
      </c>
      <c r="AA66" s="27"/>
      <c r="AB66" s="27"/>
      <c r="AC66" s="27"/>
      <c r="AD66" s="27"/>
      <c r="AE66" s="27"/>
      <c r="AF66" s="120"/>
      <c r="AG66" s="119"/>
      <c r="AH66" s="124" t="str">
        <f t="shared" ca="1" si="2"/>
        <v/>
      </c>
      <c r="AI66" s="118" t="str">
        <f t="shared" ref="AI66:AI97" ca="1" si="6">IF(AG66="","",IF(AG66&lt;250,"TL &lt; 250",IF(AG66&lt;300,"250 &lt; TL &lt; 300",IF(AG66&lt;350,"300 &lt; TL &lt; 350",IF(AG66&lt;400,"350 &lt; TL &lt; 400",IF(AG66&gt;400,"TL &gt; 400",""))))))</f>
        <v/>
      </c>
      <c r="AJ66" s="27" t="s">
        <v>65</v>
      </c>
      <c r="AK66" s="28"/>
      <c r="AL66" s="28" t="s">
        <v>282</v>
      </c>
    </row>
    <row r="67" spans="1:38">
      <c r="A67" s="107">
        <v>30</v>
      </c>
      <c r="B67" s="21">
        <v>43854</v>
      </c>
      <c r="C67" s="108">
        <v>0.64583333333333337</v>
      </c>
      <c r="D67" s="22" t="s">
        <v>127</v>
      </c>
      <c r="E67" s="23">
        <v>60</v>
      </c>
      <c r="F67" s="23" t="s">
        <v>128</v>
      </c>
      <c r="G67" s="23">
        <v>4</v>
      </c>
      <c r="H67" s="25" t="s">
        <v>2</v>
      </c>
      <c r="I67" s="25" t="s">
        <v>1</v>
      </c>
      <c r="J67" s="23">
        <f ca="1">VLOOKUP([Dive_Date],Tidal_coeficient[],2,FALSE)</f>
        <v>81</v>
      </c>
      <c r="K67" s="23">
        <v>4</v>
      </c>
      <c r="L67" s="24">
        <v>29</v>
      </c>
      <c r="M67" s="23">
        <f ca="1">YEAR(Table_complete_valeur[[#This Row],[Dive_Date]])</f>
        <v>2020</v>
      </c>
      <c r="N67" s="23">
        <f ca="1">DAY(Table_complete_valeur[[#This Row],[Dive_Date]])</f>
        <v>24</v>
      </c>
      <c r="O67" s="23">
        <f ca="1">MONTH(Table_complete_valeur[[#This Row],[Dive_Date]])</f>
        <v>1</v>
      </c>
      <c r="P67" s="23">
        <f ca="1">HOUR(Table_complete_valeur[[#This Row],[Time]])</f>
        <v>15</v>
      </c>
      <c r="Q67" s="25" t="str">
        <f ca="1">IF(Table_complete_valeur[[#This Row],[Dive_Hour]]&lt;12,"Morning","Afternoon")</f>
        <v>Afternoon</v>
      </c>
      <c r="R67" s="25">
        <f ca="1">VLOOKUP([Dive_Date],Moon_age[],2,FALSE)</f>
        <v>28</v>
      </c>
      <c r="S67" s="25" t="str">
        <f t="shared" ca="1" si="5"/>
        <v/>
      </c>
      <c r="T67" s="26" t="s">
        <v>9</v>
      </c>
      <c r="U67" s="25"/>
      <c r="V67" s="31" t="s">
        <v>303</v>
      </c>
      <c r="W67" s="27">
        <v>66</v>
      </c>
      <c r="X67" s="24">
        <v>45</v>
      </c>
      <c r="Y67" s="27" t="s">
        <v>22</v>
      </c>
      <c r="Z67" s="27" t="s">
        <v>4</v>
      </c>
      <c r="AA67" s="27"/>
      <c r="AB67" s="27"/>
      <c r="AC67" s="27"/>
      <c r="AD67" s="27"/>
      <c r="AE67" s="27"/>
      <c r="AF67" s="120"/>
      <c r="AG67" s="119"/>
      <c r="AH67" s="124" t="str">
        <f t="shared" ref="AH67:AH129" ca="1" si="7">IF(AF67="","",IF(AF67&lt;250,"TL &lt; 250",IF(AF67&lt;300,"250 &lt; TL &lt; 300",IF(AF67&lt;350,"300 &lt; TL &lt; 350",IF(AF67&lt;400,"350 &lt; TL &lt; 400",IF(AF67&gt;400,"TL &gt; 400",""))))))</f>
        <v/>
      </c>
      <c r="AI67" s="118" t="str">
        <f t="shared" ca="1" si="6"/>
        <v/>
      </c>
      <c r="AJ67" s="27"/>
      <c r="AK67" s="28"/>
      <c r="AL67" s="28"/>
    </row>
    <row r="68" spans="1:38">
      <c r="A68" s="107">
        <v>31</v>
      </c>
      <c r="B68" s="21">
        <v>43855</v>
      </c>
      <c r="C68" s="108">
        <v>0.64583333333333337</v>
      </c>
      <c r="D68" s="22" t="s">
        <v>79</v>
      </c>
      <c r="E68" s="23">
        <v>60</v>
      </c>
      <c r="F68" s="23" t="s">
        <v>128</v>
      </c>
      <c r="G68" s="23">
        <v>6</v>
      </c>
      <c r="H68" s="25" t="s">
        <v>2</v>
      </c>
      <c r="I68" s="25" t="s">
        <v>1</v>
      </c>
      <c r="J68" s="23">
        <f ca="1">VLOOKUP([Dive_Date],Tidal_coeficient[],2,FALSE)</f>
        <v>82</v>
      </c>
      <c r="K68" s="23">
        <v>4</v>
      </c>
      <c r="L68" s="24">
        <v>29</v>
      </c>
      <c r="M68" s="23">
        <f ca="1">YEAR(Table_complete_valeur[[#This Row],[Dive_Date]])</f>
        <v>2020</v>
      </c>
      <c r="N68" s="23">
        <f ca="1">DAY(Table_complete_valeur[[#This Row],[Dive_Date]])</f>
        <v>25</v>
      </c>
      <c r="O68" s="23">
        <f ca="1">MONTH(Table_complete_valeur[[#This Row],[Dive_Date]])</f>
        <v>1</v>
      </c>
      <c r="P68" s="23">
        <f ca="1">HOUR(Table_complete_valeur[[#This Row],[Time]])</f>
        <v>15</v>
      </c>
      <c r="Q68" s="25" t="str">
        <f ca="1">IF(Table_complete_valeur[[#This Row],[Dive_Hour]]&lt;12,"Morning","Afternoon")</f>
        <v>Afternoon</v>
      </c>
      <c r="R68" s="25">
        <f ca="1">VLOOKUP([Dive_Date],Moon_age[],2,FALSE)</f>
        <v>0</v>
      </c>
      <c r="S68" s="25" t="str">
        <f t="shared" ca="1" si="5"/>
        <v>New Moon</v>
      </c>
      <c r="T68" s="26" t="s">
        <v>9</v>
      </c>
      <c r="U68" s="25" t="s">
        <v>416</v>
      </c>
      <c r="V68" s="23" t="s">
        <v>239</v>
      </c>
      <c r="W68" s="27">
        <v>67</v>
      </c>
      <c r="X68" s="24">
        <v>45</v>
      </c>
      <c r="Y68" s="27" t="s">
        <v>22</v>
      </c>
      <c r="Z68" s="27" t="s">
        <v>4</v>
      </c>
      <c r="AA68" s="27">
        <v>30</v>
      </c>
      <c r="AB68" s="27">
        <v>205</v>
      </c>
      <c r="AC68" s="27">
        <v>230</v>
      </c>
      <c r="AD68" s="27"/>
      <c r="AE68" s="27">
        <v>41</v>
      </c>
      <c r="AF68" s="120">
        <v>275</v>
      </c>
      <c r="AG68" s="119">
        <f ca="1">1.29*Table_complete_valeur[[#This Row],[LF]]+3.58</f>
        <v>300.27999999999997</v>
      </c>
      <c r="AH68" s="133" t="str">
        <f t="shared" ca="1" si="7"/>
        <v>250 &lt; TL &lt; 300</v>
      </c>
      <c r="AI68" s="132" t="str">
        <f t="shared" ca="1" si="6"/>
        <v>300 &lt; TL &lt; 350</v>
      </c>
      <c r="AJ68" s="27" t="s">
        <v>66</v>
      </c>
      <c r="AK68" s="28"/>
      <c r="AL68" s="28" t="s">
        <v>156</v>
      </c>
    </row>
    <row r="69" spans="1:38">
      <c r="A69" s="107">
        <v>31</v>
      </c>
      <c r="B69" s="21">
        <v>43855</v>
      </c>
      <c r="C69" s="108">
        <v>0.64583333333333337</v>
      </c>
      <c r="D69" s="22" t="s">
        <v>79</v>
      </c>
      <c r="E69" s="23">
        <v>60</v>
      </c>
      <c r="F69" s="23" t="s">
        <v>128</v>
      </c>
      <c r="G69" s="23">
        <v>6</v>
      </c>
      <c r="H69" s="25" t="s">
        <v>2</v>
      </c>
      <c r="I69" s="25" t="s">
        <v>1</v>
      </c>
      <c r="J69" s="23">
        <f ca="1">VLOOKUP([Dive_Date],Tidal_coeficient[],2,FALSE)</f>
        <v>82</v>
      </c>
      <c r="K69" s="23">
        <v>4</v>
      </c>
      <c r="L69" s="24">
        <v>29</v>
      </c>
      <c r="M69" s="23">
        <f ca="1">YEAR(Table_complete_valeur[[#This Row],[Dive_Date]])</f>
        <v>2020</v>
      </c>
      <c r="N69" s="23">
        <f ca="1">DAY(Table_complete_valeur[[#This Row],[Dive_Date]])</f>
        <v>25</v>
      </c>
      <c r="O69" s="23">
        <f ca="1">MONTH(Table_complete_valeur[[#This Row],[Dive_Date]])</f>
        <v>1</v>
      </c>
      <c r="P69" s="23">
        <f ca="1">HOUR(Table_complete_valeur[[#This Row],[Time]])</f>
        <v>15</v>
      </c>
      <c r="Q69" s="25" t="str">
        <f ca="1">IF(Table_complete_valeur[[#This Row],[Dive_Hour]]&lt;12,"Morning","Afternoon")</f>
        <v>Afternoon</v>
      </c>
      <c r="R69" s="25">
        <f ca="1">VLOOKUP([Dive_Date],Moon_age[],2,FALSE)</f>
        <v>0</v>
      </c>
      <c r="S69" s="25" t="str">
        <f t="shared" ca="1" si="5"/>
        <v>New Moon</v>
      </c>
      <c r="T69" s="26" t="s">
        <v>9</v>
      </c>
      <c r="U69" s="25"/>
      <c r="V69" s="23" t="s">
        <v>240</v>
      </c>
      <c r="W69" s="27">
        <v>68</v>
      </c>
      <c r="X69" s="24">
        <v>15</v>
      </c>
      <c r="Y69" s="27" t="s">
        <v>24</v>
      </c>
      <c r="Z69" s="27" t="s">
        <v>4</v>
      </c>
      <c r="AA69" s="27"/>
      <c r="AB69" s="27"/>
      <c r="AC69" s="27"/>
      <c r="AD69" s="27"/>
      <c r="AE69" s="27"/>
      <c r="AF69" s="120"/>
      <c r="AG69" s="119"/>
      <c r="AH69" s="124" t="str">
        <f t="shared" ca="1" si="7"/>
        <v/>
      </c>
      <c r="AI69" s="118" t="str">
        <f t="shared" ca="1" si="6"/>
        <v/>
      </c>
      <c r="AJ69" s="27" t="s">
        <v>65</v>
      </c>
      <c r="AK69" s="28"/>
      <c r="AL69" s="28" t="s">
        <v>157</v>
      </c>
    </row>
    <row r="70" spans="1:38">
      <c r="A70" s="107">
        <v>32</v>
      </c>
      <c r="B70" s="21">
        <v>43855</v>
      </c>
      <c r="C70" s="22">
        <v>0.63541666666666663</v>
      </c>
      <c r="D70" s="22" t="s">
        <v>90</v>
      </c>
      <c r="E70" s="23">
        <v>180</v>
      </c>
      <c r="F70" s="23" t="s">
        <v>17</v>
      </c>
      <c r="G70" s="23">
        <v>3</v>
      </c>
      <c r="H70" s="25" t="s">
        <v>2</v>
      </c>
      <c r="I70" s="25" t="s">
        <v>1</v>
      </c>
      <c r="J70" s="23">
        <f ca="1">VLOOKUP([Dive_Date],Tidal_coeficient[],2,FALSE)</f>
        <v>82</v>
      </c>
      <c r="K70" s="23">
        <v>3.5</v>
      </c>
      <c r="L70" s="24">
        <v>29</v>
      </c>
      <c r="M70" s="23">
        <f ca="1">YEAR(Table_complete_valeur[[#This Row],[Dive_Date]])</f>
        <v>2020</v>
      </c>
      <c r="N70" s="23">
        <f ca="1">DAY(Table_complete_valeur[[#This Row],[Dive_Date]])</f>
        <v>25</v>
      </c>
      <c r="O70" s="23">
        <f ca="1">MONTH(Table_complete_valeur[[#This Row],[Dive_Date]])</f>
        <v>1</v>
      </c>
      <c r="P70" s="23">
        <f ca="1">HOUR(Table_complete_valeur[[#This Row],[Time]])</f>
        <v>15</v>
      </c>
      <c r="Q70" s="25" t="str">
        <f ca="1">IF(Table_complete_valeur[[#This Row],[Dive_Hour]]&lt;12,"Morning","Afternoon")</f>
        <v>Afternoon</v>
      </c>
      <c r="R70" s="25">
        <f ca="1">VLOOKUP([Dive_Date],Moon_age[],2,FALSE)</f>
        <v>0</v>
      </c>
      <c r="S70" s="25" t="str">
        <f t="shared" ca="1" si="5"/>
        <v>New Moon</v>
      </c>
      <c r="T70" s="26" t="s">
        <v>9</v>
      </c>
      <c r="U70" s="25"/>
      <c r="V70" s="23" t="s">
        <v>241</v>
      </c>
      <c r="W70" s="27">
        <v>69</v>
      </c>
      <c r="X70" s="24">
        <v>60</v>
      </c>
      <c r="Y70" s="27" t="s">
        <v>21</v>
      </c>
      <c r="Z70" s="27" t="s">
        <v>4</v>
      </c>
      <c r="AA70" s="27"/>
      <c r="AB70" s="27"/>
      <c r="AC70" s="27"/>
      <c r="AD70" s="27"/>
      <c r="AE70" s="27"/>
      <c r="AF70" s="120"/>
      <c r="AG70" s="119"/>
      <c r="AH70" s="124" t="str">
        <f t="shared" ca="1" si="7"/>
        <v/>
      </c>
      <c r="AI70" s="118" t="str">
        <f t="shared" ca="1" si="6"/>
        <v/>
      </c>
      <c r="AJ70" s="27" t="s">
        <v>66</v>
      </c>
      <c r="AK70" s="28"/>
      <c r="AL70" s="28" t="s">
        <v>238</v>
      </c>
    </row>
    <row r="71" spans="1:38">
      <c r="A71" s="107">
        <v>32</v>
      </c>
      <c r="B71" s="21">
        <v>43855</v>
      </c>
      <c r="C71" s="22">
        <v>0.63541666666666663</v>
      </c>
      <c r="D71" s="22" t="s">
        <v>90</v>
      </c>
      <c r="E71" s="23">
        <v>180</v>
      </c>
      <c r="F71" s="23" t="s">
        <v>17</v>
      </c>
      <c r="G71" s="23">
        <v>3</v>
      </c>
      <c r="H71" s="25" t="s">
        <v>2</v>
      </c>
      <c r="I71" s="25" t="s">
        <v>1</v>
      </c>
      <c r="J71" s="23">
        <f ca="1">VLOOKUP([Dive_Date],Tidal_coeficient[],2,FALSE)</f>
        <v>82</v>
      </c>
      <c r="K71" s="23">
        <v>3.5</v>
      </c>
      <c r="L71" s="24">
        <v>29</v>
      </c>
      <c r="M71" s="23">
        <f ca="1">YEAR(Table_complete_valeur[[#This Row],[Dive_Date]])</f>
        <v>2020</v>
      </c>
      <c r="N71" s="23">
        <f ca="1">DAY(Table_complete_valeur[[#This Row],[Dive_Date]])</f>
        <v>25</v>
      </c>
      <c r="O71" s="23">
        <f ca="1">MONTH(Table_complete_valeur[[#This Row],[Dive_Date]])</f>
        <v>1</v>
      </c>
      <c r="P71" s="23">
        <f ca="1">HOUR(Table_complete_valeur[[#This Row],[Time]])</f>
        <v>15</v>
      </c>
      <c r="Q71" s="25" t="str">
        <f ca="1">IF(Table_complete_valeur[[#This Row],[Dive_Hour]]&lt;12,"Morning","Afternoon")</f>
        <v>Afternoon</v>
      </c>
      <c r="R71" s="25">
        <f ca="1">VLOOKUP([Dive_Date],Moon_age[],2,FALSE)</f>
        <v>0</v>
      </c>
      <c r="S71" s="25" t="str">
        <f t="shared" ca="1" si="5"/>
        <v>New Moon</v>
      </c>
      <c r="T71" s="26" t="s">
        <v>9</v>
      </c>
      <c r="U71" s="25" t="s">
        <v>421</v>
      </c>
      <c r="V71" s="23" t="s">
        <v>242</v>
      </c>
      <c r="W71" s="27">
        <v>70</v>
      </c>
      <c r="X71" s="24">
        <v>55</v>
      </c>
      <c r="Y71" s="27" t="s">
        <v>22</v>
      </c>
      <c r="Z71" s="27" t="s">
        <v>4</v>
      </c>
      <c r="AA71" s="27">
        <v>50</v>
      </c>
      <c r="AB71" s="27">
        <v>199</v>
      </c>
      <c r="AC71" s="27">
        <v>228</v>
      </c>
      <c r="AD71" s="27">
        <v>62</v>
      </c>
      <c r="AE71" s="27">
        <v>45</v>
      </c>
      <c r="AF71" s="120">
        <v>305</v>
      </c>
      <c r="AG71" s="119">
        <f ca="1">1.29*Table_complete_valeur[[#This Row],[LF]]+3.58</f>
        <v>297.7</v>
      </c>
      <c r="AH71" s="131" t="str">
        <f t="shared" ca="1" si="7"/>
        <v>300 &lt; TL &lt; 350</v>
      </c>
      <c r="AI71" s="134" t="str">
        <f t="shared" ca="1" si="6"/>
        <v>250 &lt; TL &lt; 300</v>
      </c>
      <c r="AJ71" s="27" t="s">
        <v>66</v>
      </c>
      <c r="AK71" s="28"/>
      <c r="AL71" s="28" t="s">
        <v>250</v>
      </c>
    </row>
    <row r="72" spans="1:38">
      <c r="A72" s="107">
        <v>32</v>
      </c>
      <c r="B72" s="21">
        <v>43855</v>
      </c>
      <c r="C72" s="22">
        <v>0.63541666666666663</v>
      </c>
      <c r="D72" s="22" t="s">
        <v>90</v>
      </c>
      <c r="E72" s="23">
        <v>180</v>
      </c>
      <c r="F72" s="23" t="s">
        <v>17</v>
      </c>
      <c r="G72" s="23">
        <v>3</v>
      </c>
      <c r="H72" s="25" t="s">
        <v>2</v>
      </c>
      <c r="I72" s="25" t="s">
        <v>1</v>
      </c>
      <c r="J72" s="23">
        <f ca="1">VLOOKUP([Dive_Date],Tidal_coeficient[],2,FALSE)</f>
        <v>82</v>
      </c>
      <c r="K72" s="23">
        <v>3.5</v>
      </c>
      <c r="L72" s="24">
        <v>29</v>
      </c>
      <c r="M72" s="23">
        <f ca="1">YEAR(Table_complete_valeur[[#This Row],[Dive_Date]])</f>
        <v>2020</v>
      </c>
      <c r="N72" s="23">
        <f ca="1">DAY(Table_complete_valeur[[#This Row],[Dive_Date]])</f>
        <v>25</v>
      </c>
      <c r="O72" s="23">
        <f ca="1">MONTH(Table_complete_valeur[[#This Row],[Dive_Date]])</f>
        <v>1</v>
      </c>
      <c r="P72" s="23">
        <f ca="1">HOUR(Table_complete_valeur[[#This Row],[Time]])</f>
        <v>15</v>
      </c>
      <c r="Q72" s="25" t="str">
        <f ca="1">IF(Table_complete_valeur[[#This Row],[Dive_Hour]]&lt;12,"Morning","Afternoon")</f>
        <v>Afternoon</v>
      </c>
      <c r="R72" s="25">
        <f ca="1">VLOOKUP([Dive_Date],Moon_age[],2,FALSE)</f>
        <v>0</v>
      </c>
      <c r="S72" s="25" t="str">
        <f t="shared" ca="1" si="5"/>
        <v>New Moon</v>
      </c>
      <c r="T72" s="26" t="s">
        <v>9</v>
      </c>
      <c r="U72" s="23" t="s">
        <v>422</v>
      </c>
      <c r="V72" s="23" t="s">
        <v>243</v>
      </c>
      <c r="W72" s="27">
        <v>71</v>
      </c>
      <c r="X72" s="24">
        <v>55</v>
      </c>
      <c r="Y72" s="27" t="s">
        <v>22</v>
      </c>
      <c r="Z72" s="27" t="s">
        <v>4</v>
      </c>
      <c r="AA72" s="27">
        <v>50</v>
      </c>
      <c r="AB72" s="27">
        <v>227</v>
      </c>
      <c r="AC72" s="27">
        <v>254</v>
      </c>
      <c r="AD72" s="27">
        <v>73</v>
      </c>
      <c r="AE72" s="27">
        <v>52</v>
      </c>
      <c r="AF72" s="120">
        <v>312</v>
      </c>
      <c r="AG72" s="119">
        <f ca="1">1.29*Table_complete_valeur[[#This Row],[LF]]+3.58</f>
        <v>331.24</v>
      </c>
      <c r="AH72" s="131" t="str">
        <f t="shared" ca="1" si="7"/>
        <v>300 &lt; TL &lt; 350</v>
      </c>
      <c r="AI72" s="132" t="str">
        <f t="shared" ca="1" si="6"/>
        <v>300 &lt; TL &lt; 350</v>
      </c>
      <c r="AJ72" s="27" t="s">
        <v>66</v>
      </c>
      <c r="AK72" s="28"/>
      <c r="AL72" s="28" t="s">
        <v>250</v>
      </c>
    </row>
    <row r="73" spans="1:38">
      <c r="A73" s="107">
        <v>32</v>
      </c>
      <c r="B73" s="21">
        <v>43855</v>
      </c>
      <c r="C73" s="22">
        <v>0.63541666666666663</v>
      </c>
      <c r="D73" s="22" t="s">
        <v>90</v>
      </c>
      <c r="E73" s="23">
        <v>180</v>
      </c>
      <c r="F73" s="23" t="s">
        <v>17</v>
      </c>
      <c r="G73" s="23">
        <v>3</v>
      </c>
      <c r="H73" s="25" t="s">
        <v>2</v>
      </c>
      <c r="I73" s="25" t="s">
        <v>1</v>
      </c>
      <c r="J73" s="23">
        <f ca="1">VLOOKUP([Dive_Date],Tidal_coeficient[],2,FALSE)</f>
        <v>82</v>
      </c>
      <c r="K73" s="23">
        <v>3.5</v>
      </c>
      <c r="L73" s="24">
        <v>29</v>
      </c>
      <c r="M73" s="23">
        <f ca="1">YEAR(Table_complete_valeur[[#This Row],[Dive_Date]])</f>
        <v>2020</v>
      </c>
      <c r="N73" s="23">
        <f ca="1">DAY(Table_complete_valeur[[#This Row],[Dive_Date]])</f>
        <v>25</v>
      </c>
      <c r="O73" s="23">
        <f ca="1">MONTH(Table_complete_valeur[[#This Row],[Dive_Date]])</f>
        <v>1</v>
      </c>
      <c r="P73" s="23">
        <f ca="1">HOUR(Table_complete_valeur[[#This Row],[Time]])</f>
        <v>15</v>
      </c>
      <c r="Q73" s="25" t="str">
        <f ca="1">IF(Table_complete_valeur[[#This Row],[Dive_Hour]]&lt;12,"Morning","Afternoon")</f>
        <v>Afternoon</v>
      </c>
      <c r="R73" s="25">
        <f ca="1">VLOOKUP([Dive_Date],Moon_age[],2,FALSE)</f>
        <v>0</v>
      </c>
      <c r="S73" s="25" t="str">
        <f t="shared" ca="1" si="5"/>
        <v>New Moon</v>
      </c>
      <c r="T73" s="26" t="s">
        <v>9</v>
      </c>
      <c r="U73" s="25" t="s">
        <v>423</v>
      </c>
      <c r="V73" s="23" t="s">
        <v>244</v>
      </c>
      <c r="W73" s="27">
        <v>72</v>
      </c>
      <c r="X73" s="24">
        <v>55</v>
      </c>
      <c r="Y73" s="27" t="s">
        <v>22</v>
      </c>
      <c r="Z73" s="27" t="s">
        <v>4</v>
      </c>
      <c r="AA73" s="27">
        <v>50</v>
      </c>
      <c r="AB73" s="27">
        <v>174</v>
      </c>
      <c r="AC73" s="92">
        <v>191</v>
      </c>
      <c r="AD73" s="27">
        <v>67</v>
      </c>
      <c r="AE73" s="27">
        <v>38</v>
      </c>
      <c r="AF73" s="120">
        <v>236</v>
      </c>
      <c r="AG73" s="119">
        <f ca="1">1.29*Table_complete_valeur[[#This Row],[LF]]+3.58</f>
        <v>249.97000000000003</v>
      </c>
      <c r="AH73" s="135" t="str">
        <f t="shared" ca="1" si="7"/>
        <v>TL &lt; 250</v>
      </c>
      <c r="AI73" s="136" t="str">
        <f t="shared" ca="1" si="6"/>
        <v>TL &lt; 250</v>
      </c>
      <c r="AJ73" s="27" t="s">
        <v>66</v>
      </c>
      <c r="AK73" s="28"/>
      <c r="AL73" s="28" t="s">
        <v>250</v>
      </c>
    </row>
    <row r="74" spans="1:38">
      <c r="A74" s="107">
        <v>32</v>
      </c>
      <c r="B74" s="21">
        <v>43855</v>
      </c>
      <c r="C74" s="22">
        <v>0.63541666666666663</v>
      </c>
      <c r="D74" s="22" t="s">
        <v>90</v>
      </c>
      <c r="E74" s="23">
        <v>180</v>
      </c>
      <c r="F74" s="23" t="s">
        <v>17</v>
      </c>
      <c r="G74" s="23">
        <v>3</v>
      </c>
      <c r="H74" s="25" t="s">
        <v>2</v>
      </c>
      <c r="I74" s="25" t="s">
        <v>1</v>
      </c>
      <c r="J74" s="23">
        <f ca="1">VLOOKUP([Dive_Date],Tidal_coeficient[],2,FALSE)</f>
        <v>82</v>
      </c>
      <c r="K74" s="23">
        <v>3.5</v>
      </c>
      <c r="L74" s="24">
        <v>29</v>
      </c>
      <c r="M74" s="23">
        <f ca="1">YEAR(Table_complete_valeur[[#This Row],[Dive_Date]])</f>
        <v>2020</v>
      </c>
      <c r="N74" s="23">
        <f ca="1">DAY(Table_complete_valeur[[#This Row],[Dive_Date]])</f>
        <v>25</v>
      </c>
      <c r="O74" s="23">
        <f ca="1">MONTH(Table_complete_valeur[[#This Row],[Dive_Date]])</f>
        <v>1</v>
      </c>
      <c r="P74" s="23">
        <f ca="1">HOUR(Table_complete_valeur[[#This Row],[Time]])</f>
        <v>15</v>
      </c>
      <c r="Q74" s="25" t="str">
        <f ca="1">IF(Table_complete_valeur[[#This Row],[Dive_Hour]]&lt;12,"Morning","Afternoon")</f>
        <v>Afternoon</v>
      </c>
      <c r="R74" s="25">
        <f ca="1">VLOOKUP([Dive_Date],Moon_age[],2,FALSE)</f>
        <v>0</v>
      </c>
      <c r="S74" s="25" t="str">
        <f t="shared" ca="1" si="5"/>
        <v>New Moon</v>
      </c>
      <c r="T74" s="26" t="s">
        <v>9</v>
      </c>
      <c r="U74" s="25" t="s">
        <v>424</v>
      </c>
      <c r="V74" s="23" t="s">
        <v>245</v>
      </c>
      <c r="W74" s="27">
        <v>73</v>
      </c>
      <c r="X74" s="24">
        <v>55</v>
      </c>
      <c r="Y74" s="27" t="s">
        <v>22</v>
      </c>
      <c r="Z74" s="27" t="s">
        <v>4</v>
      </c>
      <c r="AA74" s="27">
        <v>50</v>
      </c>
      <c r="AB74" s="27">
        <v>182</v>
      </c>
      <c r="AC74" s="27">
        <v>196</v>
      </c>
      <c r="AD74" s="27"/>
      <c r="AE74" s="27">
        <v>40</v>
      </c>
      <c r="AF74" s="120">
        <v>253</v>
      </c>
      <c r="AG74" s="119">
        <f ca="1">1.29*Table_complete_valeur[[#This Row],[LF]]+3.58</f>
        <v>256.42</v>
      </c>
      <c r="AH74" s="133" t="str">
        <f t="shared" ca="1" si="7"/>
        <v>250 &lt; TL &lt; 300</v>
      </c>
      <c r="AI74" s="134" t="str">
        <f t="shared" ca="1" si="6"/>
        <v>250 &lt; TL &lt; 300</v>
      </c>
      <c r="AJ74" s="27" t="s">
        <v>66</v>
      </c>
      <c r="AK74" s="28"/>
      <c r="AL74" s="28" t="s">
        <v>250</v>
      </c>
    </row>
    <row r="75" spans="1:38">
      <c r="A75" s="107">
        <v>32</v>
      </c>
      <c r="B75" s="21">
        <v>43855</v>
      </c>
      <c r="C75" s="22">
        <v>0.63541666666666663</v>
      </c>
      <c r="D75" s="22" t="s">
        <v>90</v>
      </c>
      <c r="E75" s="23">
        <v>180</v>
      </c>
      <c r="F75" s="23" t="s">
        <v>17</v>
      </c>
      <c r="G75" s="23">
        <v>3</v>
      </c>
      <c r="H75" s="25" t="s">
        <v>2</v>
      </c>
      <c r="I75" s="25" t="s">
        <v>1</v>
      </c>
      <c r="J75" s="23">
        <f ca="1">VLOOKUP([Dive_Date],Tidal_coeficient[],2,FALSE)</f>
        <v>82</v>
      </c>
      <c r="K75" s="23">
        <v>3.5</v>
      </c>
      <c r="L75" s="24">
        <v>29</v>
      </c>
      <c r="M75" s="25">
        <f ca="1">YEAR(Table_complete_valeur[[#This Row],[Dive_Date]])</f>
        <v>2020</v>
      </c>
      <c r="N75" s="25">
        <f ca="1">DAY(Table_complete_valeur[[#This Row],[Dive_Date]])</f>
        <v>25</v>
      </c>
      <c r="O75" s="25">
        <f ca="1">MONTH(Table_complete_valeur[[#This Row],[Dive_Date]])</f>
        <v>1</v>
      </c>
      <c r="P75" s="25">
        <f ca="1">HOUR(Table_complete_valeur[[#This Row],[Time]])</f>
        <v>15</v>
      </c>
      <c r="Q75" s="25" t="str">
        <f ca="1">IF(Table_complete_valeur[[#This Row],[Dive_Hour]]&lt;12,"Morning","Afternoon")</f>
        <v>Afternoon</v>
      </c>
      <c r="R75" s="25">
        <f ca="1">VLOOKUP([Dive_Date],Moon_age[],2,FALSE)</f>
        <v>0</v>
      </c>
      <c r="S75" s="25" t="str">
        <f t="shared" ca="1" si="5"/>
        <v>New Moon</v>
      </c>
      <c r="T75" s="26" t="s">
        <v>9</v>
      </c>
      <c r="U75" s="25" t="s">
        <v>425</v>
      </c>
      <c r="V75" s="23" t="s">
        <v>246</v>
      </c>
      <c r="W75" s="27">
        <v>74</v>
      </c>
      <c r="X75" s="24">
        <v>55</v>
      </c>
      <c r="Y75" s="27" t="s">
        <v>22</v>
      </c>
      <c r="Z75" s="27" t="s">
        <v>4</v>
      </c>
      <c r="AA75" s="27">
        <v>50</v>
      </c>
      <c r="AB75" s="30">
        <v>214</v>
      </c>
      <c r="AC75" s="30">
        <v>234</v>
      </c>
      <c r="AD75" s="40"/>
      <c r="AE75" s="40">
        <v>49</v>
      </c>
      <c r="AF75" s="124">
        <v>292</v>
      </c>
      <c r="AG75" s="118">
        <f ca="1">1.29*Table_complete_valeur[[#This Row],[LF]]+3.58</f>
        <v>305.44</v>
      </c>
      <c r="AH75" s="133" t="str">
        <f t="shared" ca="1" si="7"/>
        <v>250 &lt; TL &lt; 300</v>
      </c>
      <c r="AI75" s="132" t="str">
        <f t="shared" ca="1" si="6"/>
        <v>300 &lt; TL &lt; 350</v>
      </c>
      <c r="AJ75" s="27" t="s">
        <v>66</v>
      </c>
      <c r="AK75" s="28"/>
      <c r="AL75" s="28" t="s">
        <v>250</v>
      </c>
    </row>
    <row r="76" spans="1:38">
      <c r="A76" s="107">
        <v>32</v>
      </c>
      <c r="B76" s="21">
        <v>43855</v>
      </c>
      <c r="C76" s="22">
        <v>0.63541666666666663</v>
      </c>
      <c r="D76" s="22" t="s">
        <v>90</v>
      </c>
      <c r="E76" s="23">
        <v>180</v>
      </c>
      <c r="F76" s="23" t="s">
        <v>17</v>
      </c>
      <c r="G76" s="23">
        <v>3</v>
      </c>
      <c r="H76" s="25" t="s">
        <v>2</v>
      </c>
      <c r="I76" s="25" t="s">
        <v>1</v>
      </c>
      <c r="J76" s="23">
        <f ca="1">VLOOKUP([Dive_Date],Tidal_coeficient[],2,FALSE)</f>
        <v>82</v>
      </c>
      <c r="K76" s="23">
        <v>3.5</v>
      </c>
      <c r="L76" s="24">
        <v>29</v>
      </c>
      <c r="M76" s="25">
        <f ca="1">YEAR(Table_complete_valeur[[#This Row],[Dive_Date]])</f>
        <v>2020</v>
      </c>
      <c r="N76" s="25">
        <f ca="1">DAY(Table_complete_valeur[[#This Row],[Dive_Date]])</f>
        <v>25</v>
      </c>
      <c r="O76" s="25">
        <f ca="1">MONTH(Table_complete_valeur[[#This Row],[Dive_Date]])</f>
        <v>1</v>
      </c>
      <c r="P76" s="25">
        <f ca="1">HOUR(Table_complete_valeur[[#This Row],[Time]])</f>
        <v>15</v>
      </c>
      <c r="Q76" s="25" t="str">
        <f ca="1">IF(Table_complete_valeur[[#This Row],[Dive_Hour]]&lt;12,"Morning","Afternoon")</f>
        <v>Afternoon</v>
      </c>
      <c r="R76" s="25">
        <f ca="1">VLOOKUP([Dive_Date],Moon_age[],2,FALSE)</f>
        <v>0</v>
      </c>
      <c r="S76" s="25" t="str">
        <f t="shared" ca="1" si="5"/>
        <v>New Moon</v>
      </c>
      <c r="T76" s="26" t="s">
        <v>9</v>
      </c>
      <c r="U76" s="25" t="s">
        <v>426</v>
      </c>
      <c r="V76" s="23" t="s">
        <v>247</v>
      </c>
      <c r="W76" s="27">
        <v>75</v>
      </c>
      <c r="X76" s="24">
        <v>55</v>
      </c>
      <c r="Y76" s="27" t="s">
        <v>22</v>
      </c>
      <c r="Z76" s="27" t="s">
        <v>4</v>
      </c>
      <c r="AA76" s="27">
        <v>50</v>
      </c>
      <c r="AB76" s="30">
        <v>173</v>
      </c>
      <c r="AC76" s="30">
        <v>184</v>
      </c>
      <c r="AD76" s="40"/>
      <c r="AE76" s="40">
        <v>42</v>
      </c>
      <c r="AF76" s="124">
        <v>242</v>
      </c>
      <c r="AG76" s="118">
        <f ca="1">1.29*Table_complete_valeur[[#This Row],[LF]]+3.58</f>
        <v>240.94000000000003</v>
      </c>
      <c r="AH76" s="144" t="str">
        <f ca="1">IF(AF76="","",IF(AF76&lt;250,"TL &lt; 250",IF(AF76&lt;300,"250 &lt; TL &lt; 300",IF(AF76&lt;350,"300 &lt; TL &lt; 350",IF(AF76&lt;400,"350 &lt; TL &lt; 400",IF(AF76&gt;400,"TL &gt; 400",""))))))</f>
        <v>TL &lt; 250</v>
      </c>
      <c r="AI76" s="145" t="str">
        <f ca="1">IF(AG76="","",IF(AG76&lt;250,"TL &lt; 250",IF(AG76&lt;300,"250 &lt; TL &lt; 300",IF(AG76&lt;350,"300 &lt; TL &lt; 350",IF(AG76&lt;400,"350 &lt; TL &lt; 400",IF(AG76&gt;400,"TL &gt; 400",""))))))</f>
        <v>TL &lt; 250</v>
      </c>
      <c r="AJ76" s="27" t="s">
        <v>66</v>
      </c>
      <c r="AK76" s="28"/>
      <c r="AL76" s="28" t="s">
        <v>250</v>
      </c>
    </row>
    <row r="77" spans="1:38">
      <c r="A77" s="107">
        <v>32</v>
      </c>
      <c r="B77" s="21">
        <v>43855</v>
      </c>
      <c r="C77" s="22">
        <v>0.63541666666666663</v>
      </c>
      <c r="D77" s="22" t="s">
        <v>90</v>
      </c>
      <c r="E77" s="23">
        <v>180</v>
      </c>
      <c r="F77" s="23" t="s">
        <v>17</v>
      </c>
      <c r="G77" s="23">
        <v>3</v>
      </c>
      <c r="H77" s="25" t="s">
        <v>2</v>
      </c>
      <c r="I77" s="25" t="s">
        <v>1</v>
      </c>
      <c r="J77" s="23">
        <f ca="1">VLOOKUP([Dive_Date],Tidal_coeficient[],2,FALSE)</f>
        <v>82</v>
      </c>
      <c r="K77" s="23">
        <v>3.5</v>
      </c>
      <c r="L77" s="24">
        <v>29</v>
      </c>
      <c r="M77" s="25">
        <f ca="1">YEAR(Table_complete_valeur[[#This Row],[Dive_Date]])</f>
        <v>2020</v>
      </c>
      <c r="N77" s="25">
        <f ca="1">DAY(Table_complete_valeur[[#This Row],[Dive_Date]])</f>
        <v>25</v>
      </c>
      <c r="O77" s="25">
        <f ca="1">MONTH(Table_complete_valeur[[#This Row],[Dive_Date]])</f>
        <v>1</v>
      </c>
      <c r="P77" s="25">
        <f ca="1">HOUR(Table_complete_valeur[[#This Row],[Time]])</f>
        <v>15</v>
      </c>
      <c r="Q77" s="25" t="str">
        <f ca="1">IF(Table_complete_valeur[[#This Row],[Dive_Hour]]&lt;12,"Morning","Afternoon")</f>
        <v>Afternoon</v>
      </c>
      <c r="R77" s="25">
        <f ca="1">VLOOKUP([Dive_Date],Moon_age[],2,FALSE)</f>
        <v>0</v>
      </c>
      <c r="S77" s="25" t="str">
        <f t="shared" ca="1" si="5"/>
        <v>New Moon</v>
      </c>
      <c r="T77" s="26" t="s">
        <v>9</v>
      </c>
      <c r="U77" s="25" t="s">
        <v>427</v>
      </c>
      <c r="V77" s="23" t="s">
        <v>248</v>
      </c>
      <c r="W77" s="27">
        <v>76</v>
      </c>
      <c r="X77" s="24">
        <v>55</v>
      </c>
      <c r="Y77" s="27" t="s">
        <v>22</v>
      </c>
      <c r="Z77" s="27" t="s">
        <v>4</v>
      </c>
      <c r="AA77" s="27">
        <v>50</v>
      </c>
      <c r="AB77" s="30">
        <v>186</v>
      </c>
      <c r="AC77" s="30">
        <v>202</v>
      </c>
      <c r="AD77" s="40">
        <v>70</v>
      </c>
      <c r="AE77" s="40">
        <v>41</v>
      </c>
      <c r="AF77" s="124">
        <v>261</v>
      </c>
      <c r="AG77" s="118">
        <f ca="1">1.29*Table_complete_valeur[[#This Row],[LF]]+3.58</f>
        <v>264.15999999999997</v>
      </c>
      <c r="AH77" s="133" t="str">
        <f t="shared" ca="1" si="7"/>
        <v>250 &lt; TL &lt; 300</v>
      </c>
      <c r="AI77" s="134" t="str">
        <f t="shared" ca="1" si="6"/>
        <v>250 &lt; TL &lt; 300</v>
      </c>
      <c r="AJ77" s="27" t="s">
        <v>66</v>
      </c>
      <c r="AK77" s="28"/>
      <c r="AL77" s="28" t="s">
        <v>250</v>
      </c>
    </row>
    <row r="78" spans="1:38" ht="17.25" customHeight="1">
      <c r="A78" s="107">
        <v>32</v>
      </c>
      <c r="B78" s="21">
        <v>43855</v>
      </c>
      <c r="C78" s="22">
        <v>0.63541666666666663</v>
      </c>
      <c r="D78" s="22" t="s">
        <v>90</v>
      </c>
      <c r="E78" s="23">
        <v>180</v>
      </c>
      <c r="F78" s="23" t="s">
        <v>17</v>
      </c>
      <c r="G78" s="23">
        <v>3</v>
      </c>
      <c r="H78" s="25" t="s">
        <v>2</v>
      </c>
      <c r="I78" s="25" t="s">
        <v>1</v>
      </c>
      <c r="J78" s="23">
        <f ca="1">VLOOKUP([Dive_Date],Tidal_coeficient[],2,FALSE)</f>
        <v>82</v>
      </c>
      <c r="K78" s="23">
        <v>3.5</v>
      </c>
      <c r="L78" s="24">
        <v>29</v>
      </c>
      <c r="M78" s="25">
        <f ca="1">YEAR(Table_complete_valeur[[#This Row],[Dive_Date]])</f>
        <v>2020</v>
      </c>
      <c r="N78" s="25">
        <f ca="1">DAY(Table_complete_valeur[[#This Row],[Dive_Date]])</f>
        <v>25</v>
      </c>
      <c r="O78" s="25">
        <f ca="1">MONTH(Table_complete_valeur[[#This Row],[Dive_Date]])</f>
        <v>1</v>
      </c>
      <c r="P78" s="25">
        <f ca="1">HOUR(Table_complete_valeur[[#This Row],[Time]])</f>
        <v>15</v>
      </c>
      <c r="Q78" s="25" t="str">
        <f ca="1">IF(Table_complete_valeur[[#This Row],[Dive_Hour]]&lt;12,"Morning","Afternoon")</f>
        <v>Afternoon</v>
      </c>
      <c r="R78" s="25">
        <f ca="1">VLOOKUP([Dive_Date],Moon_age[],2,FALSE)</f>
        <v>0</v>
      </c>
      <c r="S78" s="25" t="str">
        <f t="shared" ca="1" si="5"/>
        <v>New Moon</v>
      </c>
      <c r="T78" s="26" t="s">
        <v>9</v>
      </c>
      <c r="U78" s="25" t="s">
        <v>428</v>
      </c>
      <c r="V78" s="23" t="s">
        <v>249</v>
      </c>
      <c r="W78" s="27">
        <v>77</v>
      </c>
      <c r="X78" s="24">
        <v>55</v>
      </c>
      <c r="Y78" s="27" t="s">
        <v>22</v>
      </c>
      <c r="Z78" s="27" t="s">
        <v>4</v>
      </c>
      <c r="AA78" s="27">
        <v>50</v>
      </c>
      <c r="AB78" s="30"/>
      <c r="AC78" s="30"/>
      <c r="AD78" s="40"/>
      <c r="AE78" s="40">
        <v>41</v>
      </c>
      <c r="AF78" s="124"/>
      <c r="AG78" s="118"/>
      <c r="AH78" s="124" t="str">
        <f t="shared" ca="1" si="7"/>
        <v/>
      </c>
      <c r="AI78" s="118"/>
      <c r="AJ78" s="27" t="s">
        <v>66</v>
      </c>
      <c r="AK78" s="28" t="s">
        <v>429</v>
      </c>
      <c r="AL78" s="28" t="s">
        <v>250</v>
      </c>
    </row>
    <row r="79" spans="1:38">
      <c r="A79" s="107">
        <v>33</v>
      </c>
      <c r="B79" s="21">
        <v>43856</v>
      </c>
      <c r="C79" s="22">
        <v>0.64583333333333337</v>
      </c>
      <c r="D79" s="22" t="s">
        <v>90</v>
      </c>
      <c r="E79" s="23">
        <v>150</v>
      </c>
      <c r="F79" s="23" t="s">
        <v>17</v>
      </c>
      <c r="G79" s="23">
        <v>3</v>
      </c>
      <c r="H79" s="25" t="s">
        <v>2</v>
      </c>
      <c r="I79" s="25" t="s">
        <v>1</v>
      </c>
      <c r="J79" s="23">
        <f ca="1">VLOOKUP([Dive_Date],Tidal_coeficient[],2,FALSE)</f>
        <v>80</v>
      </c>
      <c r="K79" s="23">
        <v>3</v>
      </c>
      <c r="L79" s="24">
        <v>29</v>
      </c>
      <c r="M79" s="23">
        <f ca="1">YEAR(Table_complete_valeur[[#This Row],[Dive_Date]])</f>
        <v>2020</v>
      </c>
      <c r="N79" s="23">
        <f ca="1">DAY(Table_complete_valeur[[#This Row],[Dive_Date]])</f>
        <v>26</v>
      </c>
      <c r="O79" s="23">
        <f ca="1">MONTH(Table_complete_valeur[[#This Row],[Dive_Date]])</f>
        <v>1</v>
      </c>
      <c r="P79" s="23">
        <f ca="1">HOUR(Table_complete_valeur[[#This Row],[Time]])</f>
        <v>15</v>
      </c>
      <c r="Q79" s="25" t="str">
        <f ca="1">IF(Table_complete_valeur[[#This Row],[Dive_Hour]]&lt;12,"Morning","Afternoon")</f>
        <v>Afternoon</v>
      </c>
      <c r="R79" s="25">
        <f ca="1">VLOOKUP([Dive_Date],Moon_age[],2,FALSE)</f>
        <v>1</v>
      </c>
      <c r="S79" s="25" t="str">
        <f t="shared" ca="1" si="5"/>
        <v/>
      </c>
      <c r="T79" s="26" t="s">
        <v>9</v>
      </c>
      <c r="U79" s="25" t="s">
        <v>430</v>
      </c>
      <c r="V79" s="23" t="s">
        <v>276</v>
      </c>
      <c r="W79" s="27">
        <v>78</v>
      </c>
      <c r="X79" s="24">
        <v>55</v>
      </c>
      <c r="Y79" s="27" t="s">
        <v>22</v>
      </c>
      <c r="Z79" s="27" t="s">
        <v>4</v>
      </c>
      <c r="AA79" s="27">
        <v>50</v>
      </c>
      <c r="AB79" s="27">
        <v>204</v>
      </c>
      <c r="AC79" s="27">
        <v>226</v>
      </c>
      <c r="AD79" s="24"/>
      <c r="AE79" s="24">
        <v>44</v>
      </c>
      <c r="AF79" s="125">
        <v>280</v>
      </c>
      <c r="AG79" s="119">
        <f ca="1">1.29*Table_complete_valeur[[#This Row],[LF]]+3.58</f>
        <v>295.12</v>
      </c>
      <c r="AH79" s="133" t="str">
        <f t="shared" ca="1" si="7"/>
        <v>250 &lt; TL &lt; 300</v>
      </c>
      <c r="AI79" s="134" t="str">
        <f t="shared" ca="1" si="6"/>
        <v>250 &lt; TL &lt; 300</v>
      </c>
      <c r="AJ79" s="27" t="s">
        <v>66</v>
      </c>
      <c r="AK79" s="28" t="s">
        <v>462</v>
      </c>
      <c r="AL79" s="28" t="s">
        <v>293</v>
      </c>
    </row>
    <row r="80" spans="1:38">
      <c r="A80" s="107">
        <v>33</v>
      </c>
      <c r="B80" s="21">
        <v>43856</v>
      </c>
      <c r="C80" s="22">
        <v>0.64583333333333337</v>
      </c>
      <c r="D80" s="22" t="s">
        <v>90</v>
      </c>
      <c r="E80" s="23">
        <v>150</v>
      </c>
      <c r="F80" s="23" t="s">
        <v>17</v>
      </c>
      <c r="G80" s="23">
        <v>3</v>
      </c>
      <c r="H80" s="25" t="s">
        <v>2</v>
      </c>
      <c r="I80" s="25" t="s">
        <v>1</v>
      </c>
      <c r="J80" s="23">
        <f ca="1">VLOOKUP([Dive_Date],Tidal_coeficient[],2,FALSE)</f>
        <v>80</v>
      </c>
      <c r="K80" s="23">
        <v>3</v>
      </c>
      <c r="L80" s="24">
        <v>29</v>
      </c>
      <c r="M80" s="23">
        <f ca="1">YEAR(Table_complete_valeur[[#This Row],[Dive_Date]])</f>
        <v>2020</v>
      </c>
      <c r="N80" s="23">
        <f ca="1">DAY(Table_complete_valeur[[#This Row],[Dive_Date]])</f>
        <v>26</v>
      </c>
      <c r="O80" s="23">
        <f ca="1">MONTH(Table_complete_valeur[[#This Row],[Dive_Date]])</f>
        <v>1</v>
      </c>
      <c r="P80" s="23">
        <f ca="1">HOUR(Table_complete_valeur[[#This Row],[Time]])</f>
        <v>15</v>
      </c>
      <c r="Q80" s="25" t="str">
        <f ca="1">IF(Table_complete_valeur[[#This Row],[Dive_Hour]]&lt;12,"Morning","Afternoon")</f>
        <v>Afternoon</v>
      </c>
      <c r="R80" s="25">
        <f ca="1">VLOOKUP([Dive_Date],Moon_age[],2,FALSE)</f>
        <v>1</v>
      </c>
      <c r="S80" s="25" t="str">
        <f t="shared" ca="1" si="5"/>
        <v/>
      </c>
      <c r="T80" s="26" t="s">
        <v>9</v>
      </c>
      <c r="U80" s="25" t="s">
        <v>431</v>
      </c>
      <c r="V80" s="23" t="s">
        <v>297</v>
      </c>
      <c r="W80" s="27">
        <v>79</v>
      </c>
      <c r="X80" s="24">
        <v>55</v>
      </c>
      <c r="Y80" s="27" t="s">
        <v>22</v>
      </c>
      <c r="Z80" s="27" t="s">
        <v>4</v>
      </c>
      <c r="AA80" s="27">
        <v>50</v>
      </c>
      <c r="AB80" s="27">
        <v>173</v>
      </c>
      <c r="AC80" s="27">
        <v>179</v>
      </c>
      <c r="AD80" s="24"/>
      <c r="AE80" s="24">
        <v>40</v>
      </c>
      <c r="AF80" s="125">
        <v>224</v>
      </c>
      <c r="AG80" s="119">
        <f ca="1">1.29*Table_complete_valeur[[#This Row],[LF]]+3.58</f>
        <v>234.49</v>
      </c>
      <c r="AH80" s="135" t="str">
        <f t="shared" ca="1" si="7"/>
        <v>TL &lt; 250</v>
      </c>
      <c r="AI80" s="136" t="str">
        <f t="shared" ca="1" si="6"/>
        <v>TL &lt; 250</v>
      </c>
      <c r="AJ80" s="27" t="s">
        <v>66</v>
      </c>
      <c r="AK80" s="28" t="s">
        <v>463</v>
      </c>
      <c r="AL80" s="28" t="s">
        <v>292</v>
      </c>
    </row>
    <row r="81" spans="1:38">
      <c r="A81" s="107">
        <v>33</v>
      </c>
      <c r="B81" s="21">
        <v>43856</v>
      </c>
      <c r="C81" s="108">
        <v>0.64583333333333337</v>
      </c>
      <c r="D81" s="22" t="s">
        <v>90</v>
      </c>
      <c r="E81" s="23">
        <v>150</v>
      </c>
      <c r="F81" s="23" t="s">
        <v>17</v>
      </c>
      <c r="G81" s="23">
        <v>3</v>
      </c>
      <c r="H81" s="25" t="s">
        <v>2</v>
      </c>
      <c r="I81" s="25" t="s">
        <v>1</v>
      </c>
      <c r="J81" s="23">
        <f ca="1">VLOOKUP([Dive_Date],Tidal_coeficient[],2,FALSE)</f>
        <v>80</v>
      </c>
      <c r="K81" s="23">
        <v>3</v>
      </c>
      <c r="L81" s="24">
        <v>29</v>
      </c>
      <c r="M81" s="23">
        <f ca="1">YEAR(Table_complete_valeur[[#This Row],[Dive_Date]])</f>
        <v>2020</v>
      </c>
      <c r="N81" s="23">
        <f ca="1">DAY(Table_complete_valeur[[#This Row],[Dive_Date]])</f>
        <v>26</v>
      </c>
      <c r="O81" s="23">
        <f ca="1">MONTH(Table_complete_valeur[[#This Row],[Dive_Date]])</f>
        <v>1</v>
      </c>
      <c r="P81" s="23">
        <f ca="1">HOUR(Table_complete_valeur[[#This Row],[Time]])</f>
        <v>15</v>
      </c>
      <c r="Q81" s="25" t="str">
        <f ca="1">IF(Table_complete_valeur[[#This Row],[Dive_Hour]]&lt;12,"Morning","Afternoon")</f>
        <v>Afternoon</v>
      </c>
      <c r="R81" s="25">
        <f ca="1">VLOOKUP([Dive_Date],Moon_age[],2,FALSE)</f>
        <v>1</v>
      </c>
      <c r="S81" s="25" t="str">
        <f t="shared" ca="1" si="5"/>
        <v/>
      </c>
      <c r="T81" s="26" t="s">
        <v>9</v>
      </c>
      <c r="U81" s="25" t="s">
        <v>432</v>
      </c>
      <c r="V81" s="23" t="s">
        <v>298</v>
      </c>
      <c r="W81" s="27">
        <v>80</v>
      </c>
      <c r="X81" s="24">
        <v>55</v>
      </c>
      <c r="Y81" s="27" t="s">
        <v>22</v>
      </c>
      <c r="Z81" s="27" t="s">
        <v>4</v>
      </c>
      <c r="AA81" s="27">
        <v>50</v>
      </c>
      <c r="AB81" s="27">
        <v>220</v>
      </c>
      <c r="AC81" s="27">
        <v>243</v>
      </c>
      <c r="AD81" s="24"/>
      <c r="AE81" s="24">
        <v>43</v>
      </c>
      <c r="AF81" s="125">
        <v>337</v>
      </c>
      <c r="AG81" s="119">
        <f ca="1">1.29*Table_complete_valeur[[#This Row],[LF]]+3.58</f>
        <v>317.05</v>
      </c>
      <c r="AH81" s="131" t="str">
        <f t="shared" ca="1" si="7"/>
        <v>300 &lt; TL &lt; 350</v>
      </c>
      <c r="AI81" s="132" t="str">
        <f t="shared" ca="1" si="6"/>
        <v>300 &lt; TL &lt; 350</v>
      </c>
      <c r="AJ81" s="27" t="s">
        <v>66</v>
      </c>
      <c r="AK81" s="28"/>
      <c r="AL81" s="28" t="s">
        <v>294</v>
      </c>
    </row>
    <row r="82" spans="1:38">
      <c r="A82" s="107">
        <v>33</v>
      </c>
      <c r="B82" s="21">
        <v>43856</v>
      </c>
      <c r="C82" s="108">
        <v>0.64583333333333337</v>
      </c>
      <c r="D82" s="22" t="s">
        <v>90</v>
      </c>
      <c r="E82" s="23">
        <v>150</v>
      </c>
      <c r="F82" s="23" t="s">
        <v>17</v>
      </c>
      <c r="G82" s="23">
        <v>3</v>
      </c>
      <c r="H82" s="25" t="s">
        <v>2</v>
      </c>
      <c r="I82" s="25" t="s">
        <v>1</v>
      </c>
      <c r="J82" s="23">
        <f ca="1">VLOOKUP([Dive_Date],Tidal_coeficient[],2,FALSE)</f>
        <v>80</v>
      </c>
      <c r="K82" s="23">
        <v>3</v>
      </c>
      <c r="L82" s="24">
        <v>29</v>
      </c>
      <c r="M82" s="23">
        <f ca="1">YEAR(Table_complete_valeur[[#This Row],[Dive_Date]])</f>
        <v>2020</v>
      </c>
      <c r="N82" s="23">
        <f ca="1">DAY(Table_complete_valeur[[#This Row],[Dive_Date]])</f>
        <v>26</v>
      </c>
      <c r="O82" s="23">
        <f ca="1">MONTH(Table_complete_valeur[[#This Row],[Dive_Date]])</f>
        <v>1</v>
      </c>
      <c r="P82" s="23">
        <f ca="1">HOUR(Table_complete_valeur[[#This Row],[Time]])</f>
        <v>15</v>
      </c>
      <c r="Q82" s="25" t="str">
        <f ca="1">IF(Table_complete_valeur[[#This Row],[Dive_Hour]]&lt;12,"Morning","Afternoon")</f>
        <v>Afternoon</v>
      </c>
      <c r="R82" s="25">
        <f ca="1">VLOOKUP([Dive_Date],Moon_age[],2,FALSE)</f>
        <v>1</v>
      </c>
      <c r="S82" s="25" t="str">
        <f t="shared" ca="1" si="5"/>
        <v/>
      </c>
      <c r="T82" s="26" t="s">
        <v>9</v>
      </c>
      <c r="U82" s="25"/>
      <c r="V82" s="23" t="s">
        <v>299</v>
      </c>
      <c r="W82" s="27">
        <v>81</v>
      </c>
      <c r="X82" s="24">
        <v>45</v>
      </c>
      <c r="Y82" s="27" t="s">
        <v>22</v>
      </c>
      <c r="Z82" s="27" t="s">
        <v>4</v>
      </c>
      <c r="AA82" s="27"/>
      <c r="AB82" s="30"/>
      <c r="AC82" s="30"/>
      <c r="AD82" s="40"/>
      <c r="AE82" s="40"/>
      <c r="AF82" s="125"/>
      <c r="AG82" s="119"/>
      <c r="AH82" s="124" t="str">
        <f t="shared" ca="1" si="7"/>
        <v/>
      </c>
      <c r="AI82" s="118" t="str">
        <f t="shared" ca="1" si="6"/>
        <v/>
      </c>
      <c r="AJ82" s="27" t="s">
        <v>66</v>
      </c>
      <c r="AK82" s="28"/>
      <c r="AL82" s="28" t="s">
        <v>295</v>
      </c>
    </row>
    <row r="83" spans="1:38">
      <c r="A83" s="107">
        <v>33</v>
      </c>
      <c r="B83" s="21">
        <v>43856</v>
      </c>
      <c r="C83" s="108">
        <v>0.64583333333333337</v>
      </c>
      <c r="D83" s="22" t="s">
        <v>90</v>
      </c>
      <c r="E83" s="23">
        <v>150</v>
      </c>
      <c r="F83" s="23" t="s">
        <v>17</v>
      </c>
      <c r="G83" s="23">
        <v>3</v>
      </c>
      <c r="H83" s="25" t="s">
        <v>2</v>
      </c>
      <c r="I83" s="25" t="s">
        <v>1</v>
      </c>
      <c r="J83" s="23">
        <f ca="1">VLOOKUP([Dive_Date],Tidal_coeficient[],2,FALSE)</f>
        <v>80</v>
      </c>
      <c r="K83" s="23">
        <v>3</v>
      </c>
      <c r="L83" s="24">
        <v>29</v>
      </c>
      <c r="M83" s="23">
        <f ca="1">YEAR(Table_complete_valeur[[#This Row],[Dive_Date]])</f>
        <v>2020</v>
      </c>
      <c r="N83" s="23">
        <f ca="1">DAY(Table_complete_valeur[[#This Row],[Dive_Date]])</f>
        <v>26</v>
      </c>
      <c r="O83" s="23">
        <f ca="1">MONTH(Table_complete_valeur[[#This Row],[Dive_Date]])</f>
        <v>1</v>
      </c>
      <c r="P83" s="23">
        <f ca="1">HOUR(Table_complete_valeur[[#This Row],[Time]])</f>
        <v>15</v>
      </c>
      <c r="Q83" s="25" t="str">
        <f ca="1">IF(Table_complete_valeur[[#This Row],[Dive_Hour]]&lt;12,"Morning","Afternoon")</f>
        <v>Afternoon</v>
      </c>
      <c r="R83" s="25">
        <f ca="1">VLOOKUP([Dive_Date],Moon_age[],2,FALSE)</f>
        <v>1</v>
      </c>
      <c r="S83" s="25" t="str">
        <f t="shared" ca="1" si="5"/>
        <v/>
      </c>
      <c r="T83" s="26" t="s">
        <v>9</v>
      </c>
      <c r="U83" s="25"/>
      <c r="V83" s="23" t="s">
        <v>300</v>
      </c>
      <c r="W83" s="27">
        <v>82</v>
      </c>
      <c r="X83" s="24">
        <v>45</v>
      </c>
      <c r="Y83" s="27" t="s">
        <v>22</v>
      </c>
      <c r="Z83" s="27" t="s">
        <v>4</v>
      </c>
      <c r="AA83" s="27"/>
      <c r="AB83" s="27"/>
      <c r="AC83" s="27"/>
      <c r="AD83" s="24"/>
      <c r="AE83" s="24"/>
      <c r="AF83" s="125"/>
      <c r="AG83" s="119"/>
      <c r="AH83" s="124" t="str">
        <f t="shared" ca="1" si="7"/>
        <v/>
      </c>
      <c r="AI83" s="118" t="str">
        <f t="shared" ca="1" si="6"/>
        <v/>
      </c>
      <c r="AJ83" s="27" t="s">
        <v>66</v>
      </c>
      <c r="AK83" s="28"/>
      <c r="AL83" s="28" t="s">
        <v>296</v>
      </c>
    </row>
    <row r="84" spans="1:38">
      <c r="A84" s="107">
        <v>33</v>
      </c>
      <c r="B84" s="21">
        <v>43856</v>
      </c>
      <c r="C84" s="108">
        <v>0.64583333333333337</v>
      </c>
      <c r="D84" s="22" t="s">
        <v>90</v>
      </c>
      <c r="E84" s="23">
        <v>150</v>
      </c>
      <c r="F84" s="23" t="s">
        <v>17</v>
      </c>
      <c r="G84" s="23">
        <v>3</v>
      </c>
      <c r="H84" s="25" t="s">
        <v>2</v>
      </c>
      <c r="I84" s="25" t="s">
        <v>1</v>
      </c>
      <c r="J84" s="23">
        <f ca="1">VLOOKUP([Dive_Date],Tidal_coeficient[],2,FALSE)</f>
        <v>80</v>
      </c>
      <c r="K84" s="23">
        <v>3</v>
      </c>
      <c r="L84" s="24">
        <v>29</v>
      </c>
      <c r="M84" s="23">
        <f ca="1">YEAR(Table_complete_valeur[[#This Row],[Dive_Date]])</f>
        <v>2020</v>
      </c>
      <c r="N84" s="23">
        <f ca="1">DAY(Table_complete_valeur[[#This Row],[Dive_Date]])</f>
        <v>26</v>
      </c>
      <c r="O84" s="23">
        <f ca="1">MONTH(Table_complete_valeur[[#This Row],[Dive_Date]])</f>
        <v>1</v>
      </c>
      <c r="P84" s="23">
        <f ca="1">HOUR(Table_complete_valeur[[#This Row],[Time]])</f>
        <v>15</v>
      </c>
      <c r="Q84" s="25" t="str">
        <f ca="1">IF(Table_complete_valeur[[#This Row],[Dive_Hour]]&lt;12,"Morning","Afternoon")</f>
        <v>Afternoon</v>
      </c>
      <c r="R84" s="25">
        <f ca="1">VLOOKUP([Dive_Date],Moon_age[],2,FALSE)</f>
        <v>1</v>
      </c>
      <c r="S84" s="25" t="str">
        <f t="shared" ca="1" si="5"/>
        <v/>
      </c>
      <c r="T84" s="26" t="s">
        <v>9</v>
      </c>
      <c r="U84" s="25"/>
      <c r="V84" s="23" t="s">
        <v>301</v>
      </c>
      <c r="W84" s="27">
        <v>83</v>
      </c>
      <c r="X84" s="24">
        <v>30</v>
      </c>
      <c r="Y84" s="27" t="s">
        <v>22</v>
      </c>
      <c r="Z84" s="27" t="s">
        <v>4</v>
      </c>
      <c r="AA84" s="27"/>
      <c r="AB84" s="30"/>
      <c r="AC84" s="30"/>
      <c r="AD84" s="40"/>
      <c r="AE84" s="40"/>
      <c r="AF84" s="125"/>
      <c r="AG84" s="119"/>
      <c r="AH84" s="124" t="str">
        <f t="shared" ca="1" si="7"/>
        <v/>
      </c>
      <c r="AI84" s="118" t="str">
        <f t="shared" ca="1" si="6"/>
        <v/>
      </c>
      <c r="AJ84" s="30" t="s">
        <v>65</v>
      </c>
      <c r="AK84" s="28"/>
      <c r="AL84" s="28" t="s">
        <v>201</v>
      </c>
    </row>
    <row r="85" spans="1:38">
      <c r="A85" s="107">
        <v>33</v>
      </c>
      <c r="B85" s="21">
        <v>43856</v>
      </c>
      <c r="C85" s="108">
        <v>0.64583333333333337</v>
      </c>
      <c r="D85" s="22" t="s">
        <v>90</v>
      </c>
      <c r="E85" s="23">
        <v>150</v>
      </c>
      <c r="F85" s="23" t="s">
        <v>17</v>
      </c>
      <c r="G85" s="23">
        <v>3</v>
      </c>
      <c r="H85" s="25" t="s">
        <v>2</v>
      </c>
      <c r="I85" s="25" t="s">
        <v>1</v>
      </c>
      <c r="J85" s="23">
        <f ca="1">VLOOKUP([Dive_Date],Tidal_coeficient[],2,FALSE)</f>
        <v>80</v>
      </c>
      <c r="K85" s="23">
        <v>3</v>
      </c>
      <c r="L85" s="24">
        <v>29</v>
      </c>
      <c r="M85" s="23">
        <f ca="1">YEAR(Table_complete_valeur[[#This Row],[Dive_Date]])</f>
        <v>2020</v>
      </c>
      <c r="N85" s="23">
        <f ca="1">DAY(Table_complete_valeur[[#This Row],[Dive_Date]])</f>
        <v>26</v>
      </c>
      <c r="O85" s="23">
        <f ca="1">MONTH(Table_complete_valeur[[#This Row],[Dive_Date]])</f>
        <v>1</v>
      </c>
      <c r="P85" s="23">
        <f ca="1">HOUR(Table_complete_valeur[[#This Row],[Time]])</f>
        <v>15</v>
      </c>
      <c r="Q85" s="25" t="str">
        <f ca="1">IF(Table_complete_valeur[[#This Row],[Dive_Hour]]&lt;12,"Morning","Afternoon")</f>
        <v>Afternoon</v>
      </c>
      <c r="R85" s="25">
        <f ca="1">VLOOKUP([Dive_Date],Moon_age[],2,FALSE)</f>
        <v>1</v>
      </c>
      <c r="S85" s="25" t="str">
        <f t="shared" ca="1" si="5"/>
        <v/>
      </c>
      <c r="T85" s="26" t="s">
        <v>9</v>
      </c>
      <c r="U85" s="25" t="s">
        <v>413</v>
      </c>
      <c r="V85" s="23" t="s">
        <v>496</v>
      </c>
      <c r="W85" s="27">
        <v>84</v>
      </c>
      <c r="X85" s="24">
        <v>55</v>
      </c>
      <c r="Y85" s="27" t="s">
        <v>22</v>
      </c>
      <c r="Z85" s="27" t="s">
        <v>4</v>
      </c>
      <c r="AA85" s="27"/>
      <c r="AB85" s="27"/>
      <c r="AC85" s="27"/>
      <c r="AD85" s="24"/>
      <c r="AE85" s="24"/>
      <c r="AF85" s="125"/>
      <c r="AG85" s="119"/>
      <c r="AH85" s="124" t="str">
        <f t="shared" ca="1" si="7"/>
        <v/>
      </c>
      <c r="AI85" s="118" t="str">
        <f t="shared" ca="1" si="6"/>
        <v/>
      </c>
      <c r="AJ85" s="30" t="s">
        <v>65</v>
      </c>
      <c r="AK85" s="28" t="s">
        <v>497</v>
      </c>
      <c r="AL85" s="28" t="s">
        <v>291</v>
      </c>
    </row>
    <row r="86" spans="1:38">
      <c r="A86" s="107">
        <v>33</v>
      </c>
      <c r="B86" s="21">
        <v>43856</v>
      </c>
      <c r="C86" s="108">
        <v>0.64583333333333337</v>
      </c>
      <c r="D86" s="22" t="s">
        <v>90</v>
      </c>
      <c r="E86" s="23">
        <v>150</v>
      </c>
      <c r="F86" s="23" t="s">
        <v>17</v>
      </c>
      <c r="G86" s="23">
        <v>3</v>
      </c>
      <c r="H86" s="25" t="s">
        <v>2</v>
      </c>
      <c r="I86" s="25" t="s">
        <v>1</v>
      </c>
      <c r="J86" s="23">
        <f ca="1">VLOOKUP([Dive_Date],Tidal_coeficient[],2,FALSE)</f>
        <v>80</v>
      </c>
      <c r="K86" s="23">
        <v>3</v>
      </c>
      <c r="L86" s="24">
        <v>29</v>
      </c>
      <c r="M86" s="23">
        <f ca="1">YEAR(Table_complete_valeur[[#This Row],[Dive_Date]])</f>
        <v>2020</v>
      </c>
      <c r="N86" s="23">
        <f ca="1">DAY(Table_complete_valeur[[#This Row],[Dive_Date]])</f>
        <v>26</v>
      </c>
      <c r="O86" s="23">
        <f ca="1">MONTH(Table_complete_valeur[[#This Row],[Dive_Date]])</f>
        <v>1</v>
      </c>
      <c r="P86" s="23">
        <f ca="1">HOUR(Table_complete_valeur[[#This Row],[Time]])</f>
        <v>15</v>
      </c>
      <c r="Q86" s="25" t="str">
        <f ca="1">IF(Table_complete_valeur[[#This Row],[Dive_Hour]]&lt;12,"Morning","Afternoon")</f>
        <v>Afternoon</v>
      </c>
      <c r="R86" s="25">
        <f ca="1">VLOOKUP([Dive_Date],Moon_age[],2,FALSE)</f>
        <v>1</v>
      </c>
      <c r="S86" s="25" t="str">
        <f t="shared" ca="1" si="5"/>
        <v/>
      </c>
      <c r="T86" s="26" t="s">
        <v>9</v>
      </c>
      <c r="U86" s="25"/>
      <c r="V86" s="23" t="s">
        <v>498</v>
      </c>
      <c r="W86" s="27">
        <v>85</v>
      </c>
      <c r="X86" s="24">
        <v>55</v>
      </c>
      <c r="Y86" s="27" t="s">
        <v>22</v>
      </c>
      <c r="Z86" s="27" t="s">
        <v>4</v>
      </c>
      <c r="AA86" s="27"/>
      <c r="AB86" s="27"/>
      <c r="AC86" s="27"/>
      <c r="AD86" s="24"/>
      <c r="AE86" s="24"/>
      <c r="AF86" s="125"/>
      <c r="AG86" s="119"/>
      <c r="AH86" s="124" t="str">
        <f t="shared" ca="1" si="7"/>
        <v/>
      </c>
      <c r="AI86" s="118" t="str">
        <f t="shared" ca="1" si="6"/>
        <v/>
      </c>
      <c r="AJ86" s="30" t="s">
        <v>65</v>
      </c>
      <c r="AK86" s="28"/>
      <c r="AL86" s="28" t="s">
        <v>291</v>
      </c>
    </row>
    <row r="87" spans="1:38">
      <c r="A87" s="107">
        <v>33</v>
      </c>
      <c r="B87" s="21">
        <v>43856</v>
      </c>
      <c r="C87" s="108">
        <v>0.64583333333333337</v>
      </c>
      <c r="D87" s="22" t="s">
        <v>90</v>
      </c>
      <c r="E87" s="23">
        <v>150</v>
      </c>
      <c r="F87" s="23" t="s">
        <v>17</v>
      </c>
      <c r="G87" s="23">
        <v>3</v>
      </c>
      <c r="H87" s="25" t="s">
        <v>2</v>
      </c>
      <c r="I87" s="25" t="s">
        <v>1</v>
      </c>
      <c r="J87" s="23">
        <f ca="1">VLOOKUP([Dive_Date],Tidal_coeficient[],2,FALSE)</f>
        <v>80</v>
      </c>
      <c r="K87" s="23">
        <v>3</v>
      </c>
      <c r="L87" s="24">
        <v>29</v>
      </c>
      <c r="M87" s="25">
        <f ca="1">YEAR(Table_complete_valeur[[#This Row],[Dive_Date]])</f>
        <v>2020</v>
      </c>
      <c r="N87" s="25">
        <f ca="1">DAY(Table_complete_valeur[[#This Row],[Dive_Date]])</f>
        <v>26</v>
      </c>
      <c r="O87" s="25">
        <f ca="1">MONTH(Table_complete_valeur[[#This Row],[Dive_Date]])</f>
        <v>1</v>
      </c>
      <c r="P87" s="25">
        <f ca="1">HOUR(Table_complete_valeur[[#This Row],[Time]])</f>
        <v>15</v>
      </c>
      <c r="Q87" s="25" t="str">
        <f ca="1">IF(Table_complete_valeur[[#This Row],[Dive_Hour]]&lt;12,"Morning","Afternoon")</f>
        <v>Afternoon</v>
      </c>
      <c r="R87" s="25">
        <f ca="1">VLOOKUP([Dive_Date],Moon_age[],2,FALSE)</f>
        <v>1</v>
      </c>
      <c r="S87" s="25" t="str">
        <f t="shared" ca="1" si="5"/>
        <v/>
      </c>
      <c r="T87" s="26" t="s">
        <v>9</v>
      </c>
      <c r="U87" s="25"/>
      <c r="V87" s="25" t="s">
        <v>303</v>
      </c>
      <c r="W87" s="27">
        <v>86</v>
      </c>
      <c r="X87" s="24">
        <v>55</v>
      </c>
      <c r="Y87" s="27" t="s">
        <v>22</v>
      </c>
      <c r="Z87" s="27" t="s">
        <v>55</v>
      </c>
      <c r="AA87" s="27"/>
      <c r="AB87" s="30"/>
      <c r="AC87" s="30"/>
      <c r="AD87" s="30"/>
      <c r="AE87" s="30"/>
      <c r="AF87" s="117"/>
      <c r="AG87" s="118"/>
      <c r="AH87" s="124" t="str">
        <f t="shared" ca="1" si="7"/>
        <v/>
      </c>
      <c r="AI87" s="118" t="str">
        <f t="shared" ca="1" si="6"/>
        <v/>
      </c>
      <c r="AJ87" s="30" t="s">
        <v>65</v>
      </c>
      <c r="AK87" s="46"/>
      <c r="AL87" s="28" t="s">
        <v>291</v>
      </c>
    </row>
    <row r="88" spans="1:38">
      <c r="A88" s="107">
        <v>33</v>
      </c>
      <c r="B88" s="21">
        <v>43856</v>
      </c>
      <c r="C88" s="108">
        <v>0.64583333333333337</v>
      </c>
      <c r="D88" s="22" t="s">
        <v>90</v>
      </c>
      <c r="E88" s="23">
        <v>150</v>
      </c>
      <c r="F88" s="23" t="s">
        <v>17</v>
      </c>
      <c r="G88" s="23">
        <v>3</v>
      </c>
      <c r="H88" s="25" t="s">
        <v>2</v>
      </c>
      <c r="I88" s="25" t="s">
        <v>1</v>
      </c>
      <c r="J88" s="23">
        <f ca="1">VLOOKUP([Dive_Date],Tidal_coeficient[],2,FALSE)</f>
        <v>80</v>
      </c>
      <c r="K88" s="23">
        <v>3</v>
      </c>
      <c r="L88" s="24">
        <v>29</v>
      </c>
      <c r="M88" s="23">
        <f ca="1">YEAR(Table_complete_valeur[[#This Row],[Dive_Date]])</f>
        <v>2020</v>
      </c>
      <c r="N88" s="23">
        <f ca="1">DAY(Table_complete_valeur[[#This Row],[Dive_Date]])</f>
        <v>26</v>
      </c>
      <c r="O88" s="23">
        <f ca="1">MONTH(Table_complete_valeur[[#This Row],[Dive_Date]])</f>
        <v>1</v>
      </c>
      <c r="P88" s="23">
        <f ca="1">HOUR(Table_complete_valeur[[#This Row],[Time]])</f>
        <v>15</v>
      </c>
      <c r="Q88" s="25" t="str">
        <f ca="1">IF(Table_complete_valeur[[#This Row],[Dive_Hour]]&lt;12,"Morning","Afternoon")</f>
        <v>Afternoon</v>
      </c>
      <c r="R88" s="25">
        <f ca="1">VLOOKUP([Dive_Date],Moon_age[],2,FALSE)</f>
        <v>1</v>
      </c>
      <c r="S88" s="25" t="str">
        <f t="shared" ca="1" si="5"/>
        <v/>
      </c>
      <c r="T88" s="26" t="s">
        <v>9</v>
      </c>
      <c r="U88" s="25"/>
      <c r="V88" s="25" t="s">
        <v>303</v>
      </c>
      <c r="W88" s="27">
        <v>87</v>
      </c>
      <c r="X88" s="24">
        <v>55</v>
      </c>
      <c r="Y88" s="27" t="s">
        <v>22</v>
      </c>
      <c r="Z88" s="27" t="s">
        <v>55</v>
      </c>
      <c r="AA88" s="27"/>
      <c r="AB88" s="27"/>
      <c r="AC88" s="27"/>
      <c r="AD88" s="27"/>
      <c r="AE88" s="27"/>
      <c r="AF88" s="120"/>
      <c r="AG88" s="119"/>
      <c r="AH88" s="124" t="str">
        <f t="shared" ca="1" si="7"/>
        <v/>
      </c>
      <c r="AI88" s="118" t="str">
        <f t="shared" ca="1" si="6"/>
        <v/>
      </c>
      <c r="AJ88" s="30" t="s">
        <v>65</v>
      </c>
      <c r="AK88" s="46"/>
      <c r="AL88" s="28" t="s">
        <v>291</v>
      </c>
    </row>
    <row r="89" spans="1:38">
      <c r="A89" s="107">
        <v>34</v>
      </c>
      <c r="B89" s="33">
        <v>43856</v>
      </c>
      <c r="C89" s="34">
        <v>0.70138888888888884</v>
      </c>
      <c r="D89" s="34" t="s">
        <v>79</v>
      </c>
      <c r="E89" s="25">
        <v>64</v>
      </c>
      <c r="F89" s="25" t="s">
        <v>128</v>
      </c>
      <c r="G89" s="25">
        <v>5</v>
      </c>
      <c r="H89" s="25" t="s">
        <v>2</v>
      </c>
      <c r="I89" s="25" t="s">
        <v>1</v>
      </c>
      <c r="J89" s="23">
        <f ca="1">VLOOKUP([Dive_Date],Tidal_coeficient[],2,FALSE)</f>
        <v>80</v>
      </c>
      <c r="K89" s="25">
        <v>4</v>
      </c>
      <c r="L89" s="24">
        <v>29</v>
      </c>
      <c r="M89" s="25">
        <f ca="1">YEAR(Table_complete_valeur[[#This Row],[Dive_Date]])</f>
        <v>2020</v>
      </c>
      <c r="N89" s="25">
        <f ca="1">DAY(Table_complete_valeur[[#This Row],[Dive_Date]])</f>
        <v>26</v>
      </c>
      <c r="O89" s="25">
        <f ca="1">MONTH(Table_complete_valeur[[#This Row],[Dive_Date]])</f>
        <v>1</v>
      </c>
      <c r="P89" s="25">
        <f ca="1">HOUR(Table_complete_valeur[[#This Row],[Time]])</f>
        <v>16</v>
      </c>
      <c r="Q89" s="25" t="str">
        <f ca="1">IF(Table_complete_valeur[[#This Row],[Dive_Hour]]&lt;12,"Morning","Afternoon")</f>
        <v>Afternoon</v>
      </c>
      <c r="R89" s="25">
        <f ca="1">VLOOKUP([Dive_Date],Moon_age[],2,FALSE)</f>
        <v>1</v>
      </c>
      <c r="S89" s="25" t="str">
        <f t="shared" ca="1" si="5"/>
        <v/>
      </c>
      <c r="T89" s="26" t="s">
        <v>9</v>
      </c>
      <c r="U89" s="25"/>
      <c r="V89" s="25" t="s">
        <v>303</v>
      </c>
      <c r="W89" s="27">
        <v>88</v>
      </c>
      <c r="X89" s="40">
        <v>40</v>
      </c>
      <c r="Y89" s="30" t="s">
        <v>22</v>
      </c>
      <c r="Z89" s="30" t="s">
        <v>4</v>
      </c>
      <c r="AA89" s="30"/>
      <c r="AB89" s="30"/>
      <c r="AC89" s="30"/>
      <c r="AD89" s="30"/>
      <c r="AE89" s="30"/>
      <c r="AF89" s="117"/>
      <c r="AG89" s="118"/>
      <c r="AH89" s="124" t="str">
        <f t="shared" ca="1" si="7"/>
        <v/>
      </c>
      <c r="AI89" s="118" t="str">
        <f t="shared" ca="1" si="6"/>
        <v/>
      </c>
      <c r="AJ89" s="30" t="s">
        <v>65</v>
      </c>
      <c r="AK89" s="46" t="s">
        <v>179</v>
      </c>
      <c r="AL89" s="46" t="s">
        <v>179</v>
      </c>
    </row>
    <row r="90" spans="1:38">
      <c r="A90" s="107">
        <v>35</v>
      </c>
      <c r="B90" s="33">
        <v>43857</v>
      </c>
      <c r="C90" s="34">
        <v>0.27777777777777779</v>
      </c>
      <c r="D90" s="34" t="s">
        <v>79</v>
      </c>
      <c r="E90" s="25">
        <v>70</v>
      </c>
      <c r="F90" s="25" t="s">
        <v>128</v>
      </c>
      <c r="G90" s="25">
        <v>5</v>
      </c>
      <c r="H90" s="25" t="s">
        <v>2</v>
      </c>
      <c r="I90" s="25" t="s">
        <v>1</v>
      </c>
      <c r="J90" s="25">
        <f ca="1">VLOOKUP([Dive_Date],Tidal_coeficient[],2,FALSE)</f>
        <v>77</v>
      </c>
      <c r="K90" s="25">
        <v>5.5</v>
      </c>
      <c r="L90" s="24">
        <v>29</v>
      </c>
      <c r="M90" s="25">
        <f ca="1">YEAR(Table_complete_valeur[[#This Row],[Dive_Date]])</f>
        <v>2020</v>
      </c>
      <c r="N90" s="25">
        <f ca="1">DAY(Table_complete_valeur[[#This Row],[Dive_Date]])</f>
        <v>27</v>
      </c>
      <c r="O90" s="25">
        <f ca="1">MONTH(Table_complete_valeur[[#This Row],[Dive_Date]])</f>
        <v>1</v>
      </c>
      <c r="P90" s="25">
        <f ca="1">HOUR(Table_complete_valeur[[#This Row],[Time]])</f>
        <v>6</v>
      </c>
      <c r="Q90" s="25" t="str">
        <f ca="1">IF(Table_complete_valeur[[#This Row],[Dive_Hour]]&lt;12,"Morning","Afternoon")</f>
        <v>Morning</v>
      </c>
      <c r="R90" s="25">
        <f ca="1">VLOOKUP([Dive_Date],Moon_age[],2,FALSE)</f>
        <v>2</v>
      </c>
      <c r="S90" s="25" t="str">
        <f t="shared" ca="1" si="5"/>
        <v/>
      </c>
      <c r="T90" s="26" t="s">
        <v>9</v>
      </c>
      <c r="U90" s="25"/>
      <c r="V90" s="25" t="s">
        <v>303</v>
      </c>
      <c r="W90" s="27">
        <v>89</v>
      </c>
      <c r="X90" s="40">
        <v>35</v>
      </c>
      <c r="Y90" s="30" t="s">
        <v>25</v>
      </c>
      <c r="Z90" s="30" t="s">
        <v>4</v>
      </c>
      <c r="AA90" s="30"/>
      <c r="AB90" s="30"/>
      <c r="AC90" s="30"/>
      <c r="AD90" s="30"/>
      <c r="AE90" s="30"/>
      <c r="AF90" s="117"/>
      <c r="AG90" s="118"/>
      <c r="AH90" s="124" t="str">
        <f t="shared" ca="1" si="7"/>
        <v/>
      </c>
      <c r="AI90" s="118" t="str">
        <f t="shared" ca="1" si="6"/>
        <v/>
      </c>
      <c r="AJ90" s="30" t="s">
        <v>80</v>
      </c>
      <c r="AK90" s="46"/>
      <c r="AL90" s="46" t="s">
        <v>180</v>
      </c>
    </row>
    <row r="91" spans="1:38">
      <c r="A91" s="107">
        <v>36</v>
      </c>
      <c r="B91" s="33">
        <v>43858</v>
      </c>
      <c r="C91" s="34">
        <v>0.2902777777777778</v>
      </c>
      <c r="D91" s="34" t="s">
        <v>79</v>
      </c>
      <c r="E91" s="25">
        <v>52</v>
      </c>
      <c r="F91" s="25" t="s">
        <v>128</v>
      </c>
      <c r="G91" s="25">
        <v>4</v>
      </c>
      <c r="H91" s="25" t="s">
        <v>2</v>
      </c>
      <c r="I91" s="25" t="s">
        <v>1</v>
      </c>
      <c r="J91" s="25">
        <f ca="1">VLOOKUP([Dive_Date],Tidal_coeficient[],2,FALSE)</f>
        <v>72</v>
      </c>
      <c r="K91" s="25">
        <v>5</v>
      </c>
      <c r="L91" s="24">
        <v>29</v>
      </c>
      <c r="M91" s="25">
        <f ca="1">YEAR(Table_complete_valeur[[#This Row],[Dive_Date]])</f>
        <v>2020</v>
      </c>
      <c r="N91" s="25">
        <f ca="1">DAY(Table_complete_valeur[[#This Row],[Dive_Date]])</f>
        <v>28</v>
      </c>
      <c r="O91" s="25">
        <f ca="1">MONTH(Table_complete_valeur[[#This Row],[Dive_Date]])</f>
        <v>1</v>
      </c>
      <c r="P91" s="25">
        <f ca="1">HOUR(Table_complete_valeur[[#This Row],[Time]])</f>
        <v>6</v>
      </c>
      <c r="Q91" s="25" t="str">
        <f ca="1">IF(Table_complete_valeur[[#This Row],[Dive_Hour]]&lt;12,"Morning","Afternoon")</f>
        <v>Morning</v>
      </c>
      <c r="R91" s="25">
        <f ca="1">VLOOKUP([Dive_Date],Moon_age[],2,FALSE)</f>
        <v>3</v>
      </c>
      <c r="S91" s="25" t="str">
        <f t="shared" ca="1" si="5"/>
        <v/>
      </c>
      <c r="T91" s="26" t="s">
        <v>9</v>
      </c>
      <c r="U91" s="25"/>
      <c r="V91" s="25" t="s">
        <v>303</v>
      </c>
      <c r="W91" s="27">
        <v>90</v>
      </c>
      <c r="X91" s="40">
        <v>50</v>
      </c>
      <c r="Y91" s="30" t="s">
        <v>22</v>
      </c>
      <c r="Z91" s="30" t="s">
        <v>4</v>
      </c>
      <c r="AA91" s="30"/>
      <c r="AB91" s="30"/>
      <c r="AC91" s="30"/>
      <c r="AD91" s="30"/>
      <c r="AE91" s="30"/>
      <c r="AF91" s="117"/>
      <c r="AG91" s="118"/>
      <c r="AH91" s="124" t="str">
        <f t="shared" ca="1" si="7"/>
        <v/>
      </c>
      <c r="AI91" s="118" t="str">
        <f t="shared" ca="1" si="6"/>
        <v/>
      </c>
      <c r="AJ91" s="30" t="s">
        <v>65</v>
      </c>
      <c r="AK91" s="46"/>
      <c r="AL91" s="46" t="s">
        <v>181</v>
      </c>
    </row>
    <row r="92" spans="1:38">
      <c r="A92" s="107">
        <v>37</v>
      </c>
      <c r="B92" s="33">
        <v>43859</v>
      </c>
      <c r="C92" s="34">
        <v>0.30277777777777776</v>
      </c>
      <c r="D92" s="34" t="s">
        <v>127</v>
      </c>
      <c r="E92" s="25">
        <v>60</v>
      </c>
      <c r="F92" s="25" t="s">
        <v>128</v>
      </c>
      <c r="G92" s="25">
        <v>4</v>
      </c>
      <c r="H92" s="25" t="s">
        <v>2</v>
      </c>
      <c r="I92" s="25" t="s">
        <v>1</v>
      </c>
      <c r="J92" s="25">
        <f ca="1">VLOOKUP([Dive_Date],Tidal_coeficient[],2,FALSE)</f>
        <v>66</v>
      </c>
      <c r="K92" s="25">
        <v>5</v>
      </c>
      <c r="L92" s="24">
        <v>29</v>
      </c>
      <c r="M92" s="25">
        <f ca="1">YEAR(Table_complete_valeur[[#This Row],[Dive_Date]])</f>
        <v>2020</v>
      </c>
      <c r="N92" s="25">
        <f ca="1">DAY(Table_complete_valeur[[#This Row],[Dive_Date]])</f>
        <v>29</v>
      </c>
      <c r="O92" s="25">
        <f ca="1">MONTH(Table_complete_valeur[[#This Row],[Dive_Date]])</f>
        <v>1</v>
      </c>
      <c r="P92" s="25">
        <f ca="1">HOUR(Table_complete_valeur[[#This Row],[Time]])</f>
        <v>7</v>
      </c>
      <c r="Q92" s="25" t="str">
        <f ca="1">IF(Table_complete_valeur[[#This Row],[Dive_Hour]]&lt;12,"Morning","Afternoon")</f>
        <v>Morning</v>
      </c>
      <c r="R92" s="25">
        <f ca="1">VLOOKUP([Dive_Date],Moon_age[],2,FALSE)</f>
        <v>4</v>
      </c>
      <c r="S92" s="25" t="str">
        <f t="shared" ca="1" si="5"/>
        <v/>
      </c>
      <c r="T92" s="26" t="s">
        <v>9</v>
      </c>
      <c r="U92" s="25"/>
      <c r="V92" s="25" t="s">
        <v>213</v>
      </c>
      <c r="W92" s="27">
        <v>91</v>
      </c>
      <c r="X92" s="40">
        <v>45</v>
      </c>
      <c r="Y92" s="30" t="s">
        <v>20</v>
      </c>
      <c r="Z92" s="30" t="s">
        <v>55</v>
      </c>
      <c r="AA92" s="30"/>
      <c r="AB92" s="30"/>
      <c r="AC92" s="30"/>
      <c r="AD92" s="30"/>
      <c r="AE92" s="30"/>
      <c r="AF92" s="117"/>
      <c r="AG92" s="118"/>
      <c r="AH92" s="124" t="str">
        <f t="shared" ca="1" si="7"/>
        <v/>
      </c>
      <c r="AI92" s="118" t="str">
        <f t="shared" ca="1" si="6"/>
        <v/>
      </c>
      <c r="AJ92" s="30" t="s">
        <v>65</v>
      </c>
      <c r="AK92" s="46"/>
      <c r="AL92" s="46" t="s">
        <v>182</v>
      </c>
    </row>
    <row r="93" spans="1:38">
      <c r="A93" s="107">
        <v>37</v>
      </c>
      <c r="B93" s="33">
        <v>43859</v>
      </c>
      <c r="C93" s="34">
        <v>0.30277777777777776</v>
      </c>
      <c r="D93" s="34" t="s">
        <v>127</v>
      </c>
      <c r="E93" s="25">
        <v>60</v>
      </c>
      <c r="F93" s="25" t="s">
        <v>128</v>
      </c>
      <c r="G93" s="25">
        <v>4</v>
      </c>
      <c r="H93" s="25" t="s">
        <v>2</v>
      </c>
      <c r="I93" s="25" t="s">
        <v>1</v>
      </c>
      <c r="J93" s="25">
        <f ca="1">VLOOKUP([Dive_Date],Tidal_coeficient[],2,FALSE)</f>
        <v>66</v>
      </c>
      <c r="K93" s="25">
        <v>5</v>
      </c>
      <c r="L93" s="24">
        <v>29</v>
      </c>
      <c r="M93" s="25">
        <f ca="1">YEAR(Table_complete_valeur[[#This Row],[Dive_Date]])</f>
        <v>2020</v>
      </c>
      <c r="N93" s="25">
        <f ca="1">DAY(Table_complete_valeur[[#This Row],[Dive_Date]])</f>
        <v>29</v>
      </c>
      <c r="O93" s="25">
        <f ca="1">MONTH(Table_complete_valeur[[#This Row],[Dive_Date]])</f>
        <v>1</v>
      </c>
      <c r="P93" s="25">
        <f ca="1">HOUR(Table_complete_valeur[[#This Row],[Time]])</f>
        <v>7</v>
      </c>
      <c r="Q93" s="25" t="str">
        <f ca="1">IF(Table_complete_valeur[[#This Row],[Dive_Hour]]&lt;12,"Morning","Afternoon")</f>
        <v>Morning</v>
      </c>
      <c r="R93" s="25">
        <f ca="1">VLOOKUP([Dive_Date],Moon_age[],2,FALSE)</f>
        <v>4</v>
      </c>
      <c r="S93" s="25" t="str">
        <f t="shared" ca="1" si="5"/>
        <v/>
      </c>
      <c r="T93" s="26" t="s">
        <v>9</v>
      </c>
      <c r="U93" s="25" t="s">
        <v>433</v>
      </c>
      <c r="V93" s="25" t="s">
        <v>216</v>
      </c>
      <c r="W93" s="27">
        <v>92</v>
      </c>
      <c r="X93" s="40">
        <v>45</v>
      </c>
      <c r="Y93" s="30" t="s">
        <v>20</v>
      </c>
      <c r="Z93" s="30" t="s">
        <v>55</v>
      </c>
      <c r="AA93" s="30">
        <v>30</v>
      </c>
      <c r="AB93" s="30">
        <v>173</v>
      </c>
      <c r="AC93" s="30">
        <v>189</v>
      </c>
      <c r="AD93" s="30"/>
      <c r="AE93" s="30">
        <v>34</v>
      </c>
      <c r="AF93" s="117">
        <v>256</v>
      </c>
      <c r="AG93" s="118">
        <f ca="1">1.29*Table_complete_valeur[[#This Row],[LF]]+3.58</f>
        <v>247.39000000000001</v>
      </c>
      <c r="AH93" s="133" t="str">
        <f t="shared" ca="1" si="7"/>
        <v>250 &lt; TL &lt; 300</v>
      </c>
      <c r="AI93" s="136" t="str">
        <f t="shared" ca="1" si="6"/>
        <v>TL &lt; 250</v>
      </c>
      <c r="AJ93" s="30" t="s">
        <v>65</v>
      </c>
      <c r="AK93" s="46"/>
      <c r="AL93" s="46" t="s">
        <v>182</v>
      </c>
    </row>
    <row r="94" spans="1:38">
      <c r="A94" s="107">
        <v>37</v>
      </c>
      <c r="B94" s="33">
        <v>43859</v>
      </c>
      <c r="C94" s="34">
        <v>0.30277777777777776</v>
      </c>
      <c r="D94" s="34" t="s">
        <v>127</v>
      </c>
      <c r="E94" s="25">
        <v>60</v>
      </c>
      <c r="F94" s="25" t="s">
        <v>128</v>
      </c>
      <c r="G94" s="25">
        <v>4</v>
      </c>
      <c r="H94" s="25" t="s">
        <v>2</v>
      </c>
      <c r="I94" s="25" t="s">
        <v>1</v>
      </c>
      <c r="J94" s="25">
        <f ca="1">VLOOKUP([Dive_Date],Tidal_coeficient[],2,FALSE)</f>
        <v>66</v>
      </c>
      <c r="K94" s="25">
        <v>5</v>
      </c>
      <c r="L94" s="24">
        <v>29</v>
      </c>
      <c r="M94" s="25">
        <f ca="1">YEAR(Table_complete_valeur[[#This Row],[Dive_Date]])</f>
        <v>2020</v>
      </c>
      <c r="N94" s="25">
        <f ca="1">DAY(Table_complete_valeur[[#This Row],[Dive_Date]])</f>
        <v>29</v>
      </c>
      <c r="O94" s="25">
        <f ca="1">MONTH(Table_complete_valeur[[#This Row],[Dive_Date]])</f>
        <v>1</v>
      </c>
      <c r="P94" s="25">
        <f ca="1">HOUR(Table_complete_valeur[[#This Row],[Time]])</f>
        <v>7</v>
      </c>
      <c r="Q94" s="25" t="str">
        <f ca="1">IF(Table_complete_valeur[[#This Row],[Dive_Hour]]&lt;12,"Morning","Afternoon")</f>
        <v>Morning</v>
      </c>
      <c r="R94" s="25">
        <f ca="1">VLOOKUP([Dive_Date],Moon_age[],2,FALSE)</f>
        <v>4</v>
      </c>
      <c r="S94" s="25" t="str">
        <f t="shared" ca="1" si="5"/>
        <v/>
      </c>
      <c r="T94" s="26" t="s">
        <v>9</v>
      </c>
      <c r="U94" s="25"/>
      <c r="V94" s="25" t="s">
        <v>217</v>
      </c>
      <c r="W94" s="27">
        <v>93</v>
      </c>
      <c r="X94" s="40">
        <v>45</v>
      </c>
      <c r="Y94" s="30" t="s">
        <v>20</v>
      </c>
      <c r="Z94" s="30" t="s">
        <v>55</v>
      </c>
      <c r="AA94" s="30"/>
      <c r="AB94" s="30"/>
      <c r="AC94" s="30"/>
      <c r="AD94" s="30"/>
      <c r="AE94" s="30"/>
      <c r="AF94" s="117"/>
      <c r="AG94" s="118"/>
      <c r="AH94" s="124" t="str">
        <f t="shared" ca="1" si="7"/>
        <v/>
      </c>
      <c r="AI94" s="118" t="str">
        <f t="shared" ca="1" si="6"/>
        <v/>
      </c>
      <c r="AJ94" s="30" t="s">
        <v>65</v>
      </c>
      <c r="AK94" s="46"/>
      <c r="AL94" s="46" t="s">
        <v>182</v>
      </c>
    </row>
    <row r="95" spans="1:38">
      <c r="A95" s="107">
        <v>37</v>
      </c>
      <c r="B95" s="33">
        <v>43859</v>
      </c>
      <c r="C95" s="34">
        <v>0.30277777777777776</v>
      </c>
      <c r="D95" s="34" t="s">
        <v>127</v>
      </c>
      <c r="E95" s="25">
        <v>60</v>
      </c>
      <c r="F95" s="25" t="s">
        <v>128</v>
      </c>
      <c r="G95" s="25">
        <v>4</v>
      </c>
      <c r="H95" s="25" t="s">
        <v>2</v>
      </c>
      <c r="I95" s="25" t="s">
        <v>1</v>
      </c>
      <c r="J95" s="25">
        <f ca="1">VLOOKUP([Dive_Date],Tidal_coeficient[],2,FALSE)</f>
        <v>66</v>
      </c>
      <c r="K95" s="25">
        <v>5</v>
      </c>
      <c r="L95" s="24">
        <v>29</v>
      </c>
      <c r="M95" s="25">
        <f ca="1">YEAR(Table_complete_valeur[[#This Row],[Dive_Date]])</f>
        <v>2020</v>
      </c>
      <c r="N95" s="25">
        <f ca="1">DAY(Table_complete_valeur[[#This Row],[Dive_Date]])</f>
        <v>29</v>
      </c>
      <c r="O95" s="25">
        <f ca="1">MONTH(Table_complete_valeur[[#This Row],[Dive_Date]])</f>
        <v>1</v>
      </c>
      <c r="P95" s="25">
        <f ca="1">HOUR(Table_complete_valeur[[#This Row],[Time]])</f>
        <v>7</v>
      </c>
      <c r="Q95" s="25" t="str">
        <f ca="1">IF(Table_complete_valeur[[#This Row],[Dive_Hour]]&lt;12,"Morning","Afternoon")</f>
        <v>Morning</v>
      </c>
      <c r="R95" s="25">
        <f ca="1">VLOOKUP([Dive_Date],Moon_age[],2,FALSE)</f>
        <v>4</v>
      </c>
      <c r="S95" s="25" t="str">
        <f t="shared" ca="1" si="5"/>
        <v/>
      </c>
      <c r="T95" s="26" t="s">
        <v>9</v>
      </c>
      <c r="U95" s="25"/>
      <c r="V95" s="25" t="s">
        <v>218</v>
      </c>
      <c r="W95" s="27">
        <v>94</v>
      </c>
      <c r="X95" s="40">
        <v>45</v>
      </c>
      <c r="Y95" s="30" t="s">
        <v>20</v>
      </c>
      <c r="Z95" s="30" t="s">
        <v>55</v>
      </c>
      <c r="AA95" s="30"/>
      <c r="AB95" s="30"/>
      <c r="AC95" s="30"/>
      <c r="AD95" s="30"/>
      <c r="AE95" s="30"/>
      <c r="AF95" s="117"/>
      <c r="AG95" s="118"/>
      <c r="AH95" s="124" t="str">
        <f t="shared" ca="1" si="7"/>
        <v/>
      </c>
      <c r="AI95" s="118" t="str">
        <f t="shared" ca="1" si="6"/>
        <v/>
      </c>
      <c r="AJ95" s="30" t="s">
        <v>65</v>
      </c>
      <c r="AK95" s="46"/>
      <c r="AL95" s="46" t="s">
        <v>182</v>
      </c>
    </row>
    <row r="96" spans="1:38">
      <c r="A96" s="107">
        <v>37</v>
      </c>
      <c r="B96" s="33">
        <v>43859</v>
      </c>
      <c r="C96" s="34">
        <v>0.30277777777777776</v>
      </c>
      <c r="D96" s="34" t="s">
        <v>127</v>
      </c>
      <c r="E96" s="25">
        <v>60</v>
      </c>
      <c r="F96" s="25" t="s">
        <v>128</v>
      </c>
      <c r="G96" s="25">
        <v>4</v>
      </c>
      <c r="H96" s="25" t="s">
        <v>2</v>
      </c>
      <c r="I96" s="25" t="s">
        <v>1</v>
      </c>
      <c r="J96" s="25">
        <f ca="1">VLOOKUP([Dive_Date],Tidal_coeficient[],2,FALSE)</f>
        <v>66</v>
      </c>
      <c r="K96" s="25">
        <v>5</v>
      </c>
      <c r="L96" s="24">
        <v>29</v>
      </c>
      <c r="M96" s="25">
        <f ca="1">YEAR(Table_complete_valeur[[#This Row],[Dive_Date]])</f>
        <v>2020</v>
      </c>
      <c r="N96" s="25">
        <f ca="1">DAY(Table_complete_valeur[[#This Row],[Dive_Date]])</f>
        <v>29</v>
      </c>
      <c r="O96" s="25">
        <f ca="1">MONTH(Table_complete_valeur[[#This Row],[Dive_Date]])</f>
        <v>1</v>
      </c>
      <c r="P96" s="25">
        <f ca="1">HOUR(Table_complete_valeur[[#This Row],[Time]])</f>
        <v>7</v>
      </c>
      <c r="Q96" s="25" t="str">
        <f ca="1">IF(Table_complete_valeur[[#This Row],[Dive_Hour]]&lt;12,"Morning","Afternoon")</f>
        <v>Morning</v>
      </c>
      <c r="R96" s="25">
        <f ca="1">VLOOKUP([Dive_Date],Moon_age[],2,FALSE)</f>
        <v>4</v>
      </c>
      <c r="S96" s="25" t="str">
        <f t="shared" ca="1" si="5"/>
        <v/>
      </c>
      <c r="T96" s="26" t="s">
        <v>9</v>
      </c>
      <c r="U96" s="25"/>
      <c r="V96" s="25" t="s">
        <v>219</v>
      </c>
      <c r="W96" s="27">
        <v>95</v>
      </c>
      <c r="X96" s="40">
        <v>45</v>
      </c>
      <c r="Y96" s="30" t="s">
        <v>20</v>
      </c>
      <c r="Z96" s="30" t="s">
        <v>55</v>
      </c>
      <c r="AA96" s="30"/>
      <c r="AB96" s="30"/>
      <c r="AC96" s="30"/>
      <c r="AD96" s="30"/>
      <c r="AE96" s="30"/>
      <c r="AF96" s="117"/>
      <c r="AG96" s="118"/>
      <c r="AH96" s="124" t="str">
        <f t="shared" ca="1" si="7"/>
        <v/>
      </c>
      <c r="AI96" s="118" t="str">
        <f t="shared" ca="1" si="6"/>
        <v/>
      </c>
      <c r="AJ96" s="30" t="s">
        <v>65</v>
      </c>
      <c r="AK96" s="46"/>
      <c r="AL96" s="46" t="s">
        <v>182</v>
      </c>
    </row>
    <row r="97" spans="1:38">
      <c r="A97" s="107">
        <v>38</v>
      </c>
      <c r="B97" s="33">
        <v>43859</v>
      </c>
      <c r="C97" s="22">
        <v>0.30694444444444441</v>
      </c>
      <c r="D97" s="22" t="s">
        <v>90</v>
      </c>
      <c r="E97" s="23">
        <v>150</v>
      </c>
      <c r="F97" s="25" t="s">
        <v>17</v>
      </c>
      <c r="G97" s="23">
        <v>2</v>
      </c>
      <c r="H97" s="25" t="s">
        <v>2</v>
      </c>
      <c r="I97" s="25" t="s">
        <v>1</v>
      </c>
      <c r="J97" s="25">
        <f ca="1">VLOOKUP([Dive_Date],Tidal_coeficient[],2,FALSE)</f>
        <v>66</v>
      </c>
      <c r="K97" s="25">
        <v>5</v>
      </c>
      <c r="L97" s="24">
        <v>29</v>
      </c>
      <c r="M97" s="23">
        <f ca="1">YEAR(Table_complete_valeur[[#This Row],[Dive_Date]])</f>
        <v>2020</v>
      </c>
      <c r="N97" s="23">
        <f ca="1">DAY(Table_complete_valeur[[#This Row],[Dive_Date]])</f>
        <v>29</v>
      </c>
      <c r="O97" s="23">
        <f ca="1">MONTH(Table_complete_valeur[[#This Row],[Dive_Date]])</f>
        <v>1</v>
      </c>
      <c r="P97" s="23">
        <f ca="1">HOUR(Table_complete_valeur[[#This Row],[Time]])</f>
        <v>0</v>
      </c>
      <c r="Q97" s="25" t="str">
        <f ca="1">IF(Table_complete_valeur[[#This Row],[Dive_Hour]]&lt;12,"Morning","Afternoon")</f>
        <v>Morning</v>
      </c>
      <c r="R97" s="25">
        <f ca="1">VLOOKUP([Dive_Date],Moon_age[],2,FALSE)</f>
        <v>4</v>
      </c>
      <c r="S97" s="25" t="str">
        <f t="shared" ca="1" si="5"/>
        <v/>
      </c>
      <c r="T97" s="26" t="s">
        <v>9</v>
      </c>
      <c r="U97" s="25" t="s">
        <v>434</v>
      </c>
      <c r="V97" s="25" t="s">
        <v>220</v>
      </c>
      <c r="W97" s="27">
        <v>96</v>
      </c>
      <c r="X97" s="24">
        <v>60</v>
      </c>
      <c r="Y97" s="30" t="s">
        <v>22</v>
      </c>
      <c r="Z97" s="27" t="s">
        <v>4</v>
      </c>
      <c r="AA97" s="27">
        <v>50</v>
      </c>
      <c r="AB97" s="27">
        <v>238</v>
      </c>
      <c r="AC97" s="27">
        <v>255</v>
      </c>
      <c r="AD97" s="27"/>
      <c r="AE97" s="27">
        <v>41</v>
      </c>
      <c r="AF97" s="120">
        <v>341</v>
      </c>
      <c r="AG97" s="119">
        <f ca="1">1.29*Table_complete_valeur[[#This Row],[LF]]+3.58</f>
        <v>332.53</v>
      </c>
      <c r="AH97" s="131" t="str">
        <f t="shared" ca="1" si="7"/>
        <v>300 &lt; TL &lt; 350</v>
      </c>
      <c r="AI97" s="132" t="str">
        <f t="shared" ca="1" si="6"/>
        <v>300 &lt; TL &lt; 350</v>
      </c>
      <c r="AJ97" s="30" t="s">
        <v>66</v>
      </c>
      <c r="AK97" s="46"/>
      <c r="AL97" s="28" t="s">
        <v>210</v>
      </c>
    </row>
    <row r="98" spans="1:38">
      <c r="A98" s="107">
        <v>39</v>
      </c>
      <c r="B98" s="33">
        <v>43859</v>
      </c>
      <c r="C98" s="22">
        <v>0.30694444444444441</v>
      </c>
      <c r="D98" s="22" t="s">
        <v>90</v>
      </c>
      <c r="E98" s="23">
        <v>150</v>
      </c>
      <c r="F98" s="25" t="s">
        <v>17</v>
      </c>
      <c r="G98" s="23">
        <v>2</v>
      </c>
      <c r="H98" s="25" t="s">
        <v>2</v>
      </c>
      <c r="I98" s="25" t="s">
        <v>1</v>
      </c>
      <c r="J98" s="25">
        <f ca="1">VLOOKUP([Dive_Date],Tidal_coeficient[],2,FALSE)</f>
        <v>66</v>
      </c>
      <c r="K98" s="25">
        <v>5</v>
      </c>
      <c r="L98" s="24">
        <v>29</v>
      </c>
      <c r="M98" s="23">
        <f ca="1">YEAR(Table_complete_valeur[[#This Row],[Dive_Date]])</f>
        <v>2020</v>
      </c>
      <c r="N98" s="23">
        <f ca="1">DAY(Table_complete_valeur[[#This Row],[Dive_Date]])</f>
        <v>29</v>
      </c>
      <c r="O98" s="23">
        <f ca="1">MONTH(Table_complete_valeur[[#This Row],[Dive_Date]])</f>
        <v>1</v>
      </c>
      <c r="P98" s="23">
        <f ca="1">HOUR(Table_complete_valeur[[#This Row],[Time]])</f>
        <v>0</v>
      </c>
      <c r="Q98" s="25" t="str">
        <f ca="1">IF(Table_complete_valeur[[#This Row],[Dive_Hour]]&lt;12,"Morning","Afternoon")</f>
        <v>Morning</v>
      </c>
      <c r="R98" s="25">
        <f ca="1">VLOOKUP([Dive_Date],Moon_age[],2,FALSE)</f>
        <v>4</v>
      </c>
      <c r="S98" s="25" t="str">
        <f t="shared" ref="S98:S128" ca="1" si="8">IF(R98=0,"New Moon",IF(R98=7,"First Quarter",IF(R98=15,"Full Moon",IF(R98=22,"Last Quarter",""))))</f>
        <v/>
      </c>
      <c r="T98" s="26" t="s">
        <v>9</v>
      </c>
      <c r="U98" s="25" t="s">
        <v>435</v>
      </c>
      <c r="V98" s="25" t="s">
        <v>221</v>
      </c>
      <c r="W98" s="27">
        <v>97</v>
      </c>
      <c r="X98" s="24">
        <v>55</v>
      </c>
      <c r="Y98" s="30" t="s">
        <v>22</v>
      </c>
      <c r="Z98" s="27" t="s">
        <v>4</v>
      </c>
      <c r="AA98" s="27">
        <v>50</v>
      </c>
      <c r="AB98" s="27">
        <v>232</v>
      </c>
      <c r="AC98" s="27">
        <v>260</v>
      </c>
      <c r="AD98" s="27">
        <v>76</v>
      </c>
      <c r="AE98" s="27">
        <v>47</v>
      </c>
      <c r="AF98" s="120">
        <v>316</v>
      </c>
      <c r="AG98" s="119">
        <f ca="1">1.29*Table_complete_valeur[[#This Row],[LF]]+3.58</f>
        <v>338.98</v>
      </c>
      <c r="AH98" s="131" t="str">
        <f t="shared" ca="1" si="7"/>
        <v>300 &lt; TL &lt; 350</v>
      </c>
      <c r="AI98" s="132" t="str">
        <f t="shared" ref="AI98:AI128" ca="1" si="9">IF(AG98="","",IF(AG98&lt;250,"TL &lt; 250",IF(AG98&lt;300,"250 &lt; TL &lt; 300",IF(AG98&lt;350,"300 &lt; TL &lt; 350",IF(AG98&lt;400,"350 &lt; TL &lt; 400",IF(AG98&gt;400,"TL &gt; 400",""))))))</f>
        <v>300 &lt; TL &lt; 350</v>
      </c>
      <c r="AJ98" s="30" t="s">
        <v>66</v>
      </c>
      <c r="AK98" s="46"/>
      <c r="AL98" s="28" t="s">
        <v>211</v>
      </c>
    </row>
    <row r="99" spans="1:38">
      <c r="A99" s="107">
        <v>39</v>
      </c>
      <c r="B99" s="33">
        <v>43859</v>
      </c>
      <c r="C99" s="22">
        <v>0.30694444444444441</v>
      </c>
      <c r="D99" s="22" t="s">
        <v>90</v>
      </c>
      <c r="E99" s="23">
        <v>150</v>
      </c>
      <c r="F99" s="25" t="s">
        <v>17</v>
      </c>
      <c r="G99" s="23">
        <v>2</v>
      </c>
      <c r="H99" s="25" t="s">
        <v>2</v>
      </c>
      <c r="I99" s="25" t="s">
        <v>1</v>
      </c>
      <c r="J99" s="25">
        <f ca="1">VLOOKUP([Dive_Date],Tidal_coeficient[],2,FALSE)</f>
        <v>66</v>
      </c>
      <c r="K99" s="25">
        <v>5</v>
      </c>
      <c r="L99" s="24">
        <v>29</v>
      </c>
      <c r="M99" s="23">
        <f ca="1">YEAR(Table_complete_valeur[[#This Row],[Dive_Date]])</f>
        <v>2020</v>
      </c>
      <c r="N99" s="23">
        <f ca="1">DAY(Table_complete_valeur[[#This Row],[Dive_Date]])</f>
        <v>29</v>
      </c>
      <c r="O99" s="23">
        <f ca="1">MONTH(Table_complete_valeur[[#This Row],[Dive_Date]])</f>
        <v>1</v>
      </c>
      <c r="P99" s="23">
        <f ca="1">HOUR(Table_complete_valeur[[#This Row],[Time]])</f>
        <v>0</v>
      </c>
      <c r="Q99" s="25" t="str">
        <f ca="1">IF(Table_complete_valeur[[#This Row],[Dive_Hour]]&lt;12,"Morning","Afternoon")</f>
        <v>Morning</v>
      </c>
      <c r="R99" s="25">
        <f ca="1">VLOOKUP([Dive_Date],Moon_age[],2,FALSE)</f>
        <v>4</v>
      </c>
      <c r="S99" s="25" t="str">
        <f t="shared" ca="1" si="8"/>
        <v/>
      </c>
      <c r="T99" s="26" t="s">
        <v>9</v>
      </c>
      <c r="U99" s="25"/>
      <c r="V99" s="25" t="s">
        <v>222</v>
      </c>
      <c r="W99" s="27">
        <v>98</v>
      </c>
      <c r="X99" s="24">
        <v>55</v>
      </c>
      <c r="Y99" s="30" t="s">
        <v>22</v>
      </c>
      <c r="Z99" s="27" t="s">
        <v>55</v>
      </c>
      <c r="AA99" s="27"/>
      <c r="AB99" s="27"/>
      <c r="AC99" s="27"/>
      <c r="AD99" s="27"/>
      <c r="AE99" s="27"/>
      <c r="AF99" s="120"/>
      <c r="AG99" s="119"/>
      <c r="AH99" s="124" t="str">
        <f t="shared" ca="1" si="7"/>
        <v/>
      </c>
      <c r="AI99" s="118" t="str">
        <f t="shared" ca="1" si="9"/>
        <v/>
      </c>
      <c r="AJ99" s="30" t="s">
        <v>65</v>
      </c>
      <c r="AK99" s="46"/>
      <c r="AL99" s="28" t="s">
        <v>212</v>
      </c>
    </row>
    <row r="100" spans="1:38">
      <c r="A100" s="107">
        <v>40</v>
      </c>
      <c r="B100" s="33">
        <v>43860</v>
      </c>
      <c r="C100" s="34">
        <v>0.30555555555555552</v>
      </c>
      <c r="D100" s="22" t="s">
        <v>90</v>
      </c>
      <c r="E100" s="25">
        <v>123</v>
      </c>
      <c r="F100" s="25" t="s">
        <v>17</v>
      </c>
      <c r="G100" s="25">
        <v>3</v>
      </c>
      <c r="H100" s="25" t="s">
        <v>2</v>
      </c>
      <c r="I100" s="25" t="s">
        <v>1</v>
      </c>
      <c r="J100" s="25">
        <f ca="1">VLOOKUP([Dive_Date],Tidal_coeficient[],2,FALSE)</f>
        <v>58</v>
      </c>
      <c r="K100" s="25">
        <v>4</v>
      </c>
      <c r="L100" s="40">
        <v>29</v>
      </c>
      <c r="M100" s="25">
        <f ca="1">YEAR(Table_complete_valeur[[#This Row],[Dive_Date]])</f>
        <v>2020</v>
      </c>
      <c r="N100" s="25">
        <f ca="1">DAY(Table_complete_valeur[[#This Row],[Dive_Date]])</f>
        <v>30</v>
      </c>
      <c r="O100" s="25">
        <f ca="1">MONTH(Table_complete_valeur[[#This Row],[Dive_Date]])</f>
        <v>1</v>
      </c>
      <c r="P100" s="25">
        <f ca="1">HOUR(Table_complete_valeur[[#This Row],[Time]])</f>
        <v>0</v>
      </c>
      <c r="Q100" s="25" t="str">
        <f ca="1">IF(Table_complete_valeur[[#This Row],[Dive_Hour]]&lt;12,"Morning","Afternoon")</f>
        <v>Morning</v>
      </c>
      <c r="R100" s="25">
        <f ca="1">VLOOKUP([Dive_Date],Moon_age[],2,FALSE)</f>
        <v>5</v>
      </c>
      <c r="S100" s="25" t="str">
        <f t="shared" ca="1" si="8"/>
        <v/>
      </c>
      <c r="T100" s="26" t="s">
        <v>9</v>
      </c>
      <c r="U100" s="25" t="s">
        <v>438</v>
      </c>
      <c r="V100" s="25" t="s">
        <v>214</v>
      </c>
      <c r="W100" s="27">
        <v>99</v>
      </c>
      <c r="X100" s="40">
        <v>60</v>
      </c>
      <c r="Y100" s="30" t="s">
        <v>22</v>
      </c>
      <c r="Z100" s="30" t="s">
        <v>55</v>
      </c>
      <c r="AA100" s="30">
        <v>50</v>
      </c>
      <c r="AB100" s="30">
        <v>215</v>
      </c>
      <c r="AC100" s="30">
        <v>230</v>
      </c>
      <c r="AD100" s="30"/>
      <c r="AE100" s="30">
        <v>45</v>
      </c>
      <c r="AF100" s="117">
        <v>280</v>
      </c>
      <c r="AG100" s="118">
        <f ca="1">1.29*Table_complete_valeur[[#This Row],[LF]]+3.58</f>
        <v>300.27999999999997</v>
      </c>
      <c r="AH100" s="133" t="str">
        <f t="shared" ca="1" si="7"/>
        <v>250 &lt; TL &lt; 300</v>
      </c>
      <c r="AI100" s="132" t="str">
        <f t="shared" ca="1" si="9"/>
        <v>300 &lt; TL &lt; 350</v>
      </c>
      <c r="AJ100" s="30" t="s">
        <v>66</v>
      </c>
      <c r="AK100" s="46"/>
      <c r="AL100" s="46" t="s">
        <v>183</v>
      </c>
    </row>
    <row r="101" spans="1:38">
      <c r="A101" s="107">
        <v>40</v>
      </c>
      <c r="B101" s="33">
        <v>43860</v>
      </c>
      <c r="C101" s="34">
        <v>0.30555555555555552</v>
      </c>
      <c r="D101" s="22" t="s">
        <v>90</v>
      </c>
      <c r="E101" s="25">
        <v>123</v>
      </c>
      <c r="F101" s="25" t="s">
        <v>17</v>
      </c>
      <c r="G101" s="25">
        <v>3</v>
      </c>
      <c r="H101" s="25" t="s">
        <v>2</v>
      </c>
      <c r="I101" s="25" t="s">
        <v>1</v>
      </c>
      <c r="J101" s="25">
        <f ca="1">VLOOKUP([Dive_Date],Tidal_coeficient[],2,FALSE)</f>
        <v>58</v>
      </c>
      <c r="K101" s="25">
        <v>4</v>
      </c>
      <c r="L101" s="40">
        <v>29</v>
      </c>
      <c r="M101" s="25">
        <f ca="1">YEAR(Table_complete_valeur[[#This Row],[Dive_Date]])</f>
        <v>2020</v>
      </c>
      <c r="N101" s="25">
        <f ca="1">DAY(Table_complete_valeur[[#This Row],[Dive_Date]])</f>
        <v>30</v>
      </c>
      <c r="O101" s="25">
        <f ca="1">MONTH(Table_complete_valeur[[#This Row],[Dive_Date]])</f>
        <v>1</v>
      </c>
      <c r="P101" s="25">
        <f ca="1">HOUR(Table_complete_valeur[[#This Row],[Time]])</f>
        <v>0</v>
      </c>
      <c r="Q101" s="25" t="str">
        <f ca="1">IF(Table_complete_valeur[[#This Row],[Dive_Hour]]&lt;12,"Morning","Afternoon")</f>
        <v>Morning</v>
      </c>
      <c r="R101" s="25">
        <f ca="1">VLOOKUP([Dive_Date],Moon_age[],2,FALSE)</f>
        <v>5</v>
      </c>
      <c r="S101" s="25" t="str">
        <f t="shared" ca="1" si="8"/>
        <v/>
      </c>
      <c r="T101" s="26" t="s">
        <v>9</v>
      </c>
      <c r="U101" s="25" t="s">
        <v>439</v>
      </c>
      <c r="V101" s="25" t="s">
        <v>223</v>
      </c>
      <c r="W101" s="27">
        <v>100</v>
      </c>
      <c r="X101" s="40">
        <v>60</v>
      </c>
      <c r="Y101" s="30" t="s">
        <v>22</v>
      </c>
      <c r="Z101" s="30" t="s">
        <v>55</v>
      </c>
      <c r="AA101" s="30">
        <v>50</v>
      </c>
      <c r="AB101" s="30">
        <v>205</v>
      </c>
      <c r="AC101" s="30">
        <v>211</v>
      </c>
      <c r="AD101" s="30"/>
      <c r="AE101" s="30">
        <v>47</v>
      </c>
      <c r="AF101" s="117">
        <v>277</v>
      </c>
      <c r="AG101" s="118">
        <f ca="1">1.29*Table_complete_valeur[[#This Row],[LF]]+3.58</f>
        <v>275.77</v>
      </c>
      <c r="AH101" s="133" t="str">
        <f t="shared" ca="1" si="7"/>
        <v>250 &lt; TL &lt; 300</v>
      </c>
      <c r="AI101" s="134" t="str">
        <f t="shared" ca="1" si="9"/>
        <v>250 &lt; TL &lt; 300</v>
      </c>
      <c r="AJ101" s="30" t="s">
        <v>66</v>
      </c>
      <c r="AK101" s="46"/>
      <c r="AL101" s="46" t="s">
        <v>184</v>
      </c>
    </row>
    <row r="102" spans="1:38">
      <c r="A102" s="107">
        <v>40</v>
      </c>
      <c r="B102" s="33">
        <v>43860</v>
      </c>
      <c r="C102" s="34">
        <v>0.30555555555555552</v>
      </c>
      <c r="D102" s="22" t="s">
        <v>90</v>
      </c>
      <c r="E102" s="25">
        <v>123</v>
      </c>
      <c r="F102" s="25" t="s">
        <v>17</v>
      </c>
      <c r="G102" s="25">
        <v>3</v>
      </c>
      <c r="H102" s="25" t="s">
        <v>2</v>
      </c>
      <c r="I102" s="25" t="s">
        <v>1</v>
      </c>
      <c r="J102" s="25">
        <f ca="1">VLOOKUP([Dive_Date],Tidal_coeficient[],2,FALSE)</f>
        <v>58</v>
      </c>
      <c r="K102" s="25">
        <v>4</v>
      </c>
      <c r="L102" s="40">
        <v>29</v>
      </c>
      <c r="M102" s="25">
        <f ca="1">YEAR(Table_complete_valeur[[#This Row],[Dive_Date]])</f>
        <v>2020</v>
      </c>
      <c r="N102" s="25">
        <f ca="1">DAY(Table_complete_valeur[[#This Row],[Dive_Date]])</f>
        <v>30</v>
      </c>
      <c r="O102" s="25">
        <f ca="1">MONTH(Table_complete_valeur[[#This Row],[Dive_Date]])</f>
        <v>1</v>
      </c>
      <c r="P102" s="25">
        <f ca="1">HOUR(Table_complete_valeur[[#This Row],[Time]])</f>
        <v>0</v>
      </c>
      <c r="Q102" s="25" t="str">
        <f ca="1">IF(Table_complete_valeur[[#This Row],[Dive_Hour]]&lt;12,"Morning","Afternoon")</f>
        <v>Morning</v>
      </c>
      <c r="R102" s="25">
        <f ca="1">VLOOKUP([Dive_Date],Moon_age[],2,FALSE)</f>
        <v>5</v>
      </c>
      <c r="S102" s="25" t="str">
        <f t="shared" ca="1" si="8"/>
        <v/>
      </c>
      <c r="T102" s="26" t="s">
        <v>9</v>
      </c>
      <c r="U102" s="25" t="s">
        <v>440</v>
      </c>
      <c r="V102" s="25" t="s">
        <v>224</v>
      </c>
      <c r="W102" s="27">
        <v>101</v>
      </c>
      <c r="X102" s="40">
        <v>60</v>
      </c>
      <c r="Y102" s="30" t="s">
        <v>22</v>
      </c>
      <c r="Z102" s="30" t="s">
        <v>4</v>
      </c>
      <c r="AA102" s="30">
        <v>50</v>
      </c>
      <c r="AB102" s="30">
        <v>178</v>
      </c>
      <c r="AC102" s="30">
        <v>196</v>
      </c>
      <c r="AD102" s="30"/>
      <c r="AE102" s="30">
        <v>49</v>
      </c>
      <c r="AF102" s="117">
        <v>237</v>
      </c>
      <c r="AG102" s="118">
        <f ca="1">1.29*Table_complete_valeur[[#This Row],[LF]]+3.58</f>
        <v>256.42</v>
      </c>
      <c r="AH102" s="135" t="str">
        <f t="shared" ca="1" si="7"/>
        <v>TL &lt; 250</v>
      </c>
      <c r="AI102" s="134" t="str">
        <f t="shared" ca="1" si="9"/>
        <v>250 &lt; TL &lt; 300</v>
      </c>
      <c r="AJ102" s="30" t="s">
        <v>66</v>
      </c>
      <c r="AK102" s="46"/>
      <c r="AL102" s="46" t="s">
        <v>132</v>
      </c>
    </row>
    <row r="103" spans="1:38">
      <c r="A103" s="107">
        <v>40</v>
      </c>
      <c r="B103" s="33">
        <v>43860</v>
      </c>
      <c r="C103" s="34">
        <v>0.30555555555555552</v>
      </c>
      <c r="D103" s="22" t="s">
        <v>90</v>
      </c>
      <c r="E103" s="25">
        <v>123</v>
      </c>
      <c r="F103" s="25" t="s">
        <v>17</v>
      </c>
      <c r="G103" s="25">
        <v>3</v>
      </c>
      <c r="H103" s="25" t="s">
        <v>2</v>
      </c>
      <c r="I103" s="25" t="s">
        <v>1</v>
      </c>
      <c r="J103" s="25">
        <f ca="1">VLOOKUP([Dive_Date],Tidal_coeficient[],2,FALSE)</f>
        <v>58</v>
      </c>
      <c r="K103" s="25">
        <v>4</v>
      </c>
      <c r="L103" s="40">
        <v>29</v>
      </c>
      <c r="M103" s="25">
        <f ca="1">YEAR(Table_complete_valeur[[#This Row],[Dive_Date]])</f>
        <v>2020</v>
      </c>
      <c r="N103" s="25">
        <f ca="1">DAY(Table_complete_valeur[[#This Row],[Dive_Date]])</f>
        <v>30</v>
      </c>
      <c r="O103" s="25">
        <f ca="1">MONTH(Table_complete_valeur[[#This Row],[Dive_Date]])</f>
        <v>1</v>
      </c>
      <c r="P103" s="25">
        <f ca="1">HOUR(Table_complete_valeur[[#This Row],[Time]])</f>
        <v>0</v>
      </c>
      <c r="Q103" s="25" t="str">
        <f ca="1">IF(Table_complete_valeur[[#This Row],[Dive_Hour]]&lt;12,"Morning","Afternoon")</f>
        <v>Morning</v>
      </c>
      <c r="R103" s="25">
        <f ca="1">VLOOKUP([Dive_Date],Moon_age[],2,FALSE)</f>
        <v>5</v>
      </c>
      <c r="S103" s="25" t="str">
        <f t="shared" ca="1" si="8"/>
        <v/>
      </c>
      <c r="T103" s="26" t="s">
        <v>9</v>
      </c>
      <c r="U103" s="25" t="s">
        <v>441</v>
      </c>
      <c r="V103" s="25" t="s">
        <v>225</v>
      </c>
      <c r="W103" s="27">
        <v>102</v>
      </c>
      <c r="X103" s="40">
        <v>60</v>
      </c>
      <c r="Y103" s="30" t="s">
        <v>22</v>
      </c>
      <c r="Z103" s="30" t="s">
        <v>4</v>
      </c>
      <c r="AA103" s="30">
        <v>50</v>
      </c>
      <c r="AB103" s="30">
        <v>184</v>
      </c>
      <c r="AC103" s="30">
        <v>212</v>
      </c>
      <c r="AD103" s="30">
        <v>56</v>
      </c>
      <c r="AE103" s="30">
        <v>42</v>
      </c>
      <c r="AF103" s="117">
        <v>294</v>
      </c>
      <c r="AG103" s="118">
        <f ca="1">1.29*Table_complete_valeur[[#This Row],[LF]]+3.58</f>
        <v>277.06</v>
      </c>
      <c r="AH103" s="133" t="str">
        <f t="shared" ca="1" si="7"/>
        <v>250 &lt; TL &lt; 300</v>
      </c>
      <c r="AI103" s="134" t="str">
        <f t="shared" ca="1" si="9"/>
        <v>250 &lt; TL &lt; 300</v>
      </c>
      <c r="AJ103" s="30" t="s">
        <v>66</v>
      </c>
      <c r="AK103" s="46"/>
      <c r="AL103" s="46" t="s">
        <v>132</v>
      </c>
    </row>
    <row r="104" spans="1:38">
      <c r="A104" s="107">
        <v>40</v>
      </c>
      <c r="B104" s="33">
        <v>43860</v>
      </c>
      <c r="C104" s="34">
        <v>0.30555555555555552</v>
      </c>
      <c r="D104" s="22" t="s">
        <v>90</v>
      </c>
      <c r="E104" s="25">
        <v>123</v>
      </c>
      <c r="F104" s="25" t="s">
        <v>17</v>
      </c>
      <c r="G104" s="25">
        <v>3</v>
      </c>
      <c r="H104" s="25" t="s">
        <v>2</v>
      </c>
      <c r="I104" s="25" t="s">
        <v>1</v>
      </c>
      <c r="J104" s="25">
        <f ca="1">VLOOKUP([Dive_Date],Tidal_coeficient[],2,FALSE)</f>
        <v>58</v>
      </c>
      <c r="K104" s="25">
        <v>4</v>
      </c>
      <c r="L104" s="40">
        <v>29</v>
      </c>
      <c r="M104" s="25">
        <f ca="1">YEAR(Table_complete_valeur[[#This Row],[Dive_Date]])</f>
        <v>2020</v>
      </c>
      <c r="N104" s="25">
        <f ca="1">DAY(Table_complete_valeur[[#This Row],[Dive_Date]])</f>
        <v>30</v>
      </c>
      <c r="O104" s="25">
        <f ca="1">MONTH(Table_complete_valeur[[#This Row],[Dive_Date]])</f>
        <v>1</v>
      </c>
      <c r="P104" s="25">
        <f ca="1">HOUR(Table_complete_valeur[[#This Row],[Time]])</f>
        <v>0</v>
      </c>
      <c r="Q104" s="25" t="str">
        <f ca="1">IF(Table_complete_valeur[[#This Row],[Dive_Hour]]&lt;12,"Morning","Afternoon")</f>
        <v>Morning</v>
      </c>
      <c r="R104" s="25">
        <f ca="1">VLOOKUP([Dive_Date],Moon_age[],2,FALSE)</f>
        <v>5</v>
      </c>
      <c r="S104" s="25" t="str">
        <f t="shared" ca="1" si="8"/>
        <v/>
      </c>
      <c r="T104" s="26" t="s">
        <v>9</v>
      </c>
      <c r="U104" s="25"/>
      <c r="V104" s="25" t="s">
        <v>226</v>
      </c>
      <c r="W104" s="27">
        <v>103</v>
      </c>
      <c r="X104" s="40">
        <v>60</v>
      </c>
      <c r="Y104" s="30" t="s">
        <v>87</v>
      </c>
      <c r="Z104" s="30" t="s">
        <v>55</v>
      </c>
      <c r="AA104" s="30"/>
      <c r="AB104" s="30"/>
      <c r="AC104" s="30"/>
      <c r="AD104" s="30"/>
      <c r="AE104" s="30"/>
      <c r="AF104" s="117"/>
      <c r="AG104" s="118"/>
      <c r="AH104" s="124" t="str">
        <f t="shared" ca="1" si="7"/>
        <v/>
      </c>
      <c r="AI104" s="118" t="str">
        <f t="shared" ca="1" si="9"/>
        <v/>
      </c>
      <c r="AJ104" s="30" t="s">
        <v>66</v>
      </c>
      <c r="AK104" s="46"/>
      <c r="AL104" s="46" t="s">
        <v>185</v>
      </c>
    </row>
    <row r="105" spans="1:38">
      <c r="A105" s="107">
        <v>40</v>
      </c>
      <c r="B105" s="33">
        <v>43860</v>
      </c>
      <c r="C105" s="34">
        <v>0.30555555555555552</v>
      </c>
      <c r="D105" s="22" t="s">
        <v>90</v>
      </c>
      <c r="E105" s="25">
        <v>123</v>
      </c>
      <c r="F105" s="25" t="s">
        <v>17</v>
      </c>
      <c r="G105" s="25">
        <v>3</v>
      </c>
      <c r="H105" s="25" t="s">
        <v>2</v>
      </c>
      <c r="I105" s="25" t="s">
        <v>1</v>
      </c>
      <c r="J105" s="25">
        <f ca="1">VLOOKUP([Dive_Date],Tidal_coeficient[],2,FALSE)</f>
        <v>58</v>
      </c>
      <c r="K105" s="25">
        <v>4</v>
      </c>
      <c r="L105" s="40">
        <v>29</v>
      </c>
      <c r="M105" s="25">
        <f ca="1">YEAR(Table_complete_valeur[[#This Row],[Dive_Date]])</f>
        <v>2020</v>
      </c>
      <c r="N105" s="25">
        <f ca="1">DAY(Table_complete_valeur[[#This Row],[Dive_Date]])</f>
        <v>30</v>
      </c>
      <c r="O105" s="25">
        <f ca="1">MONTH(Table_complete_valeur[[#This Row],[Dive_Date]])</f>
        <v>1</v>
      </c>
      <c r="P105" s="25">
        <f ca="1">HOUR(Table_complete_valeur[[#This Row],[Time]])</f>
        <v>0</v>
      </c>
      <c r="Q105" s="25" t="str">
        <f ca="1">IF(Table_complete_valeur[[#This Row],[Dive_Hour]]&lt;12,"Morning","Afternoon")</f>
        <v>Morning</v>
      </c>
      <c r="R105" s="25">
        <f ca="1">VLOOKUP([Dive_Date],Moon_age[],2,FALSE)</f>
        <v>5</v>
      </c>
      <c r="S105" s="25" t="str">
        <f t="shared" ca="1" si="8"/>
        <v/>
      </c>
      <c r="T105" s="26" t="s">
        <v>9</v>
      </c>
      <c r="U105" s="25"/>
      <c r="V105" s="25" t="s">
        <v>227</v>
      </c>
      <c r="W105" s="27">
        <v>104</v>
      </c>
      <c r="X105" s="40">
        <v>60</v>
      </c>
      <c r="Y105" s="30" t="s">
        <v>22</v>
      </c>
      <c r="Z105" s="30" t="s">
        <v>55</v>
      </c>
      <c r="AA105" s="30"/>
      <c r="AB105" s="30"/>
      <c r="AC105" s="30"/>
      <c r="AD105" s="30"/>
      <c r="AE105" s="30"/>
      <c r="AF105" s="117"/>
      <c r="AG105" s="118"/>
      <c r="AH105" s="124" t="str">
        <f t="shared" ca="1" si="7"/>
        <v/>
      </c>
      <c r="AI105" s="118" t="str">
        <f t="shared" ca="1" si="9"/>
        <v/>
      </c>
      <c r="AJ105" s="30" t="s">
        <v>66</v>
      </c>
      <c r="AK105" s="46"/>
      <c r="AL105" s="46" t="s">
        <v>186</v>
      </c>
    </row>
    <row r="106" spans="1:38">
      <c r="A106" s="107">
        <v>41</v>
      </c>
      <c r="B106" s="33">
        <v>43860</v>
      </c>
      <c r="C106" s="34">
        <v>0.29652777777777778</v>
      </c>
      <c r="D106" s="34" t="s">
        <v>79</v>
      </c>
      <c r="E106" s="25">
        <v>62</v>
      </c>
      <c r="F106" s="25" t="s">
        <v>128</v>
      </c>
      <c r="G106" s="25">
        <v>4</v>
      </c>
      <c r="H106" s="25" t="s">
        <v>2</v>
      </c>
      <c r="I106" s="25" t="s">
        <v>1</v>
      </c>
      <c r="J106" s="25">
        <f ca="1">VLOOKUP([Dive_Date],Tidal_coeficient[],2,FALSE)</f>
        <v>58</v>
      </c>
      <c r="K106" s="25">
        <v>4</v>
      </c>
      <c r="L106" s="40">
        <v>29</v>
      </c>
      <c r="M106" s="25">
        <f ca="1">YEAR(Table_complete_valeur[[#This Row],[Dive_Date]])</f>
        <v>2020</v>
      </c>
      <c r="N106" s="25">
        <f ca="1">DAY(Table_complete_valeur[[#This Row],[Dive_Date]])</f>
        <v>30</v>
      </c>
      <c r="O106" s="25">
        <f ca="1">MONTH(Table_complete_valeur[[#This Row],[Dive_Date]])</f>
        <v>1</v>
      </c>
      <c r="P106" s="25">
        <f ca="1">HOUR(Table_complete_valeur[[#This Row],[Time]])</f>
        <v>7</v>
      </c>
      <c r="Q106" s="25" t="str">
        <f ca="1">IF(Table_complete_valeur[[#This Row],[Dive_Hour]]&lt;12,"Morning","Afternoon")</f>
        <v>Morning</v>
      </c>
      <c r="R106" s="25">
        <f ca="1">VLOOKUP([Dive_Date],Moon_age[],2,FALSE)</f>
        <v>5</v>
      </c>
      <c r="S106" s="25" t="str">
        <f t="shared" ca="1" si="8"/>
        <v/>
      </c>
      <c r="T106" s="26" t="s">
        <v>9</v>
      </c>
      <c r="U106" s="25"/>
      <c r="V106" s="25" t="s">
        <v>303</v>
      </c>
      <c r="W106" s="27">
        <v>105</v>
      </c>
      <c r="X106" s="40">
        <v>50</v>
      </c>
      <c r="Y106" s="30" t="s">
        <v>22</v>
      </c>
      <c r="Z106" s="30" t="s">
        <v>55</v>
      </c>
      <c r="AA106" s="30"/>
      <c r="AB106" s="30"/>
      <c r="AC106" s="30"/>
      <c r="AD106" s="30"/>
      <c r="AE106" s="30"/>
      <c r="AF106" s="117"/>
      <c r="AG106" s="118"/>
      <c r="AH106" s="124" t="str">
        <f t="shared" ca="1" si="7"/>
        <v/>
      </c>
      <c r="AI106" s="118" t="str">
        <f t="shared" ca="1" si="9"/>
        <v/>
      </c>
      <c r="AJ106" s="30" t="s">
        <v>65</v>
      </c>
      <c r="AK106" s="46"/>
      <c r="AL106" s="46" t="s">
        <v>187</v>
      </c>
    </row>
    <row r="107" spans="1:38">
      <c r="A107" s="107">
        <v>41</v>
      </c>
      <c r="B107" s="33">
        <v>43860</v>
      </c>
      <c r="C107" s="34">
        <v>0.29652777777777778</v>
      </c>
      <c r="D107" s="34" t="s">
        <v>79</v>
      </c>
      <c r="E107" s="25">
        <v>62</v>
      </c>
      <c r="F107" s="25" t="s">
        <v>128</v>
      </c>
      <c r="G107" s="25">
        <v>4</v>
      </c>
      <c r="H107" s="25" t="s">
        <v>2</v>
      </c>
      <c r="I107" s="25" t="s">
        <v>1</v>
      </c>
      <c r="J107" s="25">
        <f ca="1">VLOOKUP([Dive_Date],Tidal_coeficient[],2,FALSE)</f>
        <v>58</v>
      </c>
      <c r="K107" s="25">
        <v>4</v>
      </c>
      <c r="L107" s="40">
        <v>29</v>
      </c>
      <c r="M107" s="25">
        <f ca="1">YEAR(Table_complete_valeur[[#This Row],[Dive_Date]])</f>
        <v>2020</v>
      </c>
      <c r="N107" s="25">
        <f ca="1">DAY(Table_complete_valeur[[#This Row],[Dive_Date]])</f>
        <v>30</v>
      </c>
      <c r="O107" s="25">
        <f ca="1">MONTH(Table_complete_valeur[[#This Row],[Dive_Date]])</f>
        <v>1</v>
      </c>
      <c r="P107" s="25">
        <f ca="1">HOUR(Table_complete_valeur[[#This Row],[Time]])</f>
        <v>7</v>
      </c>
      <c r="Q107" s="25" t="str">
        <f ca="1">IF(Table_complete_valeur[[#This Row],[Dive_Hour]]&lt;12,"Morning","Afternoon")</f>
        <v>Morning</v>
      </c>
      <c r="R107" s="25">
        <f ca="1">VLOOKUP([Dive_Date],Moon_age[],2,FALSE)</f>
        <v>5</v>
      </c>
      <c r="S107" s="25" t="str">
        <f t="shared" ca="1" si="8"/>
        <v/>
      </c>
      <c r="T107" s="26" t="s">
        <v>9</v>
      </c>
      <c r="U107" s="25"/>
      <c r="V107" s="25" t="s">
        <v>303</v>
      </c>
      <c r="W107" s="27">
        <v>106</v>
      </c>
      <c r="X107" s="40">
        <v>50</v>
      </c>
      <c r="Y107" s="30" t="s">
        <v>22</v>
      </c>
      <c r="Z107" s="30" t="s">
        <v>55</v>
      </c>
      <c r="AA107" s="30"/>
      <c r="AB107" s="30"/>
      <c r="AC107" s="30"/>
      <c r="AD107" s="30"/>
      <c r="AE107" s="30"/>
      <c r="AF107" s="117"/>
      <c r="AG107" s="118"/>
      <c r="AH107" s="124" t="str">
        <f t="shared" ca="1" si="7"/>
        <v/>
      </c>
      <c r="AI107" s="118" t="str">
        <f t="shared" ca="1" si="9"/>
        <v/>
      </c>
      <c r="AJ107" s="30" t="s">
        <v>65</v>
      </c>
      <c r="AK107" s="46"/>
      <c r="AL107" s="46" t="s">
        <v>187</v>
      </c>
    </row>
    <row r="108" spans="1:38">
      <c r="A108" s="107">
        <v>41</v>
      </c>
      <c r="B108" s="33">
        <v>43860</v>
      </c>
      <c r="C108" s="34">
        <v>0.29652777777777778</v>
      </c>
      <c r="D108" s="34" t="s">
        <v>79</v>
      </c>
      <c r="E108" s="25">
        <v>62</v>
      </c>
      <c r="F108" s="25" t="s">
        <v>128</v>
      </c>
      <c r="G108" s="25">
        <v>4</v>
      </c>
      <c r="H108" s="25" t="s">
        <v>2</v>
      </c>
      <c r="I108" s="25" t="s">
        <v>1</v>
      </c>
      <c r="J108" s="25">
        <f ca="1">VLOOKUP([Dive_Date],Tidal_coeficient[],2,FALSE)</f>
        <v>58</v>
      </c>
      <c r="K108" s="25">
        <v>4</v>
      </c>
      <c r="L108" s="40">
        <v>29</v>
      </c>
      <c r="M108" s="25">
        <f ca="1">YEAR(Table_complete_valeur[[#This Row],[Dive_Date]])</f>
        <v>2020</v>
      </c>
      <c r="N108" s="25">
        <f ca="1">DAY(Table_complete_valeur[[#This Row],[Dive_Date]])</f>
        <v>30</v>
      </c>
      <c r="O108" s="25">
        <f ca="1">MONTH(Table_complete_valeur[[#This Row],[Dive_Date]])</f>
        <v>1</v>
      </c>
      <c r="P108" s="25">
        <f ca="1">HOUR(Table_complete_valeur[[#This Row],[Time]])</f>
        <v>7</v>
      </c>
      <c r="Q108" s="25" t="str">
        <f ca="1">IF(Table_complete_valeur[[#This Row],[Dive_Hour]]&lt;12,"Morning","Afternoon")</f>
        <v>Morning</v>
      </c>
      <c r="R108" s="25">
        <f ca="1">VLOOKUP([Dive_Date],Moon_age[],2,FALSE)</f>
        <v>5</v>
      </c>
      <c r="S108" s="25" t="str">
        <f t="shared" ca="1" si="8"/>
        <v/>
      </c>
      <c r="T108" s="35" t="s">
        <v>7</v>
      </c>
      <c r="U108" s="25"/>
      <c r="V108" s="25" t="s">
        <v>303</v>
      </c>
      <c r="W108" s="27">
        <v>107</v>
      </c>
      <c r="X108" s="40">
        <v>50</v>
      </c>
      <c r="Y108" s="30" t="s">
        <v>22</v>
      </c>
      <c r="Z108" s="30" t="s">
        <v>55</v>
      </c>
      <c r="AA108" s="30"/>
      <c r="AB108" s="30"/>
      <c r="AC108" s="30"/>
      <c r="AD108" s="30"/>
      <c r="AE108" s="30"/>
      <c r="AF108" s="117"/>
      <c r="AG108" s="118"/>
      <c r="AH108" s="124" t="str">
        <f t="shared" ca="1" si="7"/>
        <v/>
      </c>
      <c r="AI108" s="118" t="str">
        <f t="shared" ca="1" si="9"/>
        <v/>
      </c>
      <c r="AJ108" s="30" t="s">
        <v>65</v>
      </c>
      <c r="AK108" s="46"/>
      <c r="AL108" s="46" t="s">
        <v>187</v>
      </c>
    </row>
    <row r="109" spans="1:38">
      <c r="A109" s="107">
        <v>42</v>
      </c>
      <c r="B109" s="33">
        <v>43863</v>
      </c>
      <c r="C109" s="34">
        <v>0.34375</v>
      </c>
      <c r="D109" s="34" t="s">
        <v>79</v>
      </c>
      <c r="E109" s="25">
        <v>62</v>
      </c>
      <c r="F109" s="25" t="s">
        <v>128</v>
      </c>
      <c r="G109" s="25">
        <v>3</v>
      </c>
      <c r="H109" s="25" t="s">
        <v>2</v>
      </c>
      <c r="I109" s="25" t="s">
        <v>1</v>
      </c>
      <c r="J109" s="25">
        <f ca="1">VLOOKUP([Dive_Date],Tidal_coeficient[],2,FALSE)</f>
        <v>40</v>
      </c>
      <c r="K109" s="25">
        <v>2.5</v>
      </c>
      <c r="L109" s="40">
        <v>29</v>
      </c>
      <c r="M109" s="25">
        <f ca="1">YEAR(Table_complete_valeur[[#This Row],[Dive_Date]])</f>
        <v>2020</v>
      </c>
      <c r="N109" s="25">
        <f ca="1">DAY(Table_complete_valeur[[#This Row],[Dive_Date]])</f>
        <v>2</v>
      </c>
      <c r="O109" s="25">
        <f ca="1">MONTH(Table_complete_valeur[[#This Row],[Dive_Date]])</f>
        <v>2</v>
      </c>
      <c r="P109" s="25">
        <f ca="1">HOUR(Table_complete_valeur[[#This Row],[Time]])</f>
        <v>8</v>
      </c>
      <c r="Q109" s="25" t="str">
        <f ca="1">IF(Table_complete_valeur[[#This Row],[Dive_Hour]]&lt;12,"Morning","Afternoon")</f>
        <v>Morning</v>
      </c>
      <c r="R109" s="25">
        <f ca="1">VLOOKUP([Dive_Date],Moon_age[],2,FALSE)</f>
        <v>8</v>
      </c>
      <c r="S109" s="25" t="str">
        <f t="shared" ca="1" si="8"/>
        <v/>
      </c>
      <c r="T109" s="35" t="s">
        <v>7</v>
      </c>
      <c r="U109" s="25" t="s">
        <v>442</v>
      </c>
      <c r="V109" s="25" t="s">
        <v>284</v>
      </c>
      <c r="W109" s="27">
        <v>108</v>
      </c>
      <c r="X109" s="40">
        <v>50</v>
      </c>
      <c r="Y109" s="30" t="s">
        <v>22</v>
      </c>
      <c r="Z109" s="30" t="s">
        <v>55</v>
      </c>
      <c r="AA109" s="30">
        <v>30</v>
      </c>
      <c r="AB109" s="30">
        <v>192</v>
      </c>
      <c r="AC109" s="30">
        <v>215</v>
      </c>
      <c r="AD109" s="30"/>
      <c r="AE109" s="30">
        <v>45</v>
      </c>
      <c r="AF109" s="117">
        <v>289</v>
      </c>
      <c r="AG109" s="118">
        <f ca="1">1.29*Table_complete_valeur[[#This Row],[LF]]+3.58</f>
        <v>280.93</v>
      </c>
      <c r="AH109" s="133" t="str">
        <f t="shared" ca="1" si="7"/>
        <v>250 &lt; TL &lt; 300</v>
      </c>
      <c r="AI109" s="134" t="str">
        <f t="shared" ca="1" si="9"/>
        <v>250 &lt; TL &lt; 300</v>
      </c>
      <c r="AJ109" s="30" t="s">
        <v>65</v>
      </c>
      <c r="AK109" s="46"/>
      <c r="AL109" s="46" t="s">
        <v>188</v>
      </c>
    </row>
    <row r="110" spans="1:38">
      <c r="A110" s="107">
        <v>42</v>
      </c>
      <c r="B110" s="33">
        <v>43863</v>
      </c>
      <c r="C110" s="34">
        <v>0.34375</v>
      </c>
      <c r="D110" s="34" t="s">
        <v>79</v>
      </c>
      <c r="E110" s="25">
        <v>62</v>
      </c>
      <c r="F110" s="25" t="s">
        <v>128</v>
      </c>
      <c r="G110" s="25">
        <v>3</v>
      </c>
      <c r="H110" s="25" t="s">
        <v>2</v>
      </c>
      <c r="I110" s="25" t="s">
        <v>1</v>
      </c>
      <c r="J110" s="25">
        <f ca="1">VLOOKUP([Dive_Date],Tidal_coeficient[],2,FALSE)</f>
        <v>40</v>
      </c>
      <c r="K110" s="25">
        <v>2.5</v>
      </c>
      <c r="L110" s="40">
        <v>29</v>
      </c>
      <c r="M110" s="25">
        <f ca="1">YEAR(Table_complete_valeur[[#This Row],[Dive_Date]])</f>
        <v>2020</v>
      </c>
      <c r="N110" s="25">
        <f ca="1">DAY(Table_complete_valeur[[#This Row],[Dive_Date]])</f>
        <v>2</v>
      </c>
      <c r="O110" s="25">
        <f ca="1">MONTH(Table_complete_valeur[[#This Row],[Dive_Date]])</f>
        <v>2</v>
      </c>
      <c r="P110" s="25">
        <f ca="1">HOUR(Table_complete_valeur[[#This Row],[Time]])</f>
        <v>8</v>
      </c>
      <c r="Q110" s="25" t="str">
        <f ca="1">IF(Table_complete_valeur[[#This Row],[Dive_Hour]]&lt;12,"Morning","Afternoon")</f>
        <v>Morning</v>
      </c>
      <c r="R110" s="25">
        <f ca="1">VLOOKUP([Dive_Date],Moon_age[],2,FALSE)</f>
        <v>8</v>
      </c>
      <c r="S110" s="25" t="str">
        <f t="shared" ca="1" si="8"/>
        <v/>
      </c>
      <c r="T110" s="35" t="s">
        <v>7</v>
      </c>
      <c r="U110" s="25" t="s">
        <v>443</v>
      </c>
      <c r="V110" s="25" t="s">
        <v>285</v>
      </c>
      <c r="W110" s="27">
        <v>109</v>
      </c>
      <c r="X110" s="40">
        <v>50</v>
      </c>
      <c r="Y110" s="30" t="s">
        <v>22</v>
      </c>
      <c r="Z110" s="30" t="s">
        <v>55</v>
      </c>
      <c r="AA110" s="30">
        <v>30</v>
      </c>
      <c r="AB110" s="30">
        <v>190</v>
      </c>
      <c r="AC110" s="30">
        <v>201</v>
      </c>
      <c r="AD110" s="30"/>
      <c r="AE110" s="30">
        <v>44</v>
      </c>
      <c r="AF110" s="117">
        <v>294</v>
      </c>
      <c r="AG110" s="118">
        <f ca="1">1.29*Table_complete_valeur[[#This Row],[LF]]+3.58</f>
        <v>262.87</v>
      </c>
      <c r="AH110" s="133" t="str">
        <f t="shared" ca="1" si="7"/>
        <v>250 &lt; TL &lt; 300</v>
      </c>
      <c r="AI110" s="134" t="str">
        <f t="shared" ca="1" si="9"/>
        <v>250 &lt; TL &lt; 300</v>
      </c>
      <c r="AJ110" s="30" t="s">
        <v>65</v>
      </c>
      <c r="AK110" s="46"/>
      <c r="AL110" s="46" t="s">
        <v>188</v>
      </c>
    </row>
    <row r="111" spans="1:38">
      <c r="A111" s="107">
        <v>42</v>
      </c>
      <c r="B111" s="33">
        <v>43863</v>
      </c>
      <c r="C111" s="34">
        <v>0.34375</v>
      </c>
      <c r="D111" s="34" t="s">
        <v>79</v>
      </c>
      <c r="E111" s="25">
        <v>62</v>
      </c>
      <c r="F111" s="25" t="s">
        <v>128</v>
      </c>
      <c r="G111" s="25">
        <v>3</v>
      </c>
      <c r="H111" s="25" t="s">
        <v>2</v>
      </c>
      <c r="I111" s="25" t="s">
        <v>1</v>
      </c>
      <c r="J111" s="25">
        <f ca="1">VLOOKUP([Dive_Date],Tidal_coeficient[],2,FALSE)</f>
        <v>40</v>
      </c>
      <c r="K111" s="25">
        <v>2.5</v>
      </c>
      <c r="L111" s="40">
        <v>29</v>
      </c>
      <c r="M111" s="25">
        <f ca="1">YEAR(Table_complete_valeur[[#This Row],[Dive_Date]])</f>
        <v>2020</v>
      </c>
      <c r="N111" s="25">
        <f ca="1">DAY(Table_complete_valeur[[#This Row],[Dive_Date]])</f>
        <v>2</v>
      </c>
      <c r="O111" s="25">
        <f ca="1">MONTH(Table_complete_valeur[[#This Row],[Dive_Date]])</f>
        <v>2</v>
      </c>
      <c r="P111" s="25">
        <f ca="1">HOUR(Table_complete_valeur[[#This Row],[Time]])</f>
        <v>8</v>
      </c>
      <c r="Q111" s="25" t="str">
        <f ca="1">IF(Table_complete_valeur[[#This Row],[Dive_Hour]]&lt;12,"Morning","Afternoon")</f>
        <v>Morning</v>
      </c>
      <c r="R111" s="25">
        <f ca="1">VLOOKUP([Dive_Date],Moon_age[],2,FALSE)</f>
        <v>8</v>
      </c>
      <c r="S111" s="25" t="str">
        <f t="shared" ca="1" si="8"/>
        <v/>
      </c>
      <c r="T111" s="35" t="s">
        <v>7</v>
      </c>
      <c r="U111" s="25"/>
      <c r="V111" s="25" t="s">
        <v>286</v>
      </c>
      <c r="W111" s="27">
        <v>110</v>
      </c>
      <c r="X111" s="40">
        <v>50</v>
      </c>
      <c r="Y111" s="30" t="s">
        <v>22</v>
      </c>
      <c r="Z111" s="30" t="s">
        <v>55</v>
      </c>
      <c r="AA111" s="30"/>
      <c r="AB111" s="30"/>
      <c r="AC111" s="30"/>
      <c r="AD111" s="30"/>
      <c r="AE111" s="30"/>
      <c r="AF111" s="117"/>
      <c r="AG111" s="118"/>
      <c r="AH111" s="124" t="str">
        <f t="shared" ca="1" si="7"/>
        <v/>
      </c>
      <c r="AI111" s="118" t="str">
        <f t="shared" ca="1" si="9"/>
        <v/>
      </c>
      <c r="AJ111" s="30" t="s">
        <v>65</v>
      </c>
      <c r="AK111" s="46"/>
      <c r="AL111" s="46" t="s">
        <v>188</v>
      </c>
    </row>
    <row r="112" spans="1:38">
      <c r="A112" s="107">
        <v>43</v>
      </c>
      <c r="B112" s="33">
        <v>43868</v>
      </c>
      <c r="C112" s="34">
        <v>0.57638888888888895</v>
      </c>
      <c r="D112" s="34" t="s">
        <v>79</v>
      </c>
      <c r="E112" s="25">
        <v>57</v>
      </c>
      <c r="F112" s="25" t="s">
        <v>128</v>
      </c>
      <c r="G112" s="25">
        <v>3</v>
      </c>
      <c r="H112" s="25" t="s">
        <v>2</v>
      </c>
      <c r="I112" s="25" t="s">
        <v>1</v>
      </c>
      <c r="J112" s="25">
        <f ca="1">VLOOKUP([Dive_Date],Tidal_coeficient[],2,FALSE)</f>
        <v>82</v>
      </c>
      <c r="K112" s="25">
        <v>4</v>
      </c>
      <c r="L112" s="40">
        <v>29</v>
      </c>
      <c r="M112" s="25">
        <f ca="1">YEAR(Table_complete_valeur[[#This Row],[Dive_Date]])</f>
        <v>2020</v>
      </c>
      <c r="N112" s="25">
        <f ca="1">DAY(Table_complete_valeur[[#This Row],[Dive_Date]])</f>
        <v>7</v>
      </c>
      <c r="O112" s="25">
        <f ca="1">MONTH(Table_complete_valeur[[#This Row],[Dive_Date]])</f>
        <v>2</v>
      </c>
      <c r="P112" s="25">
        <f ca="1">HOUR(Table_complete_valeur[[#This Row],[Time]])</f>
        <v>13</v>
      </c>
      <c r="Q112" s="25" t="str">
        <f ca="1">IF(Table_complete_valeur[[#This Row],[Dive_Hour]]&lt;12,"Morning","Afternoon")</f>
        <v>Afternoon</v>
      </c>
      <c r="R112" s="25">
        <f ca="1">VLOOKUP([Dive_Date],Moon_age[],2,FALSE)</f>
        <v>13</v>
      </c>
      <c r="S112" s="25" t="str">
        <f t="shared" ca="1" si="8"/>
        <v/>
      </c>
      <c r="T112" s="35" t="s">
        <v>7</v>
      </c>
      <c r="U112" s="25" t="s">
        <v>451</v>
      </c>
      <c r="V112" s="25" t="s">
        <v>287</v>
      </c>
      <c r="W112" s="27">
        <v>111</v>
      </c>
      <c r="X112" s="40">
        <v>50</v>
      </c>
      <c r="Y112" s="30" t="s">
        <v>22</v>
      </c>
      <c r="Z112" s="30" t="s">
        <v>55</v>
      </c>
      <c r="AA112" s="30">
        <v>30</v>
      </c>
      <c r="AB112" s="30">
        <v>195</v>
      </c>
      <c r="AC112" s="30">
        <v>207</v>
      </c>
      <c r="AD112" s="30">
        <v>65</v>
      </c>
      <c r="AE112" s="30"/>
      <c r="AF112" s="117">
        <v>275</v>
      </c>
      <c r="AG112" s="118">
        <f ca="1">1.29*Table_complete_valeur[[#This Row],[LF]]+3.58</f>
        <v>270.61</v>
      </c>
      <c r="AH112" s="133" t="str">
        <f t="shared" ca="1" si="7"/>
        <v>250 &lt; TL &lt; 300</v>
      </c>
      <c r="AI112" s="134" t="str">
        <f t="shared" ca="1" si="9"/>
        <v>250 &lt; TL &lt; 300</v>
      </c>
      <c r="AJ112" s="30" t="s">
        <v>65</v>
      </c>
      <c r="AK112" s="46"/>
      <c r="AL112" s="46" t="s">
        <v>191</v>
      </c>
    </row>
    <row r="113" spans="1:38">
      <c r="A113" s="107">
        <v>44</v>
      </c>
      <c r="B113" s="21">
        <v>43869</v>
      </c>
      <c r="C113" s="48"/>
      <c r="D113" s="22" t="s">
        <v>90</v>
      </c>
      <c r="E113" s="23">
        <v>130</v>
      </c>
      <c r="F113" s="23" t="s">
        <v>17</v>
      </c>
      <c r="G113" s="23">
        <v>4</v>
      </c>
      <c r="H113" s="25" t="s">
        <v>2</v>
      </c>
      <c r="I113" s="25" t="s">
        <v>1</v>
      </c>
      <c r="J113" s="23">
        <f ca="1">VLOOKUP([Dive_Date],Tidal_coeficient[],2,FALSE)</f>
        <v>93</v>
      </c>
      <c r="K113" s="109"/>
      <c r="L113" s="40">
        <v>29</v>
      </c>
      <c r="M113" s="23">
        <f ca="1">YEAR(Table_complete_valeur[[#This Row],[Dive_Date]])</f>
        <v>2020</v>
      </c>
      <c r="N113" s="23">
        <f ca="1">DAY(Table_complete_valeur[[#This Row],[Dive_Date]])</f>
        <v>8</v>
      </c>
      <c r="O113" s="23">
        <f ca="1">MONTH(Table_complete_valeur[[#This Row],[Dive_Date]])</f>
        <v>2</v>
      </c>
      <c r="P113" s="23">
        <f ca="1">HOUR(Table_complete_valeur[[#This Row],[Time]])</f>
        <v>0</v>
      </c>
      <c r="Q113" s="25" t="str">
        <f ca="1">IF(Table_complete_valeur[[#This Row],[Dive_Hour]]&lt;12,"Morning","Afternoon")</f>
        <v>Morning</v>
      </c>
      <c r="R113" s="25">
        <f ca="1">VLOOKUP([Dive_Date],Moon_age[],2,FALSE)</f>
        <v>14</v>
      </c>
      <c r="S113" s="25" t="str">
        <f t="shared" ca="1" si="8"/>
        <v/>
      </c>
      <c r="T113" s="35" t="s">
        <v>7</v>
      </c>
      <c r="U113" s="25"/>
      <c r="V113" s="23" t="s">
        <v>229</v>
      </c>
      <c r="W113" s="27">
        <v>112</v>
      </c>
      <c r="X113" s="24">
        <v>60</v>
      </c>
      <c r="Y113" s="30" t="s">
        <v>22</v>
      </c>
      <c r="Z113" s="27" t="s">
        <v>55</v>
      </c>
      <c r="AA113" s="30"/>
      <c r="AB113" s="27"/>
      <c r="AC113" s="27"/>
      <c r="AD113" s="27"/>
      <c r="AE113" s="27"/>
      <c r="AF113" s="123"/>
      <c r="AG113" s="118"/>
      <c r="AH113" s="124" t="str">
        <f t="shared" ca="1" si="7"/>
        <v/>
      </c>
      <c r="AI113" s="118" t="str">
        <f t="shared" ca="1" si="9"/>
        <v/>
      </c>
      <c r="AJ113" s="30" t="s">
        <v>66</v>
      </c>
      <c r="AK113" s="46"/>
      <c r="AL113" s="28" t="s">
        <v>184</v>
      </c>
    </row>
    <row r="114" spans="1:38">
      <c r="A114" s="107">
        <v>44</v>
      </c>
      <c r="B114" s="21">
        <v>43869</v>
      </c>
      <c r="C114" s="48"/>
      <c r="D114" s="22" t="s">
        <v>90</v>
      </c>
      <c r="E114" s="23">
        <v>130</v>
      </c>
      <c r="F114" s="23" t="s">
        <v>17</v>
      </c>
      <c r="G114" s="23">
        <v>4</v>
      </c>
      <c r="H114" s="25" t="s">
        <v>2</v>
      </c>
      <c r="I114" s="25" t="s">
        <v>1</v>
      </c>
      <c r="J114" s="23">
        <f ca="1">VLOOKUP([Dive_Date],Tidal_coeficient[],2,FALSE)</f>
        <v>93</v>
      </c>
      <c r="K114" s="109"/>
      <c r="L114" s="40">
        <v>29</v>
      </c>
      <c r="M114" s="23">
        <f ca="1">YEAR(Table_complete_valeur[[#This Row],[Dive_Date]])</f>
        <v>2020</v>
      </c>
      <c r="N114" s="23">
        <f ca="1">DAY(Table_complete_valeur[[#This Row],[Dive_Date]])</f>
        <v>8</v>
      </c>
      <c r="O114" s="23">
        <f ca="1">MONTH(Table_complete_valeur[[#This Row],[Dive_Date]])</f>
        <v>2</v>
      </c>
      <c r="P114" s="23">
        <f ca="1">HOUR(Table_complete_valeur[[#This Row],[Time]])</f>
        <v>0</v>
      </c>
      <c r="Q114" s="25" t="str">
        <f ca="1">IF(Table_complete_valeur[[#This Row],[Dive_Hour]]&lt;12,"Morning","Afternoon")</f>
        <v>Morning</v>
      </c>
      <c r="R114" s="25">
        <f ca="1">VLOOKUP([Dive_Date],Moon_age[],2,FALSE)</f>
        <v>14</v>
      </c>
      <c r="S114" s="25" t="str">
        <f t="shared" ca="1" si="8"/>
        <v/>
      </c>
      <c r="T114" s="35" t="s">
        <v>7</v>
      </c>
      <c r="U114" s="25" t="s">
        <v>455</v>
      </c>
      <c r="V114" s="23" t="s">
        <v>215</v>
      </c>
      <c r="W114" s="27">
        <v>113</v>
      </c>
      <c r="X114" s="24">
        <v>55</v>
      </c>
      <c r="Y114" s="30" t="s">
        <v>22</v>
      </c>
      <c r="Z114" s="27" t="s">
        <v>4</v>
      </c>
      <c r="AA114" s="30" t="s">
        <v>189</v>
      </c>
      <c r="AB114" s="27">
        <v>205</v>
      </c>
      <c r="AC114" s="27">
        <v>229</v>
      </c>
      <c r="AD114" s="27">
        <v>74</v>
      </c>
      <c r="AE114" s="27">
        <v>45</v>
      </c>
      <c r="AF114" s="120">
        <v>273</v>
      </c>
      <c r="AG114" s="118">
        <f ca="1">1.29*Table_complete_valeur[[#This Row],[LF]]+3.58</f>
        <v>298.99</v>
      </c>
      <c r="AH114" s="133" t="str">
        <f t="shared" ca="1" si="7"/>
        <v>250 &lt; TL &lt; 300</v>
      </c>
      <c r="AI114" s="134" t="str">
        <f t="shared" ca="1" si="9"/>
        <v>250 &lt; TL &lt; 300</v>
      </c>
      <c r="AJ114" s="30" t="s">
        <v>66</v>
      </c>
      <c r="AK114" s="46" t="s">
        <v>453</v>
      </c>
      <c r="AL114" s="28" t="s">
        <v>445</v>
      </c>
    </row>
    <row r="115" spans="1:38">
      <c r="A115" s="107">
        <v>44</v>
      </c>
      <c r="B115" s="21">
        <v>43869</v>
      </c>
      <c r="C115" s="48"/>
      <c r="D115" s="22" t="s">
        <v>90</v>
      </c>
      <c r="E115" s="23">
        <v>130</v>
      </c>
      <c r="F115" s="23" t="s">
        <v>17</v>
      </c>
      <c r="G115" s="23">
        <v>4</v>
      </c>
      <c r="H115" s="25" t="s">
        <v>2</v>
      </c>
      <c r="I115" s="25" t="s">
        <v>1</v>
      </c>
      <c r="J115" s="23">
        <f ca="1">VLOOKUP([Dive_Date],Tidal_coeficient[],2,FALSE)</f>
        <v>93</v>
      </c>
      <c r="K115" s="109"/>
      <c r="L115" s="40">
        <v>29</v>
      </c>
      <c r="M115" s="23">
        <f ca="1">YEAR(Table_complete_valeur[[#This Row],[Dive_Date]])</f>
        <v>2020</v>
      </c>
      <c r="N115" s="23">
        <f ca="1">DAY(Table_complete_valeur[[#This Row],[Dive_Date]])</f>
        <v>8</v>
      </c>
      <c r="O115" s="23">
        <f ca="1">MONTH(Table_complete_valeur[[#This Row],[Dive_Date]])</f>
        <v>2</v>
      </c>
      <c r="P115" s="23">
        <f ca="1">HOUR(Table_complete_valeur[[#This Row],[Time]])</f>
        <v>0</v>
      </c>
      <c r="Q115" s="25" t="str">
        <f ca="1">IF(Table_complete_valeur[[#This Row],[Dive_Hour]]&lt;12,"Morning","Afternoon")</f>
        <v>Morning</v>
      </c>
      <c r="R115" s="25">
        <f ca="1">VLOOKUP([Dive_Date],Moon_age[],2,FALSE)</f>
        <v>14</v>
      </c>
      <c r="S115" s="25" t="str">
        <f t="shared" ca="1" si="8"/>
        <v/>
      </c>
      <c r="T115" s="35" t="s">
        <v>7</v>
      </c>
      <c r="U115" s="25" t="s">
        <v>456</v>
      </c>
      <c r="V115" s="23" t="s">
        <v>230</v>
      </c>
      <c r="W115" s="27">
        <v>114</v>
      </c>
      <c r="X115" s="24">
        <v>55</v>
      </c>
      <c r="Y115" s="30" t="s">
        <v>22</v>
      </c>
      <c r="Z115" s="27" t="s">
        <v>4</v>
      </c>
      <c r="AA115" s="30" t="s">
        <v>189</v>
      </c>
      <c r="AB115" s="27">
        <v>288</v>
      </c>
      <c r="AC115" s="27">
        <v>306</v>
      </c>
      <c r="AD115" s="27"/>
      <c r="AE115" s="27">
        <v>59</v>
      </c>
      <c r="AF115" s="120">
        <v>386</v>
      </c>
      <c r="AG115" s="118">
        <f ca="1">1.29*Table_complete_valeur[[#This Row],[LF]]+3.58</f>
        <v>398.32</v>
      </c>
      <c r="AH115" s="138" t="str">
        <f t="shared" ca="1" si="7"/>
        <v>350 &lt; TL &lt; 400</v>
      </c>
      <c r="AI115" s="137" t="str">
        <f t="shared" ca="1" si="9"/>
        <v>350 &lt; TL &lt; 400</v>
      </c>
      <c r="AJ115" s="30" t="s">
        <v>66</v>
      </c>
      <c r="AK115" s="46"/>
      <c r="AL115" s="28" t="s">
        <v>445</v>
      </c>
    </row>
    <row r="116" spans="1:38">
      <c r="A116" s="107">
        <v>44</v>
      </c>
      <c r="B116" s="21">
        <v>43869</v>
      </c>
      <c r="C116" s="48"/>
      <c r="D116" s="22" t="s">
        <v>90</v>
      </c>
      <c r="E116" s="23">
        <v>130</v>
      </c>
      <c r="F116" s="23" t="s">
        <v>17</v>
      </c>
      <c r="G116" s="23">
        <v>4</v>
      </c>
      <c r="H116" s="25" t="s">
        <v>2</v>
      </c>
      <c r="I116" s="25" t="s">
        <v>1</v>
      </c>
      <c r="J116" s="23">
        <f ca="1">VLOOKUP([Dive_Date],Tidal_coeficient[],2,FALSE)</f>
        <v>93</v>
      </c>
      <c r="K116" s="109"/>
      <c r="L116" s="40">
        <v>29</v>
      </c>
      <c r="M116" s="23">
        <f ca="1">YEAR(Table_complete_valeur[[#This Row],[Dive_Date]])</f>
        <v>2020</v>
      </c>
      <c r="N116" s="23">
        <f ca="1">DAY(Table_complete_valeur[[#This Row],[Dive_Date]])</f>
        <v>8</v>
      </c>
      <c r="O116" s="23">
        <f ca="1">MONTH(Table_complete_valeur[[#This Row],[Dive_Date]])</f>
        <v>2</v>
      </c>
      <c r="P116" s="23">
        <f ca="1">HOUR(Table_complete_valeur[[#This Row],[Time]])</f>
        <v>0</v>
      </c>
      <c r="Q116" s="25" t="str">
        <f ca="1">IF(Table_complete_valeur[[#This Row],[Dive_Hour]]&lt;12,"Morning","Afternoon")</f>
        <v>Morning</v>
      </c>
      <c r="R116" s="25">
        <f ca="1">VLOOKUP([Dive_Date],Moon_age[],2,FALSE)</f>
        <v>14</v>
      </c>
      <c r="S116" s="25" t="str">
        <f t="shared" ca="1" si="8"/>
        <v/>
      </c>
      <c r="T116" s="35" t="s">
        <v>7</v>
      </c>
      <c r="U116" s="25" t="s">
        <v>457</v>
      </c>
      <c r="V116" s="23" t="s">
        <v>231</v>
      </c>
      <c r="W116" s="27">
        <v>115</v>
      </c>
      <c r="X116" s="24">
        <v>55</v>
      </c>
      <c r="Y116" s="30" t="s">
        <v>22</v>
      </c>
      <c r="Z116" s="27" t="s">
        <v>4</v>
      </c>
      <c r="AA116" s="30" t="s">
        <v>189</v>
      </c>
      <c r="AB116" s="27">
        <v>197</v>
      </c>
      <c r="AC116" s="27">
        <v>213</v>
      </c>
      <c r="AD116" s="27"/>
      <c r="AE116" s="27">
        <v>44</v>
      </c>
      <c r="AF116" s="120">
        <v>279</v>
      </c>
      <c r="AG116" s="118">
        <f ca="1">1.29*Table_complete_valeur[[#This Row],[LF]]+3.58</f>
        <v>278.34999999999997</v>
      </c>
      <c r="AH116" s="133" t="str">
        <f t="shared" ca="1" si="7"/>
        <v>250 &lt; TL &lt; 300</v>
      </c>
      <c r="AI116" s="134" t="str">
        <f t="shared" ca="1" si="9"/>
        <v>250 &lt; TL &lt; 300</v>
      </c>
      <c r="AJ116" s="30" t="s">
        <v>66</v>
      </c>
      <c r="AK116" s="46"/>
      <c r="AL116" s="28" t="s">
        <v>445</v>
      </c>
    </row>
    <row r="117" spans="1:38">
      <c r="A117" s="107">
        <v>44</v>
      </c>
      <c r="B117" s="21">
        <v>43869</v>
      </c>
      <c r="C117" s="48"/>
      <c r="D117" s="22" t="s">
        <v>90</v>
      </c>
      <c r="E117" s="23">
        <v>130</v>
      </c>
      <c r="F117" s="23" t="s">
        <v>17</v>
      </c>
      <c r="G117" s="23">
        <v>4</v>
      </c>
      <c r="H117" s="25" t="s">
        <v>2</v>
      </c>
      <c r="I117" s="25" t="s">
        <v>1</v>
      </c>
      <c r="J117" s="23">
        <f ca="1">VLOOKUP([Dive_Date],Tidal_coeficient[],2,FALSE)</f>
        <v>93</v>
      </c>
      <c r="K117" s="109"/>
      <c r="L117" s="40">
        <v>29</v>
      </c>
      <c r="M117" s="23">
        <f ca="1">YEAR(Table_complete_valeur[[#This Row],[Dive_Date]])</f>
        <v>2020</v>
      </c>
      <c r="N117" s="23">
        <f ca="1">DAY(Table_complete_valeur[[#This Row],[Dive_Date]])</f>
        <v>8</v>
      </c>
      <c r="O117" s="23">
        <f ca="1">MONTH(Table_complete_valeur[[#This Row],[Dive_Date]])</f>
        <v>2</v>
      </c>
      <c r="P117" s="23">
        <f ca="1">HOUR(Table_complete_valeur[[#This Row],[Time]])</f>
        <v>0</v>
      </c>
      <c r="Q117" s="25" t="str">
        <f ca="1">IF(Table_complete_valeur[[#This Row],[Dive_Hour]]&lt;12,"Morning","Afternoon")</f>
        <v>Morning</v>
      </c>
      <c r="R117" s="25">
        <f ca="1">VLOOKUP([Dive_Date],Moon_age[],2,FALSE)</f>
        <v>14</v>
      </c>
      <c r="S117" s="25" t="str">
        <f t="shared" ca="1" si="8"/>
        <v/>
      </c>
      <c r="T117" s="35" t="s">
        <v>7</v>
      </c>
      <c r="U117" s="25" t="s">
        <v>459</v>
      </c>
      <c r="V117" s="23" t="s">
        <v>232</v>
      </c>
      <c r="W117" s="27">
        <v>116</v>
      </c>
      <c r="X117" s="24">
        <v>55</v>
      </c>
      <c r="Y117" s="30" t="s">
        <v>22</v>
      </c>
      <c r="Z117" s="27" t="s">
        <v>4</v>
      </c>
      <c r="AA117" s="30">
        <v>30</v>
      </c>
      <c r="AB117" s="27">
        <v>163</v>
      </c>
      <c r="AC117" s="27">
        <v>179</v>
      </c>
      <c r="AD117" s="27"/>
      <c r="AE117" s="27">
        <v>39</v>
      </c>
      <c r="AF117" s="120">
        <v>226</v>
      </c>
      <c r="AG117" s="118">
        <f ca="1">1.29*Table_complete_valeur[[#This Row],[LF]]+3.58</f>
        <v>234.49</v>
      </c>
      <c r="AH117" s="135" t="str">
        <f t="shared" ca="1" si="7"/>
        <v>TL &lt; 250</v>
      </c>
      <c r="AI117" s="136" t="str">
        <f t="shared" ca="1" si="9"/>
        <v>TL &lt; 250</v>
      </c>
      <c r="AJ117" s="30" t="s">
        <v>66</v>
      </c>
      <c r="AK117" s="46"/>
      <c r="AL117" s="28" t="s">
        <v>445</v>
      </c>
    </row>
    <row r="118" spans="1:38">
      <c r="A118" s="107">
        <v>44</v>
      </c>
      <c r="B118" s="21">
        <v>43869</v>
      </c>
      <c r="C118" s="48"/>
      <c r="D118" s="22" t="s">
        <v>90</v>
      </c>
      <c r="E118" s="23">
        <v>130</v>
      </c>
      <c r="F118" s="23" t="s">
        <v>17</v>
      </c>
      <c r="G118" s="23">
        <v>4</v>
      </c>
      <c r="H118" s="25" t="s">
        <v>2</v>
      </c>
      <c r="I118" s="25" t="s">
        <v>1</v>
      </c>
      <c r="J118" s="23">
        <f ca="1">VLOOKUP([Dive_Date],Tidal_coeficient[],2,FALSE)</f>
        <v>93</v>
      </c>
      <c r="K118" s="109"/>
      <c r="L118" s="40">
        <v>29</v>
      </c>
      <c r="M118" s="23">
        <f ca="1">YEAR(Table_complete_valeur[[#This Row],[Dive_Date]])</f>
        <v>2020</v>
      </c>
      <c r="N118" s="23">
        <f ca="1">DAY(Table_complete_valeur[[#This Row],[Dive_Date]])</f>
        <v>8</v>
      </c>
      <c r="O118" s="23">
        <f ca="1">MONTH(Table_complete_valeur[[#This Row],[Dive_Date]])</f>
        <v>2</v>
      </c>
      <c r="P118" s="23">
        <f ca="1">HOUR(Table_complete_valeur[[#This Row],[Time]])</f>
        <v>0</v>
      </c>
      <c r="Q118" s="25" t="str">
        <f ca="1">IF(Table_complete_valeur[[#This Row],[Dive_Hour]]&lt;12,"Morning","Afternoon")</f>
        <v>Morning</v>
      </c>
      <c r="R118" s="25">
        <f ca="1">VLOOKUP([Dive_Date],Moon_age[],2,FALSE)</f>
        <v>14</v>
      </c>
      <c r="S118" s="25" t="str">
        <f t="shared" ca="1" si="8"/>
        <v/>
      </c>
      <c r="T118" s="35" t="s">
        <v>7</v>
      </c>
      <c r="U118" s="25" t="s">
        <v>444</v>
      </c>
      <c r="V118" s="23" t="s">
        <v>233</v>
      </c>
      <c r="W118" s="27">
        <v>117</v>
      </c>
      <c r="X118" s="24">
        <v>55</v>
      </c>
      <c r="Y118" s="30" t="s">
        <v>22</v>
      </c>
      <c r="Z118" s="27" t="s">
        <v>4</v>
      </c>
      <c r="AA118" s="30">
        <v>30</v>
      </c>
      <c r="AB118" s="27">
        <v>199</v>
      </c>
      <c r="AC118" s="27">
        <v>213</v>
      </c>
      <c r="AD118" s="27"/>
      <c r="AE118" s="27">
        <v>48</v>
      </c>
      <c r="AF118" s="120">
        <v>279</v>
      </c>
      <c r="AG118" s="118">
        <f ca="1">1.29*Table_complete_valeur[[#This Row],[LF]]+3.58</f>
        <v>278.34999999999997</v>
      </c>
      <c r="AH118" s="133" t="str">
        <f t="shared" ca="1" si="7"/>
        <v>250 &lt; TL &lt; 300</v>
      </c>
      <c r="AI118" s="134" t="str">
        <f t="shared" ca="1" si="9"/>
        <v>250 &lt; TL &lt; 300</v>
      </c>
      <c r="AJ118" s="30" t="s">
        <v>66</v>
      </c>
      <c r="AK118" s="46"/>
      <c r="AL118" s="28" t="s">
        <v>445</v>
      </c>
    </row>
    <row r="119" spans="1:38">
      <c r="A119" s="107">
        <v>44</v>
      </c>
      <c r="B119" s="21">
        <v>43869</v>
      </c>
      <c r="C119" s="48"/>
      <c r="D119" s="22" t="s">
        <v>90</v>
      </c>
      <c r="E119" s="23">
        <v>130</v>
      </c>
      <c r="F119" s="23" t="s">
        <v>17</v>
      </c>
      <c r="G119" s="23">
        <v>4</v>
      </c>
      <c r="H119" s="25" t="s">
        <v>2</v>
      </c>
      <c r="I119" s="25" t="s">
        <v>1</v>
      </c>
      <c r="J119" s="23">
        <f ca="1">VLOOKUP([Dive_Date],Tidal_coeficient[],2,FALSE)</f>
        <v>93</v>
      </c>
      <c r="K119" s="109"/>
      <c r="L119" s="40">
        <v>29</v>
      </c>
      <c r="M119" s="23">
        <f ca="1">YEAR(Table_complete_valeur[[#This Row],[Dive_Date]])</f>
        <v>2020</v>
      </c>
      <c r="N119" s="23">
        <f ca="1">DAY(Table_complete_valeur[[#This Row],[Dive_Date]])</f>
        <v>8</v>
      </c>
      <c r="O119" s="23">
        <f ca="1">MONTH(Table_complete_valeur[[#This Row],[Dive_Date]])</f>
        <v>2</v>
      </c>
      <c r="P119" s="23">
        <f ca="1">HOUR(Table_complete_valeur[[#This Row],[Time]])</f>
        <v>0</v>
      </c>
      <c r="Q119" s="25" t="str">
        <f ca="1">IF(Table_complete_valeur[[#This Row],[Dive_Hour]]&lt;12,"Morning","Afternoon")</f>
        <v>Morning</v>
      </c>
      <c r="R119" s="25">
        <f ca="1">VLOOKUP([Dive_Date],Moon_age[],2,FALSE)</f>
        <v>14</v>
      </c>
      <c r="S119" s="25" t="str">
        <f t="shared" ca="1" si="8"/>
        <v/>
      </c>
      <c r="T119" s="35" t="s">
        <v>7</v>
      </c>
      <c r="U119" s="25" t="s">
        <v>447</v>
      </c>
      <c r="V119" s="23" t="s">
        <v>234</v>
      </c>
      <c r="W119" s="27">
        <v>118</v>
      </c>
      <c r="X119" s="24">
        <v>55</v>
      </c>
      <c r="Y119" s="30" t="s">
        <v>22</v>
      </c>
      <c r="Z119" s="27" t="s">
        <v>4</v>
      </c>
      <c r="AA119" s="30">
        <v>30</v>
      </c>
      <c r="AB119" s="27">
        <v>172</v>
      </c>
      <c r="AC119" s="27">
        <v>206</v>
      </c>
      <c r="AD119" s="27">
        <v>63</v>
      </c>
      <c r="AE119" s="27">
        <v>43</v>
      </c>
      <c r="AF119" s="120">
        <v>225</v>
      </c>
      <c r="AG119" s="118">
        <f ca="1">1.29*Table_complete_valeur[[#This Row],[LF]]+3.58</f>
        <v>269.32</v>
      </c>
      <c r="AH119" s="135" t="str">
        <f t="shared" ca="1" si="7"/>
        <v>TL &lt; 250</v>
      </c>
      <c r="AI119" s="134" t="str">
        <f t="shared" ca="1" si="9"/>
        <v>250 &lt; TL &lt; 300</v>
      </c>
      <c r="AJ119" s="30" t="s">
        <v>66</v>
      </c>
      <c r="AK119" s="46"/>
      <c r="AL119" s="28" t="s">
        <v>445</v>
      </c>
    </row>
    <row r="120" spans="1:38">
      <c r="A120" s="107">
        <v>44</v>
      </c>
      <c r="B120" s="21">
        <v>43869</v>
      </c>
      <c r="C120" s="48"/>
      <c r="D120" s="22" t="s">
        <v>90</v>
      </c>
      <c r="E120" s="23">
        <v>130</v>
      </c>
      <c r="F120" s="23" t="s">
        <v>17</v>
      </c>
      <c r="G120" s="23">
        <v>4</v>
      </c>
      <c r="H120" s="25" t="s">
        <v>2</v>
      </c>
      <c r="I120" s="25" t="s">
        <v>1</v>
      </c>
      <c r="J120" s="23">
        <f ca="1">VLOOKUP([Dive_Date],Tidal_coeficient[],2,FALSE)</f>
        <v>93</v>
      </c>
      <c r="K120" s="109"/>
      <c r="L120" s="40">
        <v>29</v>
      </c>
      <c r="M120" s="23">
        <f ca="1">YEAR(Table_complete_valeur[[#This Row],[Dive_Date]])</f>
        <v>2020</v>
      </c>
      <c r="N120" s="23">
        <f ca="1">DAY(Table_complete_valeur[[#This Row],[Dive_Date]])</f>
        <v>8</v>
      </c>
      <c r="O120" s="23">
        <f ca="1">MONTH(Table_complete_valeur[[#This Row],[Dive_Date]])</f>
        <v>2</v>
      </c>
      <c r="P120" s="23">
        <f ca="1">HOUR(Table_complete_valeur[[#This Row],[Time]])</f>
        <v>0</v>
      </c>
      <c r="Q120" s="25" t="str">
        <f ca="1">IF(Table_complete_valeur[[#This Row],[Dive_Hour]]&lt;12,"Morning","Afternoon")</f>
        <v>Morning</v>
      </c>
      <c r="R120" s="25">
        <f ca="1">VLOOKUP([Dive_Date],Moon_age[],2,FALSE)</f>
        <v>14</v>
      </c>
      <c r="S120" s="25" t="str">
        <f t="shared" ca="1" si="8"/>
        <v/>
      </c>
      <c r="T120" s="35" t="s">
        <v>7</v>
      </c>
      <c r="U120" s="25" t="s">
        <v>448</v>
      </c>
      <c r="V120" s="23" t="s">
        <v>235</v>
      </c>
      <c r="W120" s="27">
        <v>119</v>
      </c>
      <c r="X120" s="24">
        <v>55</v>
      </c>
      <c r="Y120" s="30" t="s">
        <v>22</v>
      </c>
      <c r="Z120" s="27" t="s">
        <v>4</v>
      </c>
      <c r="AA120" s="30">
        <v>30</v>
      </c>
      <c r="AB120" s="27">
        <v>188</v>
      </c>
      <c r="AC120" s="27">
        <v>214</v>
      </c>
      <c r="AD120" s="27">
        <v>66</v>
      </c>
      <c r="AE120" s="27">
        <v>43</v>
      </c>
      <c r="AF120" s="120">
        <v>265</v>
      </c>
      <c r="AG120" s="118">
        <f ca="1">1.29*Table_complete_valeur[[#This Row],[LF]]+3.58</f>
        <v>279.64</v>
      </c>
      <c r="AH120" s="133" t="str">
        <f t="shared" ca="1" si="7"/>
        <v>250 &lt; TL &lt; 300</v>
      </c>
      <c r="AI120" s="134" t="str">
        <f t="shared" ca="1" si="9"/>
        <v>250 &lt; TL &lt; 300</v>
      </c>
      <c r="AJ120" s="30" t="s">
        <v>66</v>
      </c>
      <c r="AK120" s="46"/>
      <c r="AL120" s="28" t="s">
        <v>445</v>
      </c>
    </row>
    <row r="121" spans="1:38">
      <c r="A121" s="107">
        <v>44</v>
      </c>
      <c r="B121" s="21">
        <v>43869</v>
      </c>
      <c r="C121" s="48"/>
      <c r="D121" s="22" t="s">
        <v>90</v>
      </c>
      <c r="E121" s="23">
        <v>130</v>
      </c>
      <c r="F121" s="23" t="s">
        <v>17</v>
      </c>
      <c r="G121" s="23">
        <v>4</v>
      </c>
      <c r="H121" s="25" t="s">
        <v>2</v>
      </c>
      <c r="I121" s="25" t="s">
        <v>1</v>
      </c>
      <c r="J121" s="23">
        <f ca="1">VLOOKUP([Dive_Date],Tidal_coeficient[],2,FALSE)</f>
        <v>93</v>
      </c>
      <c r="K121" s="109"/>
      <c r="L121" s="40">
        <v>29</v>
      </c>
      <c r="M121" s="23">
        <f ca="1">YEAR(Table_complete_valeur[[#This Row],[Dive_Date]])</f>
        <v>2020</v>
      </c>
      <c r="N121" s="23">
        <f ca="1">DAY(Table_complete_valeur[[#This Row],[Dive_Date]])</f>
        <v>8</v>
      </c>
      <c r="O121" s="23">
        <f ca="1">MONTH(Table_complete_valeur[[#This Row],[Dive_Date]])</f>
        <v>2</v>
      </c>
      <c r="P121" s="23">
        <f ca="1">HOUR(Table_complete_valeur[[#This Row],[Time]])</f>
        <v>0</v>
      </c>
      <c r="Q121" s="25" t="str">
        <f ca="1">IF(Table_complete_valeur[[#This Row],[Dive_Hour]]&lt;12,"Morning","Afternoon")</f>
        <v>Morning</v>
      </c>
      <c r="R121" s="25">
        <f ca="1">VLOOKUP([Dive_Date],Moon_age[],2,FALSE)</f>
        <v>14</v>
      </c>
      <c r="S121" s="25" t="str">
        <f t="shared" ca="1" si="8"/>
        <v/>
      </c>
      <c r="T121" s="35" t="s">
        <v>7</v>
      </c>
      <c r="U121" s="25" t="s">
        <v>452</v>
      </c>
      <c r="V121" s="23" t="s">
        <v>236</v>
      </c>
      <c r="W121" s="27">
        <v>120</v>
      </c>
      <c r="X121" s="24">
        <v>55</v>
      </c>
      <c r="Y121" s="30" t="s">
        <v>22</v>
      </c>
      <c r="Z121" s="27" t="s">
        <v>4</v>
      </c>
      <c r="AA121" s="30" t="s">
        <v>189</v>
      </c>
      <c r="AB121" s="27">
        <v>221</v>
      </c>
      <c r="AC121" s="27">
        <v>234</v>
      </c>
      <c r="AD121" s="27"/>
      <c r="AE121" s="27">
        <v>45</v>
      </c>
      <c r="AF121" s="120">
        <v>293</v>
      </c>
      <c r="AG121" s="118">
        <f ca="1">1.29*Table_complete_valeur[[#This Row],[LF]]+3.58</f>
        <v>305.44</v>
      </c>
      <c r="AH121" s="133" t="str">
        <f t="shared" ca="1" si="7"/>
        <v>250 &lt; TL &lt; 300</v>
      </c>
      <c r="AI121" s="132" t="str">
        <f t="shared" ca="1" si="9"/>
        <v>300 &lt; TL &lt; 350</v>
      </c>
      <c r="AJ121" s="30" t="s">
        <v>66</v>
      </c>
      <c r="AK121" s="46" t="s">
        <v>454</v>
      </c>
      <c r="AL121" s="28" t="s">
        <v>445</v>
      </c>
    </row>
    <row r="122" spans="1:38">
      <c r="A122" s="107">
        <v>44</v>
      </c>
      <c r="B122" s="21">
        <v>43869</v>
      </c>
      <c r="C122" s="48"/>
      <c r="D122" s="22" t="s">
        <v>90</v>
      </c>
      <c r="E122" s="23">
        <v>130</v>
      </c>
      <c r="F122" s="23" t="s">
        <v>17</v>
      </c>
      <c r="G122" s="23">
        <v>4</v>
      </c>
      <c r="H122" s="25" t="s">
        <v>2</v>
      </c>
      <c r="I122" s="25" t="s">
        <v>1</v>
      </c>
      <c r="J122" s="23">
        <f ca="1">VLOOKUP([Dive_Date],Tidal_coeficient[],2,FALSE)</f>
        <v>93</v>
      </c>
      <c r="K122" s="109"/>
      <c r="L122" s="40">
        <v>29</v>
      </c>
      <c r="M122" s="23">
        <f ca="1">YEAR(Table_complete_valeur[[#This Row],[Dive_Date]])</f>
        <v>2020</v>
      </c>
      <c r="N122" s="23">
        <f ca="1">DAY(Table_complete_valeur[[#This Row],[Dive_Date]])</f>
        <v>8</v>
      </c>
      <c r="O122" s="23">
        <f ca="1">MONTH(Table_complete_valeur[[#This Row],[Dive_Date]])</f>
        <v>2</v>
      </c>
      <c r="P122" s="23">
        <f ca="1">HOUR(Table_complete_valeur[[#This Row],[Time]])</f>
        <v>0</v>
      </c>
      <c r="Q122" s="25" t="str">
        <f ca="1">IF(Table_complete_valeur[[#This Row],[Dive_Hour]]&lt;12,"Morning","Afternoon")</f>
        <v>Morning</v>
      </c>
      <c r="R122" s="25">
        <f ca="1">VLOOKUP([Dive_Date],Moon_age[],2,FALSE)</f>
        <v>14</v>
      </c>
      <c r="S122" s="25" t="str">
        <f t="shared" ca="1" si="8"/>
        <v/>
      </c>
      <c r="T122" s="35" t="s">
        <v>7</v>
      </c>
      <c r="U122" s="25" t="s">
        <v>450</v>
      </c>
      <c r="V122" s="23" t="s">
        <v>237</v>
      </c>
      <c r="W122" s="27">
        <v>122</v>
      </c>
      <c r="X122" s="24">
        <v>55</v>
      </c>
      <c r="Y122" s="30" t="s">
        <v>22</v>
      </c>
      <c r="Z122" s="27" t="s">
        <v>4</v>
      </c>
      <c r="AA122" s="30">
        <v>50</v>
      </c>
      <c r="AB122" s="27">
        <v>176</v>
      </c>
      <c r="AC122" s="27">
        <v>185</v>
      </c>
      <c r="AD122" s="27"/>
      <c r="AE122" s="27">
        <v>40</v>
      </c>
      <c r="AF122" s="120">
        <v>254</v>
      </c>
      <c r="AG122" s="118">
        <f ca="1">1.29*Table_complete_valeur[[#This Row],[LF]]+3.58</f>
        <v>242.23000000000002</v>
      </c>
      <c r="AH122" s="133" t="str">
        <f t="shared" ca="1" si="7"/>
        <v>250 &lt; TL &lt; 300</v>
      </c>
      <c r="AI122" s="136" t="str">
        <f t="shared" ca="1" si="9"/>
        <v>TL &lt; 250</v>
      </c>
      <c r="AJ122" s="30" t="s">
        <v>66</v>
      </c>
      <c r="AK122" s="46" t="s">
        <v>495</v>
      </c>
      <c r="AL122" s="28" t="s">
        <v>445</v>
      </c>
    </row>
    <row r="123" spans="1:38">
      <c r="A123" s="107">
        <v>44</v>
      </c>
      <c r="B123" s="21">
        <v>43869</v>
      </c>
      <c r="C123" s="48"/>
      <c r="D123" s="22" t="s">
        <v>90</v>
      </c>
      <c r="E123" s="23">
        <v>130</v>
      </c>
      <c r="F123" s="23" t="s">
        <v>17</v>
      </c>
      <c r="G123" s="23">
        <v>4</v>
      </c>
      <c r="H123" s="25" t="s">
        <v>2</v>
      </c>
      <c r="I123" s="25" t="s">
        <v>1</v>
      </c>
      <c r="J123" s="23">
        <f ca="1">VLOOKUP([Dive_Date],Tidal_coeficient[],2,FALSE)</f>
        <v>93</v>
      </c>
      <c r="K123" s="109"/>
      <c r="L123" s="40">
        <v>29</v>
      </c>
      <c r="M123" s="23">
        <f ca="1">YEAR(Table_complete_valeur[[#This Row],[Dive_Date]])</f>
        <v>2020</v>
      </c>
      <c r="N123" s="23">
        <f ca="1">DAY(Table_complete_valeur[[#This Row],[Dive_Date]])</f>
        <v>8</v>
      </c>
      <c r="O123" s="23">
        <f ca="1">MONTH(Table_complete_valeur[[#This Row],[Dive_Date]])</f>
        <v>2</v>
      </c>
      <c r="P123" s="23">
        <f ca="1">HOUR(Table_complete_valeur[[#This Row],[Time]])</f>
        <v>0</v>
      </c>
      <c r="Q123" s="25" t="str">
        <f ca="1">IF(Table_complete_valeur[[#This Row],[Dive_Hour]]&lt;12,"Morning","Afternoon")</f>
        <v>Morning</v>
      </c>
      <c r="R123" s="25">
        <f ca="1">VLOOKUP([Dive_Date],Moon_age[],2,FALSE)</f>
        <v>14</v>
      </c>
      <c r="S123" s="25" t="str">
        <f t="shared" ca="1" si="8"/>
        <v/>
      </c>
      <c r="T123" s="35" t="s">
        <v>7</v>
      </c>
      <c r="U123" s="25" t="s">
        <v>449</v>
      </c>
      <c r="V123" s="23" t="s">
        <v>446</v>
      </c>
      <c r="W123" s="27">
        <v>123</v>
      </c>
      <c r="X123" s="24">
        <v>55</v>
      </c>
      <c r="Y123" s="30" t="s">
        <v>22</v>
      </c>
      <c r="Z123" s="27" t="s">
        <v>4</v>
      </c>
      <c r="AA123" s="27">
        <v>30</v>
      </c>
      <c r="AB123" s="27">
        <v>219</v>
      </c>
      <c r="AC123" s="27">
        <v>234</v>
      </c>
      <c r="AD123" s="27">
        <v>64</v>
      </c>
      <c r="AE123" s="27">
        <v>53</v>
      </c>
      <c r="AF123" s="120"/>
      <c r="AG123" s="118">
        <f ca="1">1.29*Table_complete_valeur[[#This Row],[LF]]+3.58</f>
        <v>305.44</v>
      </c>
      <c r="AH123" s="124" t="str">
        <f t="shared" ca="1" si="7"/>
        <v/>
      </c>
      <c r="AI123" s="132" t="str">
        <f t="shared" ca="1" si="9"/>
        <v>300 &lt; TL &lt; 350</v>
      </c>
      <c r="AJ123" s="30" t="s">
        <v>66</v>
      </c>
      <c r="AK123" s="46"/>
      <c r="AL123" s="28" t="s">
        <v>445</v>
      </c>
    </row>
    <row r="124" spans="1:38">
      <c r="A124" s="107">
        <v>44</v>
      </c>
      <c r="B124" s="21">
        <v>43869</v>
      </c>
      <c r="C124" s="48"/>
      <c r="D124" s="22" t="s">
        <v>90</v>
      </c>
      <c r="E124" s="23">
        <v>131</v>
      </c>
      <c r="F124" s="23" t="s">
        <v>17</v>
      </c>
      <c r="G124" s="23">
        <v>5</v>
      </c>
      <c r="H124" s="25" t="s">
        <v>2</v>
      </c>
      <c r="I124" s="25" t="s">
        <v>1</v>
      </c>
      <c r="J124" s="23">
        <f ca="1">VLOOKUP([Dive_Date],Tidal_coeficient[],2,FALSE)</f>
        <v>93</v>
      </c>
      <c r="K124" s="109"/>
      <c r="L124" s="40">
        <v>30</v>
      </c>
      <c r="M124" s="23">
        <f ca="1">YEAR(Table_complete_valeur[[#This Row],[Dive_Date]])</f>
        <v>2020</v>
      </c>
      <c r="N124" s="23">
        <f ca="1">DAY(Table_complete_valeur[[#This Row],[Dive_Date]])</f>
        <v>8</v>
      </c>
      <c r="O124" s="23">
        <f ca="1">MONTH(Table_complete_valeur[[#This Row],[Dive_Date]])</f>
        <v>2</v>
      </c>
      <c r="P124" s="23">
        <f ca="1">HOUR(Table_complete_valeur[[#This Row],[Time]])</f>
        <v>0</v>
      </c>
      <c r="Q124" s="25" t="str">
        <f ca="1">IF(Table_complete_valeur[[#This Row],[Dive_Hour]]&lt;12,"Morning","Afternoon")</f>
        <v>Morning</v>
      </c>
      <c r="R124" s="25">
        <f ca="1">VLOOKUP([Dive_Date],Moon_age[],2,FALSE)</f>
        <v>14</v>
      </c>
      <c r="S124" s="25" t="str">
        <f t="shared" ca="1" si="8"/>
        <v/>
      </c>
      <c r="T124" s="35" t="s">
        <v>7</v>
      </c>
      <c r="U124" s="23" t="s">
        <v>461</v>
      </c>
      <c r="V124" s="23" t="s">
        <v>460</v>
      </c>
      <c r="W124" s="27">
        <v>124</v>
      </c>
      <c r="X124" s="24">
        <v>55</v>
      </c>
      <c r="Y124" s="27" t="s">
        <v>22</v>
      </c>
      <c r="Z124" s="27" t="s">
        <v>4</v>
      </c>
      <c r="AA124" s="27">
        <v>50</v>
      </c>
      <c r="AB124" s="27">
        <v>213</v>
      </c>
      <c r="AC124" s="27">
        <v>232</v>
      </c>
      <c r="AD124" s="27"/>
      <c r="AE124" s="27">
        <v>51</v>
      </c>
      <c r="AF124" s="120">
        <v>307</v>
      </c>
      <c r="AG124" s="118">
        <f ca="1">1.29*Table_complete_valeur[[#This Row],[LF]]+3.58</f>
        <v>302.86</v>
      </c>
      <c r="AH124" s="131" t="str">
        <f t="shared" ca="1" si="7"/>
        <v>300 &lt; TL &lt; 350</v>
      </c>
      <c r="AI124" s="132" t="str">
        <f ca="1">IF(AG124="","",IF(AG124&lt;250,"TL &lt; 250",IF(AG124&lt;300,"250 &lt; TL &lt; 300",IF(AG124&lt;350,"300 &lt; TL &lt; 350",IF(AG124&lt;400,"350 &lt; TL &lt; 400",IF(AG124&gt;400,"TL &gt; 400",""))))))</f>
        <v>300 &lt; TL &lt; 350</v>
      </c>
      <c r="AJ124" s="30" t="s">
        <v>66</v>
      </c>
      <c r="AK124" s="46"/>
      <c r="AL124" s="28" t="s">
        <v>445</v>
      </c>
    </row>
    <row r="125" spans="1:38">
      <c r="A125" s="107">
        <v>45</v>
      </c>
      <c r="B125" s="33">
        <v>43870</v>
      </c>
      <c r="C125" s="34">
        <v>0.56666666666666665</v>
      </c>
      <c r="D125" s="34" t="s">
        <v>79</v>
      </c>
      <c r="E125" s="25">
        <v>62</v>
      </c>
      <c r="F125" s="25" t="s">
        <v>128</v>
      </c>
      <c r="G125" s="25">
        <v>5</v>
      </c>
      <c r="H125" s="25" t="s">
        <v>2</v>
      </c>
      <c r="I125" s="25" t="s">
        <v>1</v>
      </c>
      <c r="J125" s="25">
        <f ca="1">VLOOKUP([Dive_Date],Tidal_coeficient[],2,FALSE)</f>
        <v>101</v>
      </c>
      <c r="K125" s="25">
        <v>2</v>
      </c>
      <c r="L125" s="40">
        <v>29</v>
      </c>
      <c r="M125" s="25">
        <f ca="1">YEAR(Table_complete_valeur[[#This Row],[Dive_Date]])</f>
        <v>2020</v>
      </c>
      <c r="N125" s="25">
        <f ca="1">DAY(Table_complete_valeur[[#This Row],[Dive_Date]])</f>
        <v>9</v>
      </c>
      <c r="O125" s="25">
        <f ca="1">MONTH(Table_complete_valeur[[#This Row],[Dive_Date]])</f>
        <v>2</v>
      </c>
      <c r="P125" s="25">
        <f ca="1">HOUR(Table_complete_valeur[[#This Row],[Time]])</f>
        <v>13</v>
      </c>
      <c r="Q125" s="25" t="str">
        <f ca="1">IF(Table_complete_valeur[[#This Row],[Dive_Hour]]&lt;12,"Morning","Afternoon")</f>
        <v>Afternoon</v>
      </c>
      <c r="R125" s="25">
        <f ca="1">VLOOKUP([Dive_Date],Moon_age[],2,FALSE)</f>
        <v>15</v>
      </c>
      <c r="S125" s="25" t="str">
        <f t="shared" ca="1" si="8"/>
        <v>Full Moon</v>
      </c>
      <c r="T125" s="35" t="s">
        <v>0</v>
      </c>
      <c r="U125" s="25"/>
      <c r="V125" s="25" t="s">
        <v>303</v>
      </c>
      <c r="W125" s="27">
        <v>125</v>
      </c>
      <c r="X125" s="40">
        <v>55</v>
      </c>
      <c r="Y125" s="30" t="s">
        <v>22</v>
      </c>
      <c r="Z125" s="30" t="s">
        <v>55</v>
      </c>
      <c r="AA125" s="30"/>
      <c r="AB125" s="30"/>
      <c r="AC125" s="30"/>
      <c r="AD125" s="30"/>
      <c r="AE125" s="30"/>
      <c r="AF125" s="117"/>
      <c r="AG125" s="118"/>
      <c r="AH125" s="124" t="str">
        <f t="shared" ca="1" si="7"/>
        <v/>
      </c>
      <c r="AI125" s="118" t="str">
        <f t="shared" ca="1" si="9"/>
        <v/>
      </c>
      <c r="AJ125" s="30" t="s">
        <v>65</v>
      </c>
      <c r="AK125" s="46"/>
      <c r="AL125" s="46" t="s">
        <v>190</v>
      </c>
    </row>
    <row r="126" spans="1:38">
      <c r="A126" s="107">
        <v>46</v>
      </c>
      <c r="B126" s="33">
        <v>43872</v>
      </c>
      <c r="C126" s="34">
        <v>0.66249999999999998</v>
      </c>
      <c r="D126" s="34" t="s">
        <v>79</v>
      </c>
      <c r="E126" s="25">
        <v>59</v>
      </c>
      <c r="F126" s="25" t="s">
        <v>128</v>
      </c>
      <c r="G126" s="25">
        <v>5</v>
      </c>
      <c r="H126" s="25" t="s">
        <v>2</v>
      </c>
      <c r="I126" s="25" t="s">
        <v>1</v>
      </c>
      <c r="J126" s="25">
        <f ca="1">VLOOKUP([Dive_Date],Tidal_coeficient[],2,FALSE)</f>
        <v>104</v>
      </c>
      <c r="K126" s="25">
        <v>2.5</v>
      </c>
      <c r="L126" s="40">
        <v>29</v>
      </c>
      <c r="M126" s="25">
        <f ca="1">YEAR(Table_complete_valeur[[#This Row],[Dive_Date]])</f>
        <v>2020</v>
      </c>
      <c r="N126" s="25">
        <f ca="1">DAY(Table_complete_valeur[[#This Row],[Dive_Date]])</f>
        <v>11</v>
      </c>
      <c r="O126" s="25">
        <f ca="1">MONTH(Table_complete_valeur[[#This Row],[Dive_Date]])</f>
        <v>2</v>
      </c>
      <c r="P126" s="25">
        <f ca="1">HOUR(Table_complete_valeur[[#This Row],[Time]])</f>
        <v>15</v>
      </c>
      <c r="Q126" s="25" t="str">
        <f ca="1">IF(Table_complete_valeur[[#This Row],[Dive_Hour]]&lt;12,"Morning","Afternoon")</f>
        <v>Afternoon</v>
      </c>
      <c r="R126" s="25">
        <f ca="1">VLOOKUP([Dive_Date],Moon_age[],2,FALSE)</f>
        <v>17</v>
      </c>
      <c r="S126" s="25" t="str">
        <f t="shared" ca="1" si="8"/>
        <v/>
      </c>
      <c r="T126" s="35" t="s">
        <v>0</v>
      </c>
      <c r="U126" s="25"/>
      <c r="V126" s="25" t="s">
        <v>303</v>
      </c>
      <c r="W126" s="27">
        <v>126</v>
      </c>
      <c r="X126" s="40">
        <v>70</v>
      </c>
      <c r="Y126" s="30" t="s">
        <v>22</v>
      </c>
      <c r="Z126" s="30" t="s">
        <v>55</v>
      </c>
      <c r="AA126" s="30"/>
      <c r="AB126" s="30"/>
      <c r="AC126" s="30"/>
      <c r="AD126" s="30"/>
      <c r="AE126" s="30"/>
      <c r="AF126" s="117"/>
      <c r="AG126" s="118"/>
      <c r="AH126" s="124" t="str">
        <f t="shared" ca="1" si="7"/>
        <v/>
      </c>
      <c r="AI126" s="118" t="str">
        <f t="shared" ca="1" si="9"/>
        <v/>
      </c>
      <c r="AJ126" s="30" t="s">
        <v>65</v>
      </c>
      <c r="AK126" s="46"/>
      <c r="AL126" s="46" t="s">
        <v>192</v>
      </c>
    </row>
    <row r="127" spans="1:38">
      <c r="A127" s="107">
        <v>47</v>
      </c>
      <c r="B127" s="21">
        <v>43873</v>
      </c>
      <c r="C127" s="48"/>
      <c r="D127" s="22" t="s">
        <v>90</v>
      </c>
      <c r="E127" s="23">
        <v>130</v>
      </c>
      <c r="F127" s="23" t="s">
        <v>17</v>
      </c>
      <c r="G127" s="23">
        <v>6</v>
      </c>
      <c r="H127" s="25" t="s">
        <v>2</v>
      </c>
      <c r="I127" s="25" t="s">
        <v>1</v>
      </c>
      <c r="J127" s="23">
        <f ca="1">VLOOKUP([Dive_Date],Tidal_coeficient[],2,FALSE)</f>
        <v>97</v>
      </c>
      <c r="K127" s="109"/>
      <c r="L127" s="40">
        <v>29</v>
      </c>
      <c r="M127" s="23">
        <f ca="1">YEAR(Table_complete_valeur[[#This Row],[Dive_Date]])</f>
        <v>2020</v>
      </c>
      <c r="N127" s="23">
        <f ca="1">DAY(Table_complete_valeur[[#This Row],[Dive_Date]])</f>
        <v>12</v>
      </c>
      <c r="O127" s="23">
        <f ca="1">MONTH(Table_complete_valeur[[#This Row],[Dive_Date]])</f>
        <v>2</v>
      </c>
      <c r="P127" s="23">
        <f ca="1">HOUR(Table_complete_valeur[[#This Row],[Time]])</f>
        <v>0</v>
      </c>
      <c r="Q127" s="25" t="str">
        <f ca="1">IF(Table_complete_valeur[[#This Row],[Dive_Hour]]&lt;12,"Morning","Afternoon")</f>
        <v>Morning</v>
      </c>
      <c r="R127" s="25">
        <f ca="1">VLOOKUP([Dive_Date],Moon_age[],2,FALSE)</f>
        <v>18</v>
      </c>
      <c r="S127" s="25" t="str">
        <f t="shared" ca="1" si="8"/>
        <v/>
      </c>
      <c r="T127" s="35" t="s">
        <v>0</v>
      </c>
      <c r="U127" s="25" t="s">
        <v>436</v>
      </c>
      <c r="V127" s="23" t="s">
        <v>228</v>
      </c>
      <c r="W127" s="27">
        <v>127</v>
      </c>
      <c r="X127" s="24">
        <v>55</v>
      </c>
      <c r="Y127" s="27" t="s">
        <v>70</v>
      </c>
      <c r="Z127" s="30" t="s">
        <v>4</v>
      </c>
      <c r="AA127" s="27">
        <v>50</v>
      </c>
      <c r="AB127" s="27">
        <v>177</v>
      </c>
      <c r="AC127" s="27">
        <v>194</v>
      </c>
      <c r="AD127" s="27"/>
      <c r="AE127" s="27">
        <v>40</v>
      </c>
      <c r="AF127" s="120">
        <v>245</v>
      </c>
      <c r="AG127" s="118">
        <f ca="1">1.29*Table_complete_valeur[[#This Row],[LF]]+3.58</f>
        <v>253.84000000000003</v>
      </c>
      <c r="AH127" s="135" t="str">
        <f t="shared" ca="1" si="7"/>
        <v>TL &lt; 250</v>
      </c>
      <c r="AI127" s="134" t="str">
        <f t="shared" ca="1" si="9"/>
        <v>250 &lt; TL &lt; 300</v>
      </c>
      <c r="AJ127" s="30" t="s">
        <v>66</v>
      </c>
      <c r="AK127" s="46"/>
      <c r="AL127" s="28" t="s">
        <v>195</v>
      </c>
    </row>
    <row r="128" spans="1:38">
      <c r="A128" s="107">
        <v>47</v>
      </c>
      <c r="B128" s="21">
        <v>43873</v>
      </c>
      <c r="C128" s="48"/>
      <c r="D128" s="22" t="s">
        <v>90</v>
      </c>
      <c r="E128" s="23">
        <v>130</v>
      </c>
      <c r="F128" s="23" t="s">
        <v>17</v>
      </c>
      <c r="G128" s="23">
        <v>6</v>
      </c>
      <c r="H128" s="25" t="s">
        <v>2</v>
      </c>
      <c r="I128" s="25" t="s">
        <v>1</v>
      </c>
      <c r="J128" s="23">
        <f ca="1">VLOOKUP([Dive_Date],Tidal_coeficient[],2,FALSE)</f>
        <v>97</v>
      </c>
      <c r="K128" s="109"/>
      <c r="L128" s="40">
        <v>29</v>
      </c>
      <c r="M128" s="23">
        <f ca="1">YEAR(Table_complete_valeur[[#This Row],[Dive_Date]])</f>
        <v>2020</v>
      </c>
      <c r="N128" s="23">
        <f ca="1">DAY(Table_complete_valeur[[#This Row],[Dive_Date]])</f>
        <v>12</v>
      </c>
      <c r="O128" s="23">
        <f ca="1">MONTH(Table_complete_valeur[[#This Row],[Dive_Date]])</f>
        <v>2</v>
      </c>
      <c r="P128" s="23">
        <f ca="1">HOUR(Table_complete_valeur[[#This Row],[Time]])</f>
        <v>0</v>
      </c>
      <c r="Q128" s="25" t="str">
        <f ca="1">IF(Table_complete_valeur[[#This Row],[Dive_Hour]]&lt;12,"Morning","Afternoon")</f>
        <v>Morning</v>
      </c>
      <c r="R128" s="25">
        <f ca="1">VLOOKUP([Dive_Date],Moon_age[],2,FALSE)</f>
        <v>18</v>
      </c>
      <c r="S128" s="25" t="str">
        <f t="shared" ca="1" si="8"/>
        <v/>
      </c>
      <c r="T128" s="35" t="s">
        <v>0</v>
      </c>
      <c r="U128" s="25"/>
      <c r="V128" s="25" t="s">
        <v>303</v>
      </c>
      <c r="W128" s="27">
        <v>128</v>
      </c>
      <c r="X128" s="24">
        <v>60</v>
      </c>
      <c r="Y128" s="27" t="s">
        <v>22</v>
      </c>
      <c r="Z128" s="27" t="s">
        <v>55</v>
      </c>
      <c r="AA128" s="27"/>
      <c r="AB128" s="27"/>
      <c r="AC128" s="27"/>
      <c r="AD128" s="27"/>
      <c r="AE128" s="27"/>
      <c r="AF128" s="120"/>
      <c r="AG128" s="118"/>
      <c r="AH128" s="124" t="str">
        <f t="shared" ca="1" si="7"/>
        <v/>
      </c>
      <c r="AI128" s="118" t="str">
        <f t="shared" ca="1" si="9"/>
        <v/>
      </c>
      <c r="AJ128" s="30" t="s">
        <v>65</v>
      </c>
      <c r="AK128" s="46"/>
      <c r="AL128" s="28" t="s">
        <v>196</v>
      </c>
    </row>
    <row r="129" spans="1:38">
      <c r="A129" s="107">
        <v>48</v>
      </c>
      <c r="B129" s="33">
        <v>43874</v>
      </c>
      <c r="C129" s="34">
        <v>0.33194444444444443</v>
      </c>
      <c r="D129" s="34" t="s">
        <v>79</v>
      </c>
      <c r="E129" s="25">
        <v>65</v>
      </c>
      <c r="F129" s="25" t="s">
        <v>128</v>
      </c>
      <c r="G129" s="25">
        <v>4</v>
      </c>
      <c r="H129" s="25" t="s">
        <v>2</v>
      </c>
      <c r="I129" s="25" t="s">
        <v>1</v>
      </c>
      <c r="J129" s="25">
        <f ca="1">VLOOKUP([Dive_Date],Tidal_coeficient[],2,FALSE)</f>
        <v>86</v>
      </c>
      <c r="K129" s="25">
        <v>5</v>
      </c>
      <c r="L129" s="40">
        <v>29</v>
      </c>
      <c r="M129" s="25">
        <f ca="1">YEAR(Table_complete_valeur[[#This Row],[Dive_Date]])</f>
        <v>2020</v>
      </c>
      <c r="N129" s="25">
        <f ca="1">DAY(Table_complete_valeur[[#This Row],[Dive_Date]])</f>
        <v>13</v>
      </c>
      <c r="O129" s="25">
        <f ca="1">MONTH(Table_complete_valeur[[#This Row],[Dive_Date]])</f>
        <v>2</v>
      </c>
      <c r="P129" s="25">
        <f ca="1">HOUR(Table_complete_valeur[[#This Row],[Time]])</f>
        <v>7</v>
      </c>
      <c r="Q129" s="25" t="str">
        <f ca="1">IF(Table_complete_valeur[[#This Row],[Dive_Hour]]&lt;12,"Morning","Afternoon")</f>
        <v>Morning</v>
      </c>
      <c r="R129" s="25">
        <f ca="1">VLOOKUP([Dive_Date],Moon_age[],2,FALSE)</f>
        <v>19</v>
      </c>
      <c r="S129" s="25" t="str">
        <f t="shared" ref="S129:S136" ca="1" si="10">IF(R129=0,"New Moon",IF(R129=7,"First Quarter",IF(R129=15,"Full Moon",IF(R129=22,"Last Quarter",""))))</f>
        <v/>
      </c>
      <c r="T129" s="35" t="s">
        <v>0</v>
      </c>
      <c r="U129" s="25"/>
      <c r="V129" s="25" t="s">
        <v>288</v>
      </c>
      <c r="W129" s="27">
        <v>129</v>
      </c>
      <c r="X129" s="40">
        <v>55</v>
      </c>
      <c r="Y129" s="30" t="s">
        <v>22</v>
      </c>
      <c r="Z129" s="30" t="s">
        <v>55</v>
      </c>
      <c r="AA129" s="30"/>
      <c r="AB129" s="30"/>
      <c r="AC129" s="30"/>
      <c r="AD129" s="30"/>
      <c r="AE129" s="30"/>
      <c r="AF129" s="117"/>
      <c r="AG129" s="118"/>
      <c r="AH129" s="124" t="str">
        <f t="shared" ca="1" si="7"/>
        <v/>
      </c>
      <c r="AI129" s="118" t="str">
        <f t="shared" ref="AI129:AI136" ca="1" si="11">IF(AG129="","",IF(AG129&lt;250,"TL &lt; 250",IF(AG129&lt;300,"250 &lt; TL &lt; 300",IF(AG129&lt;350,"300 &lt; TL &lt; 350",IF(AG129&lt;400,"350 &lt; TL &lt; 400",IF(AG129&gt;400,"TL &gt; 400",""))))))</f>
        <v/>
      </c>
      <c r="AJ129" s="30" t="s">
        <v>65</v>
      </c>
      <c r="AK129" s="46"/>
      <c r="AL129" s="46" t="s">
        <v>193</v>
      </c>
    </row>
    <row r="130" spans="1:38">
      <c r="A130" s="107">
        <v>49</v>
      </c>
      <c r="B130" s="33">
        <v>43879</v>
      </c>
      <c r="C130" s="34">
        <v>0.45069444444444445</v>
      </c>
      <c r="D130" s="34" t="s">
        <v>79</v>
      </c>
      <c r="E130" s="25">
        <v>53</v>
      </c>
      <c r="F130" s="25" t="s">
        <v>128</v>
      </c>
      <c r="G130" s="25">
        <v>6</v>
      </c>
      <c r="H130" s="25" t="s">
        <v>2</v>
      </c>
      <c r="I130" s="25" t="s">
        <v>1</v>
      </c>
      <c r="J130" s="25">
        <f ca="1">VLOOKUP([Dive_Date],Tidal_coeficient[],2,FALSE)</f>
        <v>49</v>
      </c>
      <c r="K130" s="25">
        <v>3</v>
      </c>
      <c r="L130" s="40">
        <v>29</v>
      </c>
      <c r="M130" s="25">
        <f ca="1">YEAR(Table_complete_valeur[[#This Row],[Dive_Date]])</f>
        <v>2020</v>
      </c>
      <c r="N130" s="25">
        <f ca="1">DAY(Table_complete_valeur[[#This Row],[Dive_Date]])</f>
        <v>18</v>
      </c>
      <c r="O130" s="25">
        <f ca="1">MONTH(Table_complete_valeur[[#This Row],[Dive_Date]])</f>
        <v>2</v>
      </c>
      <c r="P130" s="25">
        <f ca="1">HOUR(Table_complete_valeur[[#This Row],[Time]])</f>
        <v>10</v>
      </c>
      <c r="Q130" s="25" t="str">
        <f ca="1">IF(Table_complete_valeur[[#This Row],[Dive_Hour]]&lt;12,"Morning","Afternoon")</f>
        <v>Morning</v>
      </c>
      <c r="R130" s="25">
        <f ca="1">VLOOKUP([Dive_Date],Moon_age[],2,FALSE)</f>
        <v>24</v>
      </c>
      <c r="S130" s="25" t="str">
        <f t="shared" ca="1" si="10"/>
        <v/>
      </c>
      <c r="T130" s="35" t="s">
        <v>6</v>
      </c>
      <c r="U130" s="25" t="s">
        <v>334</v>
      </c>
      <c r="V130" s="25" t="s">
        <v>289</v>
      </c>
      <c r="W130" s="27">
        <v>130</v>
      </c>
      <c r="X130" s="40">
        <v>50</v>
      </c>
      <c r="Y130" s="30" t="s">
        <v>22</v>
      </c>
      <c r="Z130" s="30" t="s">
        <v>4</v>
      </c>
      <c r="AA130" s="30">
        <v>30</v>
      </c>
      <c r="AB130" s="30">
        <v>233</v>
      </c>
      <c r="AC130" s="30">
        <v>240</v>
      </c>
      <c r="AD130" s="30"/>
      <c r="AE130" s="30">
        <v>45</v>
      </c>
      <c r="AF130" s="117">
        <v>283</v>
      </c>
      <c r="AG130" s="118">
        <f ca="1">1.29*Table_complete_valeur[[#This Row],[LF]]+3.58</f>
        <v>338.98</v>
      </c>
      <c r="AH130" s="133" t="str">
        <f ca="1">IF(AF130="","",IF(AF130&lt;250,"TL &lt; 250",IF(AF130&lt;300,"250 &lt; TL &lt; 300",IF(AF130&lt;350,"300 &lt; TL &lt; 350",IF(AF130&lt;400,"350 &lt; TL &lt; 400",IF(AF130&gt;400,"TL &gt; 400",""))))))</f>
        <v>250 &lt; TL &lt; 300</v>
      </c>
      <c r="AI130" s="132" t="str">
        <f ca="1">IF(AG130="","",IF(AG130&lt;250,"TL &lt; 250",IF(AG130&lt;300,"250 &lt; TL &lt; 300",IF(AG130&lt;350,"300 &lt; TL &lt; 350",IF(AG130&lt;400,"350 &lt; TL &lt; 400",IF(AG130&gt;400,"TL &gt; 400",""))))))</f>
        <v>300 &lt; TL &lt; 350</v>
      </c>
      <c r="AJ130" s="30" t="s">
        <v>65</v>
      </c>
      <c r="AK130" s="46"/>
      <c r="AL130" s="46" t="s">
        <v>194</v>
      </c>
    </row>
    <row r="131" spans="1:38" s="31" customFormat="1">
      <c r="A131" s="107">
        <v>50</v>
      </c>
      <c r="B131" s="33">
        <v>43880</v>
      </c>
      <c r="C131" s="53">
        <v>0.5756944444444444</v>
      </c>
      <c r="D131" s="31" t="s">
        <v>79</v>
      </c>
      <c r="E131" s="31">
        <v>59</v>
      </c>
      <c r="F131" s="31" t="s">
        <v>128</v>
      </c>
      <c r="G131" s="31">
        <v>3</v>
      </c>
      <c r="H131" s="31" t="s">
        <v>2</v>
      </c>
      <c r="I131" s="31" t="s">
        <v>1</v>
      </c>
      <c r="J131" s="142">
        <f ca="1">VLOOKUP([Dive_Date],Tidal_coeficient[],2,FALSE)</f>
        <v>57</v>
      </c>
      <c r="K131" s="31">
        <v>5</v>
      </c>
      <c r="L131" s="31">
        <v>29</v>
      </c>
      <c r="M131" s="31">
        <f ca="1">YEAR(Table_complete_valeur[[#This Row],[Dive_Date]])</f>
        <v>2020</v>
      </c>
      <c r="N131" s="31">
        <f ca="1">DAY(Table_complete_valeur[[#This Row],[Dive_Date]])</f>
        <v>19</v>
      </c>
      <c r="O131" s="31">
        <f ca="1">MONTH(Table_complete_valeur[[#This Row],[Dive_Date]])</f>
        <v>2</v>
      </c>
      <c r="P131" s="31">
        <f ca="1">HOUR(Table_complete_valeur[[#This Row],[Time]])</f>
        <v>13</v>
      </c>
      <c r="Q131" s="25" t="str">
        <f ca="1">IF(Table_complete_valeur[[#This Row],[Dive_Hour]]&lt;12,"Morning","Afternoon")</f>
        <v>Afternoon</v>
      </c>
      <c r="R131" s="25">
        <f ca="1">VLOOKUP([Dive_Date],Moon_age[],2,FALSE)</f>
        <v>25</v>
      </c>
      <c r="S131" s="25" t="str">
        <f t="shared" ca="1" si="10"/>
        <v/>
      </c>
      <c r="T131" s="90" t="s">
        <v>6</v>
      </c>
      <c r="V131" s="31" t="s">
        <v>303</v>
      </c>
      <c r="W131" s="27">
        <v>131</v>
      </c>
      <c r="X131" s="31">
        <v>50</v>
      </c>
      <c r="Y131" s="31" t="s">
        <v>22</v>
      </c>
      <c r="Z131" s="31" t="s">
        <v>55</v>
      </c>
      <c r="AF131" s="121"/>
      <c r="AG131" s="118"/>
      <c r="AH131" s="124" t="str">
        <f t="shared" ref="AH131:AH136" ca="1" si="12">IF(AF131="","",IF(AF131&lt;250,"TL &lt; 250",IF(AF131&lt;300,"250 &lt; TL &lt; 300",IF(AF131&lt;350,"300 &lt; TL &lt; 350",IF(AF131&lt;400,"350 &lt; TL &lt; 400",IF(AF131&gt;400,"TL &gt; 400",""))))))</f>
        <v/>
      </c>
      <c r="AI131" s="118" t="str">
        <f t="shared" ca="1" si="11"/>
        <v/>
      </c>
      <c r="AJ131" s="31" t="s">
        <v>65</v>
      </c>
      <c r="AK131" s="32"/>
      <c r="AL131" s="32" t="s">
        <v>197</v>
      </c>
    </row>
    <row r="132" spans="1:38" s="31" customFormat="1">
      <c r="A132" s="107">
        <v>50</v>
      </c>
      <c r="B132" s="33">
        <v>43880</v>
      </c>
      <c r="C132" s="53">
        <v>0.5756944444444444</v>
      </c>
      <c r="D132" s="31" t="s">
        <v>79</v>
      </c>
      <c r="E132" s="31">
        <v>59</v>
      </c>
      <c r="F132" s="31" t="s">
        <v>128</v>
      </c>
      <c r="G132" s="31">
        <v>3</v>
      </c>
      <c r="H132" s="31" t="s">
        <v>2</v>
      </c>
      <c r="I132" s="31" t="s">
        <v>1</v>
      </c>
      <c r="J132" s="142">
        <f ca="1">VLOOKUP([Dive_Date],Tidal_coeficient[],2,FALSE)</f>
        <v>57</v>
      </c>
      <c r="K132" s="31">
        <v>5</v>
      </c>
      <c r="L132" s="31">
        <v>29</v>
      </c>
      <c r="M132" s="31">
        <f ca="1">YEAR(Table_complete_valeur[[#This Row],[Dive_Date]])</f>
        <v>2020</v>
      </c>
      <c r="N132" s="31">
        <f ca="1">DAY(Table_complete_valeur[[#This Row],[Dive_Date]])</f>
        <v>19</v>
      </c>
      <c r="O132" s="31">
        <f ca="1">MONTH(Table_complete_valeur[[#This Row],[Dive_Date]])</f>
        <v>2</v>
      </c>
      <c r="P132" s="31">
        <f ca="1">HOUR(Table_complete_valeur[[#This Row],[Time]])</f>
        <v>13</v>
      </c>
      <c r="Q132" s="25" t="str">
        <f ca="1">IF(Table_complete_valeur[[#This Row],[Dive_Hour]]&lt;12,"Morning","Afternoon")</f>
        <v>Afternoon</v>
      </c>
      <c r="R132" s="25">
        <f ca="1">VLOOKUP([Dive_Date],Moon_age[],2,FALSE)</f>
        <v>25</v>
      </c>
      <c r="S132" s="25" t="str">
        <f t="shared" ca="1" si="10"/>
        <v/>
      </c>
      <c r="T132" s="90" t="s">
        <v>6</v>
      </c>
      <c r="V132" s="31" t="s">
        <v>290</v>
      </c>
      <c r="W132" s="27">
        <v>132</v>
      </c>
      <c r="X132" s="31">
        <v>50</v>
      </c>
      <c r="Y132" s="31" t="s">
        <v>22</v>
      </c>
      <c r="Z132" s="31" t="s">
        <v>4</v>
      </c>
      <c r="AF132" s="121"/>
      <c r="AG132" s="118"/>
      <c r="AH132" s="124" t="str">
        <f t="shared" ca="1" si="12"/>
        <v/>
      </c>
      <c r="AI132" s="118" t="str">
        <f t="shared" ca="1" si="11"/>
        <v/>
      </c>
      <c r="AJ132" s="31" t="s">
        <v>66</v>
      </c>
      <c r="AK132" s="32"/>
      <c r="AL132" s="32" t="s">
        <v>198</v>
      </c>
    </row>
    <row r="133" spans="1:38" s="31" customFormat="1">
      <c r="A133" s="107">
        <v>50</v>
      </c>
      <c r="B133" s="33">
        <v>43880</v>
      </c>
      <c r="C133" s="53">
        <v>0.5756944444444444</v>
      </c>
      <c r="D133" s="31" t="s">
        <v>79</v>
      </c>
      <c r="E133" s="31">
        <v>59</v>
      </c>
      <c r="F133" s="31" t="s">
        <v>128</v>
      </c>
      <c r="G133" s="31">
        <v>3</v>
      </c>
      <c r="H133" s="31" t="s">
        <v>2</v>
      </c>
      <c r="I133" s="31" t="s">
        <v>1</v>
      </c>
      <c r="J133" s="142">
        <f ca="1">VLOOKUP([Dive_Date],Tidal_coeficient[],2,FALSE)</f>
        <v>57</v>
      </c>
      <c r="K133" s="31">
        <v>5</v>
      </c>
      <c r="L133" s="31">
        <v>29</v>
      </c>
      <c r="M133" s="31">
        <f ca="1">YEAR(Table_complete_valeur[[#This Row],[Dive_Date]])</f>
        <v>2020</v>
      </c>
      <c r="N133" s="31">
        <f ca="1">DAY(Table_complete_valeur[[#This Row],[Dive_Date]])</f>
        <v>19</v>
      </c>
      <c r="O133" s="31">
        <f ca="1">MONTH(Table_complete_valeur[[#This Row],[Dive_Date]])</f>
        <v>2</v>
      </c>
      <c r="P133" s="31">
        <f ca="1">HOUR(Table_complete_valeur[[#This Row],[Time]])</f>
        <v>13</v>
      </c>
      <c r="Q133" s="25" t="str">
        <f ca="1">IF(Table_complete_valeur[[#This Row],[Dive_Hour]]&lt;12,"Morning","Afternoon")</f>
        <v>Afternoon</v>
      </c>
      <c r="R133" s="25">
        <f ca="1">VLOOKUP([Dive_Date],Moon_age[],2,FALSE)</f>
        <v>25</v>
      </c>
      <c r="S133" s="25" t="str">
        <f t="shared" ca="1" si="10"/>
        <v/>
      </c>
      <c r="T133" s="90" t="s">
        <v>6</v>
      </c>
      <c r="V133" s="31" t="s">
        <v>302</v>
      </c>
      <c r="W133" s="27">
        <v>133</v>
      </c>
      <c r="X133" s="31">
        <v>50</v>
      </c>
      <c r="Y133" s="31" t="s">
        <v>22</v>
      </c>
      <c r="Z133" s="31" t="s">
        <v>55</v>
      </c>
      <c r="AF133" s="121"/>
      <c r="AG133" s="118"/>
      <c r="AH133" s="124" t="str">
        <f t="shared" ca="1" si="12"/>
        <v/>
      </c>
      <c r="AI133" s="118" t="str">
        <f t="shared" ca="1" si="11"/>
        <v/>
      </c>
      <c r="AJ133" s="31" t="s">
        <v>65</v>
      </c>
      <c r="AK133" s="32"/>
      <c r="AL133" s="32" t="s">
        <v>199</v>
      </c>
    </row>
    <row r="134" spans="1:38" s="31" customFormat="1">
      <c r="A134" s="107">
        <v>51</v>
      </c>
      <c r="B134" s="33">
        <v>43885</v>
      </c>
      <c r="C134" s="93">
        <v>0.5625</v>
      </c>
      <c r="D134" s="22" t="s">
        <v>487</v>
      </c>
      <c r="E134" s="94">
        <v>50</v>
      </c>
      <c r="F134" s="94" t="s">
        <v>128</v>
      </c>
      <c r="G134" s="94">
        <v>2</v>
      </c>
      <c r="H134" s="31" t="s">
        <v>2</v>
      </c>
      <c r="I134" s="31" t="s">
        <v>1</v>
      </c>
      <c r="J134" s="94">
        <f ca="1">VLOOKUP([Dive_Date],Tidal_coeficient[],2,FALSE)</f>
        <v>85</v>
      </c>
      <c r="K134" s="94">
        <v>1.5</v>
      </c>
      <c r="L134" s="31">
        <v>29</v>
      </c>
      <c r="M134" s="94">
        <f ca="1">YEAR(Table_complete_valeur[[#This Row],[Dive_Date]])</f>
        <v>2020</v>
      </c>
      <c r="N134" s="94">
        <f ca="1">DAY(Table_complete_valeur[[#This Row],[Dive_Date]])</f>
        <v>24</v>
      </c>
      <c r="O134" s="94">
        <f ca="1">MONTH(Table_complete_valeur[[#This Row],[Dive_Date]])</f>
        <v>2</v>
      </c>
      <c r="P134" s="31">
        <f ca="1">HOUR(Table_complete_valeur[[#This Row],[Time]])</f>
        <v>13</v>
      </c>
      <c r="Q134" s="25" t="str">
        <f ca="1">IF(Table_complete_valeur[[#This Row],[Dive_Hour]]&lt;12,"Morning","Afternoon")</f>
        <v>Afternoon</v>
      </c>
      <c r="R134" s="25">
        <f ca="1">VLOOKUP([Dive_Date],Moon_age[],2,FALSE)</f>
        <v>0</v>
      </c>
      <c r="S134" s="25" t="str">
        <f t="shared" ca="1" si="10"/>
        <v>New Moon</v>
      </c>
      <c r="T134" s="90" t="s">
        <v>6</v>
      </c>
      <c r="U134" s="94"/>
      <c r="V134" s="94" t="s">
        <v>417</v>
      </c>
      <c r="W134" s="27">
        <v>134</v>
      </c>
      <c r="X134" s="95">
        <v>18</v>
      </c>
      <c r="Y134" s="92" t="s">
        <v>23</v>
      </c>
      <c r="Z134" s="92" t="s">
        <v>55</v>
      </c>
      <c r="AA134" s="92"/>
      <c r="AB134" s="92"/>
      <c r="AC134" s="92"/>
      <c r="AD134" s="92"/>
      <c r="AE134" s="92"/>
      <c r="AF134" s="123"/>
      <c r="AG134" s="118"/>
      <c r="AH134" s="124" t="str">
        <f t="shared" ca="1" si="12"/>
        <v/>
      </c>
      <c r="AI134" s="118" t="str">
        <f t="shared" ca="1" si="11"/>
        <v/>
      </c>
      <c r="AJ134" s="31" t="s">
        <v>65</v>
      </c>
      <c r="AK134" s="96"/>
      <c r="AL134" s="97" t="s">
        <v>418</v>
      </c>
    </row>
    <row r="135" spans="1:38">
      <c r="A135" s="107">
        <v>52</v>
      </c>
      <c r="B135" s="33">
        <v>43887</v>
      </c>
      <c r="C135" s="98">
        <v>0.63194444444444442</v>
      </c>
      <c r="D135" s="98" t="s">
        <v>90</v>
      </c>
      <c r="E135" s="99">
        <v>180</v>
      </c>
      <c r="F135" s="99" t="s">
        <v>17</v>
      </c>
      <c r="G135" s="99">
        <v>2</v>
      </c>
      <c r="H135" s="31" t="s">
        <v>2</v>
      </c>
      <c r="I135" s="31" t="s">
        <v>488</v>
      </c>
      <c r="J135" s="99">
        <f ca="1">VLOOKUP([Dive_Date],Tidal_coeficient[],2,FALSE)</f>
        <v>80</v>
      </c>
      <c r="K135" s="99">
        <v>2</v>
      </c>
      <c r="L135" s="31">
        <v>29</v>
      </c>
      <c r="M135" s="99">
        <f ca="1">YEAR(Table_complete_valeur[[#This Row],[Dive_Date]])</f>
        <v>2020</v>
      </c>
      <c r="N135" s="99">
        <f ca="1">DAY(Table_complete_valeur[[#This Row],[Dive_Date]])</f>
        <v>26</v>
      </c>
      <c r="O135" s="99">
        <f ca="1">MONTH(Table_complete_valeur[[#This Row],[Dive_Date]])</f>
        <v>2</v>
      </c>
      <c r="P135" s="31">
        <f ca="1">HOUR(Table_complete_valeur[[#This Row],[Time]])</f>
        <v>15</v>
      </c>
      <c r="Q135" s="25" t="str">
        <f ca="1">IF(Table_complete_valeur[[#This Row],[Dive_Hour]]&lt;12,"Morning","Afternoon")</f>
        <v>Afternoon</v>
      </c>
      <c r="R135" s="25">
        <f ca="1">VLOOKUP([Dive_Date],Moon_age[],2,FALSE)</f>
        <v>2</v>
      </c>
      <c r="S135" s="25" t="str">
        <f t="shared" ca="1" si="10"/>
        <v/>
      </c>
      <c r="T135" s="90" t="s">
        <v>6</v>
      </c>
      <c r="U135" s="99" t="s">
        <v>437</v>
      </c>
      <c r="V135" s="99" t="s">
        <v>419</v>
      </c>
      <c r="W135" s="27">
        <v>135</v>
      </c>
      <c r="X135" s="100">
        <v>110</v>
      </c>
      <c r="Y135" s="101" t="s">
        <v>22</v>
      </c>
      <c r="Z135" s="101" t="s">
        <v>4</v>
      </c>
      <c r="AA135" s="101">
        <v>30</v>
      </c>
      <c r="AB135" s="101">
        <v>206</v>
      </c>
      <c r="AC135" s="101">
        <v>226</v>
      </c>
      <c r="AD135" s="101">
        <v>73</v>
      </c>
      <c r="AE135" s="101">
        <v>42</v>
      </c>
      <c r="AF135" s="126">
        <v>288</v>
      </c>
      <c r="AG135" s="118">
        <f ca="1">1.29*Table_complete_valeur[[#This Row],[LF]]+3.58</f>
        <v>295.12</v>
      </c>
      <c r="AH135" s="133" t="str">
        <f t="shared" ca="1" si="12"/>
        <v>250 &lt; TL &lt; 300</v>
      </c>
      <c r="AI135" s="134" t="str">
        <f t="shared" ca="1" si="11"/>
        <v>250 &lt; TL &lt; 300</v>
      </c>
      <c r="AJ135" s="101" t="s">
        <v>66</v>
      </c>
      <c r="AK135" s="102"/>
      <c r="AL135" s="46" t="s">
        <v>420</v>
      </c>
    </row>
    <row r="136" spans="1:38" ht="15.75" thickBot="1">
      <c r="A136" s="107">
        <v>52</v>
      </c>
      <c r="B136" s="33">
        <v>43887</v>
      </c>
      <c r="C136" s="98">
        <v>0.63194444444444442</v>
      </c>
      <c r="D136" s="98" t="s">
        <v>90</v>
      </c>
      <c r="E136" s="99">
        <v>180</v>
      </c>
      <c r="F136" s="99" t="s">
        <v>17</v>
      </c>
      <c r="G136" s="99">
        <v>2</v>
      </c>
      <c r="H136" s="31" t="s">
        <v>2</v>
      </c>
      <c r="I136" s="31" t="s">
        <v>488</v>
      </c>
      <c r="J136" s="99">
        <f ca="1">VLOOKUP([Dive_Date],Tidal_coeficient[],2,FALSE)</f>
        <v>80</v>
      </c>
      <c r="K136" s="99">
        <v>2</v>
      </c>
      <c r="L136" s="31">
        <v>29</v>
      </c>
      <c r="M136" s="99">
        <f ca="1">YEAR(Table_complete_valeur[[#This Row],[Dive_Date]])</f>
        <v>2020</v>
      </c>
      <c r="N136" s="99">
        <f ca="1">DAY(Table_complete_valeur[[#This Row],[Dive_Date]])</f>
        <v>26</v>
      </c>
      <c r="O136" s="99">
        <f ca="1">MONTH(Table_complete_valeur[[#This Row],[Dive_Date]])</f>
        <v>2</v>
      </c>
      <c r="P136" s="31">
        <f ca="1">HOUR(Table_complete_valeur[[#This Row],[Time]])</f>
        <v>15</v>
      </c>
      <c r="Q136" s="25" t="str">
        <f ca="1">IF(Table_complete_valeur[[#This Row],[Dive_Hour]]&lt;12,"Morning","Afternoon")</f>
        <v>Afternoon</v>
      </c>
      <c r="R136" s="25">
        <f ca="1">VLOOKUP([Dive_Date],Moon_age[],2,FALSE)</f>
        <v>2</v>
      </c>
      <c r="S136" s="25" t="str">
        <f t="shared" ca="1" si="10"/>
        <v/>
      </c>
      <c r="T136" s="90" t="s">
        <v>6</v>
      </c>
      <c r="U136" s="99"/>
      <c r="V136" s="31" t="s">
        <v>303</v>
      </c>
      <c r="W136" s="27">
        <v>135</v>
      </c>
      <c r="X136" s="100">
        <v>40</v>
      </c>
      <c r="Y136" s="30" t="s">
        <v>26</v>
      </c>
      <c r="Z136" s="30" t="s">
        <v>55</v>
      </c>
      <c r="AA136" s="101"/>
      <c r="AB136" s="101"/>
      <c r="AC136" s="101"/>
      <c r="AD136" s="101"/>
      <c r="AE136" s="101"/>
      <c r="AF136" s="127"/>
      <c r="AG136" s="128"/>
      <c r="AH136" s="140" t="str">
        <f t="shared" ca="1" si="12"/>
        <v/>
      </c>
      <c r="AI136" s="141" t="str">
        <f t="shared" ca="1" si="11"/>
        <v/>
      </c>
      <c r="AJ136" s="30" t="s">
        <v>65</v>
      </c>
      <c r="AK136" s="102"/>
      <c r="AL136" s="46" t="s">
        <v>489</v>
      </c>
    </row>
    <row r="137" spans="1:38">
      <c r="T137" s="106"/>
      <c r="AD137" s="104"/>
      <c r="AE137" s="104"/>
      <c r="AF137" s="104"/>
      <c r="AG137" s="104"/>
      <c r="AH137" s="104"/>
      <c r="AI137" s="104"/>
    </row>
    <row r="138" spans="1:38">
      <c r="AG138" s="103"/>
      <c r="AH138" s="103"/>
      <c r="AI138" s="103"/>
    </row>
  </sheetData>
  <phoneticPr fontId="6" type="noConversion"/>
  <conditionalFormatting sqref="AH2:AI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top10" dxfId="64" priority="6" rank="10"/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:J136">
    <cfRule type="colorScale" priority="1">
      <colorScale>
        <cfvo type="num" val="20"/>
        <cfvo type="percentile" val="70"/>
        <cfvo type="num" val="120"/>
        <color theme="6" tint="-0.249977111117893"/>
        <color rgb="FFFFEB84"/>
        <color rgb="FFFF0000"/>
      </colorScale>
    </cfRule>
  </conditionalFormatting>
  <conditionalFormatting sqref="AH2:AI136">
    <cfRule type="colorScale" priority="11">
      <colorScale>
        <cfvo type="formula" val="&quot;TL&lt; 250&quot;"/>
        <cfvo type="formula" val="&quot;250 &lt; TL &lt; 300&quot;"/>
        <cfvo type="formula" val="&quot;300 &lt; TL 350&quot;"/>
        <color rgb="FFF8696B"/>
        <color rgb="FFFFEB84"/>
        <color rgb="FF63BE7B"/>
      </colorScale>
    </cfRule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P3:Q16"/>
  <sheetViews>
    <sheetView topLeftCell="C1" zoomScale="60" zoomScaleNormal="60" workbookViewId="0">
      <selection activeCell="O27" sqref="O27"/>
    </sheetView>
  </sheetViews>
  <sheetFormatPr baseColWidth="10" defaultRowHeight="15"/>
  <cols>
    <col min="16" max="16" width="14.7109375" customWidth="1"/>
  </cols>
  <sheetData>
    <row r="3" spans="16:17">
      <c r="P3" t="s">
        <v>33</v>
      </c>
      <c r="Q3" t="s">
        <v>47</v>
      </c>
    </row>
    <row r="4" spans="16:17">
      <c r="P4" t="s">
        <v>34</v>
      </c>
      <c r="Q4" t="s">
        <v>24</v>
      </c>
    </row>
    <row r="5" spans="16:17">
      <c r="P5" t="s">
        <v>35</v>
      </c>
      <c r="Q5" t="s">
        <v>48</v>
      </c>
    </row>
    <row r="6" spans="16:17">
      <c r="P6" t="s">
        <v>36</v>
      </c>
      <c r="Q6" t="s">
        <v>49</v>
      </c>
    </row>
    <row r="7" spans="16:17">
      <c r="P7" t="s">
        <v>37</v>
      </c>
      <c r="Q7" t="s">
        <v>50</v>
      </c>
    </row>
    <row r="8" spans="16:17">
      <c r="P8" t="s">
        <v>38</v>
      </c>
      <c r="Q8" t="s">
        <v>51</v>
      </c>
    </row>
    <row r="9" spans="16:17">
      <c r="P9" t="s">
        <v>39</v>
      </c>
    </row>
    <row r="10" spans="16:17">
      <c r="P10" t="s">
        <v>40</v>
      </c>
      <c r="Q10" t="s">
        <v>52</v>
      </c>
    </row>
    <row r="11" spans="16:17">
      <c r="P11" t="s">
        <v>41</v>
      </c>
      <c r="Q11" t="s">
        <v>53</v>
      </c>
    </row>
    <row r="12" spans="16:17">
      <c r="P12" t="s">
        <v>42</v>
      </c>
      <c r="Q12" t="s">
        <v>58</v>
      </c>
    </row>
    <row r="13" spans="16:17">
      <c r="P13" t="s">
        <v>43</v>
      </c>
      <c r="Q13" t="s">
        <v>22</v>
      </c>
    </row>
    <row r="14" spans="16:17">
      <c r="P14" t="s">
        <v>44</v>
      </c>
      <c r="Q14" t="s">
        <v>57</v>
      </c>
    </row>
    <row r="15" spans="16:17">
      <c r="P15" t="s">
        <v>45</v>
      </c>
      <c r="Q15" t="s">
        <v>24</v>
      </c>
    </row>
    <row r="16" spans="16:17">
      <c r="P16" t="s">
        <v>46</v>
      </c>
      <c r="Q16" t="s">
        <v>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6"/>
  <dimension ref="A1:L7018"/>
  <sheetViews>
    <sheetView workbookViewId="0">
      <selection activeCell="E21" sqref="E21"/>
    </sheetView>
  </sheetViews>
  <sheetFormatPr baseColWidth="10" defaultRowHeight="15"/>
  <cols>
    <col min="1" max="1" width="11.42578125" style="112"/>
    <col min="2" max="2" width="22.140625" bestFit="1" customWidth="1"/>
    <col min="12" max="12" width="21.5703125" customWidth="1"/>
  </cols>
  <sheetData>
    <row r="1" spans="1:12">
      <c r="A1" s="110" t="s">
        <v>103</v>
      </c>
      <c r="B1" s="111" t="s">
        <v>484</v>
      </c>
      <c r="K1" s="1" t="s">
        <v>32</v>
      </c>
      <c r="L1" t="s">
        <v>27</v>
      </c>
    </row>
    <row r="2" spans="1:12">
      <c r="A2" s="112">
        <v>37639</v>
      </c>
      <c r="B2" s="1">
        <f>INT(MOD($G$2+A2-$F$2,29.53))</f>
        <v>15</v>
      </c>
      <c r="F2" s="113">
        <v>37316</v>
      </c>
      <c r="G2">
        <v>17</v>
      </c>
      <c r="K2" s="1">
        <v>1</v>
      </c>
      <c r="L2" s="4" t="s">
        <v>7</v>
      </c>
    </row>
    <row r="3" spans="1:12">
      <c r="A3" s="112">
        <v>37640</v>
      </c>
      <c r="B3" s="1">
        <f t="shared" ref="B3:B66" si="0">INT(MOD($G$2+A3-$F$2,29.53))</f>
        <v>16</v>
      </c>
      <c r="K3" s="1">
        <v>2</v>
      </c>
      <c r="L3" s="4" t="s">
        <v>12</v>
      </c>
    </row>
    <row r="4" spans="1:12">
      <c r="A4" s="112">
        <v>37641</v>
      </c>
      <c r="B4" s="1">
        <f t="shared" si="0"/>
        <v>17</v>
      </c>
      <c r="K4" s="1">
        <v>3</v>
      </c>
      <c r="L4" s="4" t="s">
        <v>0</v>
      </c>
    </row>
    <row r="5" spans="1:12">
      <c r="A5" s="112">
        <v>37642</v>
      </c>
      <c r="B5" s="1">
        <f t="shared" si="0"/>
        <v>18</v>
      </c>
      <c r="K5" s="1">
        <v>4</v>
      </c>
      <c r="L5" s="4" t="s">
        <v>13</v>
      </c>
    </row>
    <row r="6" spans="1:12">
      <c r="A6" s="112">
        <v>37643</v>
      </c>
      <c r="B6" s="1">
        <f t="shared" si="0"/>
        <v>19</v>
      </c>
      <c r="K6" s="1">
        <v>5</v>
      </c>
      <c r="L6" s="4" t="s">
        <v>6</v>
      </c>
    </row>
    <row r="7" spans="1:12">
      <c r="A7" s="112">
        <v>37644</v>
      </c>
      <c r="B7" s="1">
        <f t="shared" si="0"/>
        <v>20</v>
      </c>
      <c r="K7" s="1">
        <v>6</v>
      </c>
      <c r="L7" s="4" t="s">
        <v>10</v>
      </c>
    </row>
    <row r="8" spans="1:12">
      <c r="A8" s="112">
        <v>37645</v>
      </c>
      <c r="B8" s="1">
        <f t="shared" si="0"/>
        <v>21</v>
      </c>
      <c r="K8" s="1">
        <v>7</v>
      </c>
      <c r="L8" s="4" t="s">
        <v>9</v>
      </c>
    </row>
    <row r="9" spans="1:12">
      <c r="A9" s="112">
        <v>37646</v>
      </c>
      <c r="B9" s="1">
        <f t="shared" si="0"/>
        <v>22</v>
      </c>
      <c r="K9" s="2">
        <v>8</v>
      </c>
      <c r="L9" s="3" t="s">
        <v>11</v>
      </c>
    </row>
    <row r="10" spans="1:12">
      <c r="A10" s="112">
        <v>37647</v>
      </c>
      <c r="B10" s="1">
        <f t="shared" si="0"/>
        <v>23</v>
      </c>
    </row>
    <row r="11" spans="1:12">
      <c r="A11" s="112">
        <v>37648</v>
      </c>
      <c r="B11" s="1">
        <f t="shared" si="0"/>
        <v>24</v>
      </c>
    </row>
    <row r="12" spans="1:12">
      <c r="A12" s="112">
        <v>37649</v>
      </c>
      <c r="B12" s="1">
        <f t="shared" si="0"/>
        <v>25</v>
      </c>
    </row>
    <row r="13" spans="1:12">
      <c r="A13" s="112">
        <v>37650</v>
      </c>
      <c r="B13" s="1">
        <f t="shared" si="0"/>
        <v>26</v>
      </c>
    </row>
    <row r="14" spans="1:12">
      <c r="A14" s="112">
        <v>37651</v>
      </c>
      <c r="B14" s="1">
        <f t="shared" si="0"/>
        <v>27</v>
      </c>
    </row>
    <row r="15" spans="1:12">
      <c r="A15" s="112">
        <v>37652</v>
      </c>
      <c r="B15" s="1">
        <f t="shared" si="0"/>
        <v>28</v>
      </c>
    </row>
    <row r="16" spans="1:12">
      <c r="A16" s="112">
        <v>37653</v>
      </c>
      <c r="B16" s="1">
        <f t="shared" si="0"/>
        <v>29</v>
      </c>
    </row>
    <row r="17" spans="1:2">
      <c r="A17" s="112">
        <v>37654</v>
      </c>
      <c r="B17" s="1">
        <f t="shared" si="0"/>
        <v>0</v>
      </c>
    </row>
    <row r="18" spans="1:2">
      <c r="A18" s="112">
        <v>37655</v>
      </c>
      <c r="B18" s="1">
        <f t="shared" si="0"/>
        <v>1</v>
      </c>
    </row>
    <row r="19" spans="1:2">
      <c r="A19" s="112">
        <v>37656</v>
      </c>
      <c r="B19" s="1">
        <f t="shared" si="0"/>
        <v>2</v>
      </c>
    </row>
    <row r="20" spans="1:2">
      <c r="A20" s="112">
        <v>37657</v>
      </c>
      <c r="B20" s="1">
        <f t="shared" si="0"/>
        <v>3</v>
      </c>
    </row>
    <row r="21" spans="1:2">
      <c r="A21" s="112">
        <v>37658</v>
      </c>
      <c r="B21" s="1">
        <f t="shared" si="0"/>
        <v>4</v>
      </c>
    </row>
    <row r="22" spans="1:2">
      <c r="A22" s="112">
        <v>37659</v>
      </c>
      <c r="B22" s="1">
        <f t="shared" si="0"/>
        <v>5</v>
      </c>
    </row>
    <row r="23" spans="1:2">
      <c r="A23" s="112">
        <v>37660</v>
      </c>
      <c r="B23" s="1">
        <f t="shared" si="0"/>
        <v>6</v>
      </c>
    </row>
    <row r="24" spans="1:2">
      <c r="A24" s="112">
        <v>37661</v>
      </c>
      <c r="B24" s="1">
        <f t="shared" si="0"/>
        <v>7</v>
      </c>
    </row>
    <row r="25" spans="1:2">
      <c r="A25" s="112">
        <v>37662</v>
      </c>
      <c r="B25" s="1">
        <f t="shared" si="0"/>
        <v>8</v>
      </c>
    </row>
    <row r="26" spans="1:2">
      <c r="A26" s="112">
        <v>37663</v>
      </c>
      <c r="B26" s="1">
        <f t="shared" si="0"/>
        <v>9</v>
      </c>
    </row>
    <row r="27" spans="1:2">
      <c r="A27" s="112">
        <v>37664</v>
      </c>
      <c r="B27" s="1">
        <f t="shared" si="0"/>
        <v>10</v>
      </c>
    </row>
    <row r="28" spans="1:2">
      <c r="A28" s="112">
        <v>37665</v>
      </c>
      <c r="B28" s="1">
        <f t="shared" si="0"/>
        <v>11</v>
      </c>
    </row>
    <row r="29" spans="1:2">
      <c r="A29" s="112">
        <v>37666</v>
      </c>
      <c r="B29" s="1">
        <f t="shared" si="0"/>
        <v>12</v>
      </c>
    </row>
    <row r="30" spans="1:2">
      <c r="A30" s="112">
        <v>37667</v>
      </c>
      <c r="B30" s="1">
        <f t="shared" si="0"/>
        <v>13</v>
      </c>
    </row>
    <row r="31" spans="1:2">
      <c r="A31" s="112">
        <v>37668</v>
      </c>
      <c r="B31" s="1">
        <f t="shared" si="0"/>
        <v>14</v>
      </c>
    </row>
    <row r="32" spans="1:2">
      <c r="A32" s="112">
        <v>37669</v>
      </c>
      <c r="B32" s="1">
        <f t="shared" si="0"/>
        <v>15</v>
      </c>
    </row>
    <row r="33" spans="1:2">
      <c r="A33" s="112">
        <v>37670</v>
      </c>
      <c r="B33" s="1">
        <f t="shared" si="0"/>
        <v>16</v>
      </c>
    </row>
    <row r="34" spans="1:2">
      <c r="A34" s="112">
        <v>37671</v>
      </c>
      <c r="B34" s="1">
        <f t="shared" si="0"/>
        <v>17</v>
      </c>
    </row>
    <row r="35" spans="1:2">
      <c r="A35" s="112">
        <v>37672</v>
      </c>
      <c r="B35" s="1">
        <f t="shared" si="0"/>
        <v>18</v>
      </c>
    </row>
    <row r="36" spans="1:2">
      <c r="A36" s="112">
        <v>37673</v>
      </c>
      <c r="B36" s="1">
        <f t="shared" si="0"/>
        <v>19</v>
      </c>
    </row>
    <row r="37" spans="1:2">
      <c r="A37" s="112">
        <v>37674</v>
      </c>
      <c r="B37" s="1">
        <f t="shared" si="0"/>
        <v>20</v>
      </c>
    </row>
    <row r="38" spans="1:2">
      <c r="A38" s="112">
        <v>37675</v>
      </c>
      <c r="B38" s="1">
        <f t="shared" si="0"/>
        <v>21</v>
      </c>
    </row>
    <row r="39" spans="1:2">
      <c r="A39" s="112">
        <v>37676</v>
      </c>
      <c r="B39" s="1">
        <f t="shared" si="0"/>
        <v>22</v>
      </c>
    </row>
    <row r="40" spans="1:2">
      <c r="A40" s="112">
        <v>37677</v>
      </c>
      <c r="B40" s="1">
        <f t="shared" si="0"/>
        <v>23</v>
      </c>
    </row>
    <row r="41" spans="1:2">
      <c r="A41" s="112">
        <v>37678</v>
      </c>
      <c r="B41" s="1">
        <f t="shared" si="0"/>
        <v>24</v>
      </c>
    </row>
    <row r="42" spans="1:2">
      <c r="A42" s="112">
        <v>37679</v>
      </c>
      <c r="B42" s="1">
        <f t="shared" si="0"/>
        <v>25</v>
      </c>
    </row>
    <row r="43" spans="1:2">
      <c r="A43" s="112">
        <v>37680</v>
      </c>
      <c r="B43" s="1">
        <f t="shared" si="0"/>
        <v>26</v>
      </c>
    </row>
    <row r="44" spans="1:2">
      <c r="A44" s="112">
        <v>37681</v>
      </c>
      <c r="B44" s="1">
        <f t="shared" si="0"/>
        <v>27</v>
      </c>
    </row>
    <row r="45" spans="1:2">
      <c r="A45" s="112">
        <v>37682</v>
      </c>
      <c r="B45" s="1">
        <f t="shared" si="0"/>
        <v>28</v>
      </c>
    </row>
    <row r="46" spans="1:2">
      <c r="A46" s="112">
        <v>37683</v>
      </c>
      <c r="B46" s="1">
        <f t="shared" si="0"/>
        <v>0</v>
      </c>
    </row>
    <row r="47" spans="1:2">
      <c r="A47" s="112">
        <v>37684</v>
      </c>
      <c r="B47" s="1">
        <f t="shared" si="0"/>
        <v>1</v>
      </c>
    </row>
    <row r="48" spans="1:2">
      <c r="A48" s="112">
        <v>37685</v>
      </c>
      <c r="B48" s="1">
        <f t="shared" si="0"/>
        <v>2</v>
      </c>
    </row>
    <row r="49" spans="1:2">
      <c r="A49" s="112">
        <v>37686</v>
      </c>
      <c r="B49" s="1">
        <f t="shared" si="0"/>
        <v>3</v>
      </c>
    </row>
    <row r="50" spans="1:2">
      <c r="A50" s="112">
        <v>37687</v>
      </c>
      <c r="B50" s="1">
        <f t="shared" si="0"/>
        <v>4</v>
      </c>
    </row>
    <row r="51" spans="1:2">
      <c r="A51" s="112">
        <v>37688</v>
      </c>
      <c r="B51" s="1">
        <f t="shared" si="0"/>
        <v>5</v>
      </c>
    </row>
    <row r="52" spans="1:2">
      <c r="A52" s="112">
        <v>37689</v>
      </c>
      <c r="B52" s="1">
        <f t="shared" si="0"/>
        <v>6</v>
      </c>
    </row>
    <row r="53" spans="1:2">
      <c r="A53" s="112">
        <v>37690</v>
      </c>
      <c r="B53" s="1">
        <f t="shared" si="0"/>
        <v>7</v>
      </c>
    </row>
    <row r="54" spans="1:2">
      <c r="A54" s="112">
        <v>37691</v>
      </c>
      <c r="B54" s="1">
        <f t="shared" si="0"/>
        <v>8</v>
      </c>
    </row>
    <row r="55" spans="1:2">
      <c r="A55" s="112">
        <v>37692</v>
      </c>
      <c r="B55" s="1">
        <f t="shared" si="0"/>
        <v>9</v>
      </c>
    </row>
    <row r="56" spans="1:2">
      <c r="A56" s="112">
        <v>37693</v>
      </c>
      <c r="B56" s="1">
        <f t="shared" si="0"/>
        <v>10</v>
      </c>
    </row>
    <row r="57" spans="1:2">
      <c r="A57" s="112">
        <v>37694</v>
      </c>
      <c r="B57" s="1">
        <f t="shared" si="0"/>
        <v>11</v>
      </c>
    </row>
    <row r="58" spans="1:2">
      <c r="A58" s="112">
        <v>37695</v>
      </c>
      <c r="B58" s="1">
        <f t="shared" si="0"/>
        <v>12</v>
      </c>
    </row>
    <row r="59" spans="1:2">
      <c r="A59" s="112">
        <v>37696</v>
      </c>
      <c r="B59" s="1">
        <f t="shared" si="0"/>
        <v>13</v>
      </c>
    </row>
    <row r="60" spans="1:2">
      <c r="A60" s="112">
        <v>37697</v>
      </c>
      <c r="B60" s="1">
        <f t="shared" si="0"/>
        <v>14</v>
      </c>
    </row>
    <row r="61" spans="1:2">
      <c r="A61" s="112">
        <v>37698</v>
      </c>
      <c r="B61" s="1">
        <f t="shared" si="0"/>
        <v>15</v>
      </c>
    </row>
    <row r="62" spans="1:2">
      <c r="A62" s="112">
        <v>37699</v>
      </c>
      <c r="B62" s="1">
        <f t="shared" si="0"/>
        <v>16</v>
      </c>
    </row>
    <row r="63" spans="1:2">
      <c r="A63" s="112">
        <v>37700</v>
      </c>
      <c r="B63" s="1">
        <f t="shared" si="0"/>
        <v>17</v>
      </c>
    </row>
    <row r="64" spans="1:2">
      <c r="A64" s="112">
        <v>37701</v>
      </c>
      <c r="B64" s="1">
        <f t="shared" si="0"/>
        <v>18</v>
      </c>
    </row>
    <row r="65" spans="1:2">
      <c r="A65" s="112">
        <v>37702</v>
      </c>
      <c r="B65" s="1">
        <f t="shared" si="0"/>
        <v>19</v>
      </c>
    </row>
    <row r="66" spans="1:2">
      <c r="A66" s="112">
        <v>37703</v>
      </c>
      <c r="B66" s="1">
        <f t="shared" si="0"/>
        <v>20</v>
      </c>
    </row>
    <row r="67" spans="1:2">
      <c r="A67" s="112">
        <v>37704</v>
      </c>
      <c r="B67" s="1">
        <f t="shared" ref="B67:B130" si="1">INT(MOD($G$2+A67-$F$2,29.53))</f>
        <v>21</v>
      </c>
    </row>
    <row r="68" spans="1:2">
      <c r="A68" s="112">
        <v>37705</v>
      </c>
      <c r="B68" s="1">
        <f t="shared" si="1"/>
        <v>22</v>
      </c>
    </row>
    <row r="69" spans="1:2">
      <c r="A69" s="112">
        <v>37706</v>
      </c>
      <c r="B69" s="1">
        <f t="shared" si="1"/>
        <v>23</v>
      </c>
    </row>
    <row r="70" spans="1:2">
      <c r="A70" s="112">
        <v>37707</v>
      </c>
      <c r="B70" s="1">
        <f t="shared" si="1"/>
        <v>24</v>
      </c>
    </row>
    <row r="71" spans="1:2">
      <c r="A71" s="112">
        <v>37708</v>
      </c>
      <c r="B71" s="1">
        <f t="shared" si="1"/>
        <v>25</v>
      </c>
    </row>
    <row r="72" spans="1:2">
      <c r="A72" s="112">
        <v>37709</v>
      </c>
      <c r="B72" s="1">
        <f t="shared" si="1"/>
        <v>26</v>
      </c>
    </row>
    <row r="73" spans="1:2">
      <c r="A73" s="112">
        <v>37710</v>
      </c>
      <c r="B73" s="1">
        <f t="shared" si="1"/>
        <v>27</v>
      </c>
    </row>
    <row r="74" spans="1:2">
      <c r="A74" s="112">
        <v>37711</v>
      </c>
      <c r="B74" s="1">
        <f t="shared" si="1"/>
        <v>28</v>
      </c>
    </row>
    <row r="75" spans="1:2">
      <c r="A75" s="112">
        <v>37712</v>
      </c>
      <c r="B75" s="1">
        <f t="shared" si="1"/>
        <v>29</v>
      </c>
    </row>
    <row r="76" spans="1:2">
      <c r="A76" s="112">
        <v>37713</v>
      </c>
      <c r="B76" s="1">
        <f t="shared" si="1"/>
        <v>0</v>
      </c>
    </row>
    <row r="77" spans="1:2">
      <c r="A77" s="112">
        <v>37714</v>
      </c>
      <c r="B77" s="1">
        <f t="shared" si="1"/>
        <v>1</v>
      </c>
    </row>
    <row r="78" spans="1:2">
      <c r="A78" s="112">
        <v>37715</v>
      </c>
      <c r="B78" s="1">
        <f t="shared" si="1"/>
        <v>2</v>
      </c>
    </row>
    <row r="79" spans="1:2">
      <c r="A79" s="112">
        <v>37716</v>
      </c>
      <c r="B79" s="1">
        <f t="shared" si="1"/>
        <v>3</v>
      </c>
    </row>
    <row r="80" spans="1:2">
      <c r="A80" s="112">
        <v>37717</v>
      </c>
      <c r="B80" s="1">
        <f t="shared" si="1"/>
        <v>4</v>
      </c>
    </row>
    <row r="81" spans="1:2">
      <c r="A81" s="112">
        <v>37718</v>
      </c>
      <c r="B81" s="1">
        <f t="shared" si="1"/>
        <v>5</v>
      </c>
    </row>
    <row r="82" spans="1:2">
      <c r="A82" s="112">
        <v>37719</v>
      </c>
      <c r="B82" s="1">
        <f t="shared" si="1"/>
        <v>6</v>
      </c>
    </row>
    <row r="83" spans="1:2">
      <c r="A83" s="112">
        <v>37720</v>
      </c>
      <c r="B83" s="1">
        <f t="shared" si="1"/>
        <v>7</v>
      </c>
    </row>
    <row r="84" spans="1:2">
      <c r="A84" s="112">
        <v>37721</v>
      </c>
      <c r="B84" s="1">
        <f t="shared" si="1"/>
        <v>8</v>
      </c>
    </row>
    <row r="85" spans="1:2">
      <c r="A85" s="112">
        <v>37722</v>
      </c>
      <c r="B85" s="1">
        <f t="shared" si="1"/>
        <v>9</v>
      </c>
    </row>
    <row r="86" spans="1:2">
      <c r="A86" s="112">
        <v>37723</v>
      </c>
      <c r="B86" s="1">
        <f t="shared" si="1"/>
        <v>10</v>
      </c>
    </row>
    <row r="87" spans="1:2">
      <c r="A87" s="112">
        <v>37724</v>
      </c>
      <c r="B87" s="1">
        <f t="shared" si="1"/>
        <v>11</v>
      </c>
    </row>
    <row r="88" spans="1:2">
      <c r="A88" s="112">
        <v>37725</v>
      </c>
      <c r="B88" s="1">
        <f t="shared" si="1"/>
        <v>12</v>
      </c>
    </row>
    <row r="89" spans="1:2">
      <c r="A89" s="112">
        <v>37726</v>
      </c>
      <c r="B89" s="1">
        <f t="shared" si="1"/>
        <v>13</v>
      </c>
    </row>
    <row r="90" spans="1:2">
      <c r="A90" s="112">
        <v>37727</v>
      </c>
      <c r="B90" s="1">
        <f t="shared" si="1"/>
        <v>14</v>
      </c>
    </row>
    <row r="91" spans="1:2">
      <c r="A91" s="112">
        <v>37728</v>
      </c>
      <c r="B91" s="1">
        <f t="shared" si="1"/>
        <v>15</v>
      </c>
    </row>
    <row r="92" spans="1:2">
      <c r="A92" s="112">
        <v>37729</v>
      </c>
      <c r="B92" s="1">
        <f t="shared" si="1"/>
        <v>16</v>
      </c>
    </row>
    <row r="93" spans="1:2">
      <c r="A93" s="112">
        <v>37730</v>
      </c>
      <c r="B93" s="1">
        <f t="shared" si="1"/>
        <v>17</v>
      </c>
    </row>
    <row r="94" spans="1:2">
      <c r="A94" s="112">
        <v>37731</v>
      </c>
      <c r="B94" s="1">
        <f t="shared" si="1"/>
        <v>18</v>
      </c>
    </row>
    <row r="95" spans="1:2">
      <c r="A95" s="112">
        <v>37732</v>
      </c>
      <c r="B95" s="1">
        <f t="shared" si="1"/>
        <v>19</v>
      </c>
    </row>
    <row r="96" spans="1:2">
      <c r="A96" s="112">
        <v>37733</v>
      </c>
      <c r="B96" s="1">
        <f t="shared" si="1"/>
        <v>20</v>
      </c>
    </row>
    <row r="97" spans="1:2">
      <c r="A97" s="112">
        <v>37734</v>
      </c>
      <c r="B97" s="1">
        <f t="shared" si="1"/>
        <v>21</v>
      </c>
    </row>
    <row r="98" spans="1:2">
      <c r="A98" s="112">
        <v>37735</v>
      </c>
      <c r="B98" s="1">
        <f t="shared" si="1"/>
        <v>22</v>
      </c>
    </row>
    <row r="99" spans="1:2">
      <c r="A99" s="112">
        <v>37736</v>
      </c>
      <c r="B99" s="1">
        <f t="shared" si="1"/>
        <v>23</v>
      </c>
    </row>
    <row r="100" spans="1:2">
      <c r="A100" s="112">
        <v>37737</v>
      </c>
      <c r="B100" s="1">
        <f t="shared" si="1"/>
        <v>24</v>
      </c>
    </row>
    <row r="101" spans="1:2">
      <c r="A101" s="112">
        <v>37738</v>
      </c>
      <c r="B101" s="1">
        <f t="shared" si="1"/>
        <v>25</v>
      </c>
    </row>
    <row r="102" spans="1:2">
      <c r="A102" s="112">
        <v>37739</v>
      </c>
      <c r="B102" s="1">
        <f t="shared" si="1"/>
        <v>26</v>
      </c>
    </row>
    <row r="103" spans="1:2">
      <c r="A103" s="112">
        <v>37740</v>
      </c>
      <c r="B103" s="1">
        <f t="shared" si="1"/>
        <v>27</v>
      </c>
    </row>
    <row r="104" spans="1:2">
      <c r="A104" s="112">
        <v>37741</v>
      </c>
      <c r="B104" s="1">
        <f t="shared" si="1"/>
        <v>28</v>
      </c>
    </row>
    <row r="105" spans="1:2">
      <c r="A105" s="112">
        <v>37742</v>
      </c>
      <c r="B105" s="1">
        <f t="shared" si="1"/>
        <v>0</v>
      </c>
    </row>
    <row r="106" spans="1:2">
      <c r="A106" s="112">
        <v>37743</v>
      </c>
      <c r="B106" s="1">
        <f t="shared" si="1"/>
        <v>1</v>
      </c>
    </row>
    <row r="107" spans="1:2">
      <c r="A107" s="112">
        <v>37744</v>
      </c>
      <c r="B107" s="1">
        <f t="shared" si="1"/>
        <v>2</v>
      </c>
    </row>
    <row r="108" spans="1:2">
      <c r="A108" s="112">
        <v>37745</v>
      </c>
      <c r="B108" s="1">
        <f t="shared" si="1"/>
        <v>3</v>
      </c>
    </row>
    <row r="109" spans="1:2">
      <c r="A109" s="112">
        <v>37746</v>
      </c>
      <c r="B109" s="1">
        <f t="shared" si="1"/>
        <v>4</v>
      </c>
    </row>
    <row r="110" spans="1:2">
      <c r="A110" s="112">
        <v>37747</v>
      </c>
      <c r="B110" s="1">
        <f t="shared" si="1"/>
        <v>5</v>
      </c>
    </row>
    <row r="111" spans="1:2">
      <c r="A111" s="112">
        <v>37748</v>
      </c>
      <c r="B111" s="1">
        <f t="shared" si="1"/>
        <v>6</v>
      </c>
    </row>
    <row r="112" spans="1:2">
      <c r="A112" s="112">
        <v>37749</v>
      </c>
      <c r="B112" s="1">
        <f t="shared" si="1"/>
        <v>7</v>
      </c>
    </row>
    <row r="113" spans="1:2">
      <c r="A113" s="112">
        <v>37750</v>
      </c>
      <c r="B113" s="1">
        <f t="shared" si="1"/>
        <v>8</v>
      </c>
    </row>
    <row r="114" spans="1:2">
      <c r="A114" s="112">
        <v>37751</v>
      </c>
      <c r="B114" s="1">
        <f t="shared" si="1"/>
        <v>9</v>
      </c>
    </row>
    <row r="115" spans="1:2">
      <c r="A115" s="112">
        <v>37752</v>
      </c>
      <c r="B115" s="1">
        <f t="shared" si="1"/>
        <v>10</v>
      </c>
    </row>
    <row r="116" spans="1:2">
      <c r="A116" s="112">
        <v>37753</v>
      </c>
      <c r="B116" s="1">
        <f t="shared" si="1"/>
        <v>11</v>
      </c>
    </row>
    <row r="117" spans="1:2">
      <c r="A117" s="112">
        <v>37754</v>
      </c>
      <c r="B117" s="1">
        <f t="shared" si="1"/>
        <v>12</v>
      </c>
    </row>
    <row r="118" spans="1:2">
      <c r="A118" s="112">
        <v>37755</v>
      </c>
      <c r="B118" s="1">
        <f t="shared" si="1"/>
        <v>13</v>
      </c>
    </row>
    <row r="119" spans="1:2">
      <c r="A119" s="112">
        <v>37756</v>
      </c>
      <c r="B119" s="1">
        <f t="shared" si="1"/>
        <v>14</v>
      </c>
    </row>
    <row r="120" spans="1:2">
      <c r="A120" s="112">
        <v>37757</v>
      </c>
      <c r="B120" s="1">
        <f t="shared" si="1"/>
        <v>15</v>
      </c>
    </row>
    <row r="121" spans="1:2">
      <c r="A121" s="112">
        <v>37758</v>
      </c>
      <c r="B121" s="1">
        <f t="shared" si="1"/>
        <v>16</v>
      </c>
    </row>
    <row r="122" spans="1:2">
      <c r="A122" s="112">
        <v>37759</v>
      </c>
      <c r="B122" s="1">
        <f t="shared" si="1"/>
        <v>17</v>
      </c>
    </row>
    <row r="123" spans="1:2">
      <c r="A123" s="112">
        <v>37760</v>
      </c>
      <c r="B123" s="1">
        <f t="shared" si="1"/>
        <v>18</v>
      </c>
    </row>
    <row r="124" spans="1:2">
      <c r="A124" s="112">
        <v>37761</v>
      </c>
      <c r="B124" s="1">
        <f t="shared" si="1"/>
        <v>19</v>
      </c>
    </row>
    <row r="125" spans="1:2">
      <c r="A125" s="112">
        <v>37762</v>
      </c>
      <c r="B125" s="1">
        <f t="shared" si="1"/>
        <v>20</v>
      </c>
    </row>
    <row r="126" spans="1:2">
      <c r="A126" s="112">
        <v>37763</v>
      </c>
      <c r="B126" s="1">
        <f t="shared" si="1"/>
        <v>21</v>
      </c>
    </row>
    <row r="127" spans="1:2">
      <c r="A127" s="112">
        <v>37764</v>
      </c>
      <c r="B127" s="1">
        <f t="shared" si="1"/>
        <v>22</v>
      </c>
    </row>
    <row r="128" spans="1:2">
      <c r="A128" s="112">
        <v>37765</v>
      </c>
      <c r="B128" s="1">
        <f t="shared" si="1"/>
        <v>23</v>
      </c>
    </row>
    <row r="129" spans="1:2">
      <c r="A129" s="112">
        <v>37766</v>
      </c>
      <c r="B129" s="1">
        <f t="shared" si="1"/>
        <v>24</v>
      </c>
    </row>
    <row r="130" spans="1:2">
      <c r="A130" s="112">
        <v>37767</v>
      </c>
      <c r="B130" s="1">
        <f t="shared" si="1"/>
        <v>25</v>
      </c>
    </row>
    <row r="131" spans="1:2">
      <c r="A131" s="112">
        <v>37768</v>
      </c>
      <c r="B131" s="1">
        <f t="shared" ref="B131:B194" si="2">INT(MOD($G$2+A131-$F$2,29.53))</f>
        <v>26</v>
      </c>
    </row>
    <row r="132" spans="1:2">
      <c r="A132" s="112">
        <v>37769</v>
      </c>
      <c r="B132" s="1">
        <f t="shared" si="2"/>
        <v>27</v>
      </c>
    </row>
    <row r="133" spans="1:2">
      <c r="A133" s="112">
        <v>37770</v>
      </c>
      <c r="B133" s="1">
        <f t="shared" si="2"/>
        <v>28</v>
      </c>
    </row>
    <row r="134" spans="1:2">
      <c r="A134" s="112">
        <v>37771</v>
      </c>
      <c r="B134" s="1">
        <f t="shared" si="2"/>
        <v>29</v>
      </c>
    </row>
    <row r="135" spans="1:2">
      <c r="A135" s="112">
        <v>37772</v>
      </c>
      <c r="B135" s="1">
        <f t="shared" si="2"/>
        <v>0</v>
      </c>
    </row>
    <row r="136" spans="1:2">
      <c r="A136" s="112">
        <v>37773</v>
      </c>
      <c r="B136" s="1">
        <f t="shared" si="2"/>
        <v>1</v>
      </c>
    </row>
    <row r="137" spans="1:2">
      <c r="A137" s="112">
        <v>37774</v>
      </c>
      <c r="B137" s="1">
        <f t="shared" si="2"/>
        <v>2</v>
      </c>
    </row>
    <row r="138" spans="1:2">
      <c r="A138" s="112">
        <v>37775</v>
      </c>
      <c r="B138" s="1">
        <f t="shared" si="2"/>
        <v>3</v>
      </c>
    </row>
    <row r="139" spans="1:2">
      <c r="A139" s="112">
        <v>37776</v>
      </c>
      <c r="B139" s="1">
        <f t="shared" si="2"/>
        <v>4</v>
      </c>
    </row>
    <row r="140" spans="1:2">
      <c r="A140" s="112">
        <v>37777</v>
      </c>
      <c r="B140" s="1">
        <f t="shared" si="2"/>
        <v>5</v>
      </c>
    </row>
    <row r="141" spans="1:2">
      <c r="A141" s="112">
        <v>37778</v>
      </c>
      <c r="B141" s="1">
        <f t="shared" si="2"/>
        <v>6</v>
      </c>
    </row>
    <row r="142" spans="1:2">
      <c r="A142" s="112">
        <v>37779</v>
      </c>
      <c r="B142" s="1">
        <f t="shared" si="2"/>
        <v>7</v>
      </c>
    </row>
    <row r="143" spans="1:2">
      <c r="A143" s="112">
        <v>37780</v>
      </c>
      <c r="B143" s="1">
        <f t="shared" si="2"/>
        <v>8</v>
      </c>
    </row>
    <row r="144" spans="1:2">
      <c r="A144" s="112">
        <v>37781</v>
      </c>
      <c r="B144" s="1">
        <f t="shared" si="2"/>
        <v>9</v>
      </c>
    </row>
    <row r="145" spans="1:2">
      <c r="A145" s="112">
        <v>37782</v>
      </c>
      <c r="B145" s="1">
        <f t="shared" si="2"/>
        <v>10</v>
      </c>
    </row>
    <row r="146" spans="1:2">
      <c r="A146" s="112">
        <v>37783</v>
      </c>
      <c r="B146" s="1">
        <f t="shared" si="2"/>
        <v>11</v>
      </c>
    </row>
    <row r="147" spans="1:2">
      <c r="A147" s="112">
        <v>37784</v>
      </c>
      <c r="B147" s="1">
        <f t="shared" si="2"/>
        <v>12</v>
      </c>
    </row>
    <row r="148" spans="1:2">
      <c r="A148" s="112">
        <v>37785</v>
      </c>
      <c r="B148" s="1">
        <f t="shared" si="2"/>
        <v>13</v>
      </c>
    </row>
    <row r="149" spans="1:2">
      <c r="A149" s="112">
        <v>37786</v>
      </c>
      <c r="B149" s="1">
        <f t="shared" si="2"/>
        <v>14</v>
      </c>
    </row>
    <row r="150" spans="1:2">
      <c r="A150" s="112">
        <v>37787</v>
      </c>
      <c r="B150" s="1">
        <f t="shared" si="2"/>
        <v>15</v>
      </c>
    </row>
    <row r="151" spans="1:2">
      <c r="A151" s="112">
        <v>37788</v>
      </c>
      <c r="B151" s="1">
        <f t="shared" si="2"/>
        <v>16</v>
      </c>
    </row>
    <row r="152" spans="1:2">
      <c r="A152" s="112">
        <v>37789</v>
      </c>
      <c r="B152" s="1">
        <f t="shared" si="2"/>
        <v>17</v>
      </c>
    </row>
    <row r="153" spans="1:2">
      <c r="A153" s="112">
        <v>37790</v>
      </c>
      <c r="B153" s="1">
        <f t="shared" si="2"/>
        <v>18</v>
      </c>
    </row>
    <row r="154" spans="1:2">
      <c r="A154" s="112">
        <v>37791</v>
      </c>
      <c r="B154" s="1">
        <f t="shared" si="2"/>
        <v>19</v>
      </c>
    </row>
    <row r="155" spans="1:2">
      <c r="A155" s="112">
        <v>37792</v>
      </c>
      <c r="B155" s="1">
        <f t="shared" si="2"/>
        <v>20</v>
      </c>
    </row>
    <row r="156" spans="1:2">
      <c r="A156" s="112">
        <v>37793</v>
      </c>
      <c r="B156" s="1">
        <f t="shared" si="2"/>
        <v>21</v>
      </c>
    </row>
    <row r="157" spans="1:2">
      <c r="A157" s="112">
        <v>37794</v>
      </c>
      <c r="B157" s="1">
        <f t="shared" si="2"/>
        <v>22</v>
      </c>
    </row>
    <row r="158" spans="1:2">
      <c r="A158" s="112">
        <v>37795</v>
      </c>
      <c r="B158" s="1">
        <f t="shared" si="2"/>
        <v>23</v>
      </c>
    </row>
    <row r="159" spans="1:2">
      <c r="A159" s="112">
        <v>37796</v>
      </c>
      <c r="B159" s="1">
        <f t="shared" si="2"/>
        <v>24</v>
      </c>
    </row>
    <row r="160" spans="1:2">
      <c r="A160" s="112">
        <v>37797</v>
      </c>
      <c r="B160" s="1">
        <f t="shared" si="2"/>
        <v>25</v>
      </c>
    </row>
    <row r="161" spans="1:2">
      <c r="A161" s="112">
        <v>37798</v>
      </c>
      <c r="B161" s="1">
        <f t="shared" si="2"/>
        <v>26</v>
      </c>
    </row>
    <row r="162" spans="1:2">
      <c r="A162" s="112">
        <v>37799</v>
      </c>
      <c r="B162" s="1">
        <f t="shared" si="2"/>
        <v>27</v>
      </c>
    </row>
    <row r="163" spans="1:2">
      <c r="A163" s="112">
        <v>37800</v>
      </c>
      <c r="B163" s="1">
        <f t="shared" si="2"/>
        <v>28</v>
      </c>
    </row>
    <row r="164" spans="1:2">
      <c r="A164" s="112">
        <v>37801</v>
      </c>
      <c r="B164" s="1">
        <f t="shared" si="2"/>
        <v>29</v>
      </c>
    </row>
    <row r="165" spans="1:2">
      <c r="A165" s="112">
        <v>37802</v>
      </c>
      <c r="B165" s="1">
        <f t="shared" si="2"/>
        <v>0</v>
      </c>
    </row>
    <row r="166" spans="1:2">
      <c r="A166" s="112">
        <v>37803</v>
      </c>
      <c r="B166" s="1">
        <f t="shared" si="2"/>
        <v>1</v>
      </c>
    </row>
    <row r="167" spans="1:2">
      <c r="A167" s="112">
        <v>37804</v>
      </c>
      <c r="B167" s="1">
        <f t="shared" si="2"/>
        <v>2</v>
      </c>
    </row>
    <row r="168" spans="1:2">
      <c r="A168" s="112">
        <v>37805</v>
      </c>
      <c r="B168" s="1">
        <f t="shared" si="2"/>
        <v>3</v>
      </c>
    </row>
    <row r="169" spans="1:2">
      <c r="A169" s="112">
        <v>37806</v>
      </c>
      <c r="B169" s="1">
        <f t="shared" si="2"/>
        <v>4</v>
      </c>
    </row>
    <row r="170" spans="1:2">
      <c r="A170" s="112">
        <v>37807</v>
      </c>
      <c r="B170" s="1">
        <f t="shared" si="2"/>
        <v>5</v>
      </c>
    </row>
    <row r="171" spans="1:2">
      <c r="A171" s="112">
        <v>37808</v>
      </c>
      <c r="B171" s="1">
        <f t="shared" si="2"/>
        <v>6</v>
      </c>
    </row>
    <row r="172" spans="1:2">
      <c r="A172" s="112">
        <v>37809</v>
      </c>
      <c r="B172" s="1">
        <f t="shared" si="2"/>
        <v>7</v>
      </c>
    </row>
    <row r="173" spans="1:2">
      <c r="A173" s="112">
        <v>37810</v>
      </c>
      <c r="B173" s="1">
        <f t="shared" si="2"/>
        <v>8</v>
      </c>
    </row>
    <row r="174" spans="1:2">
      <c r="A174" s="112">
        <v>37811</v>
      </c>
      <c r="B174" s="1">
        <f t="shared" si="2"/>
        <v>9</v>
      </c>
    </row>
    <row r="175" spans="1:2">
      <c r="A175" s="112">
        <v>37812</v>
      </c>
      <c r="B175" s="1">
        <f t="shared" si="2"/>
        <v>10</v>
      </c>
    </row>
    <row r="176" spans="1:2">
      <c r="A176" s="112">
        <v>37813</v>
      </c>
      <c r="B176" s="1">
        <f t="shared" si="2"/>
        <v>11</v>
      </c>
    </row>
    <row r="177" spans="1:2">
      <c r="A177" s="112">
        <v>37814</v>
      </c>
      <c r="B177" s="1">
        <f t="shared" si="2"/>
        <v>12</v>
      </c>
    </row>
    <row r="178" spans="1:2">
      <c r="A178" s="112">
        <v>37815</v>
      </c>
      <c r="B178" s="1">
        <f t="shared" si="2"/>
        <v>13</v>
      </c>
    </row>
    <row r="179" spans="1:2">
      <c r="A179" s="112">
        <v>37816</v>
      </c>
      <c r="B179" s="1">
        <f t="shared" si="2"/>
        <v>14</v>
      </c>
    </row>
    <row r="180" spans="1:2">
      <c r="A180" s="112">
        <v>37817</v>
      </c>
      <c r="B180" s="1">
        <f t="shared" si="2"/>
        <v>15</v>
      </c>
    </row>
    <row r="181" spans="1:2">
      <c r="A181" s="112">
        <v>37818</v>
      </c>
      <c r="B181" s="1">
        <f t="shared" si="2"/>
        <v>16</v>
      </c>
    </row>
    <row r="182" spans="1:2">
      <c r="A182" s="112">
        <v>37819</v>
      </c>
      <c r="B182" s="1">
        <f t="shared" si="2"/>
        <v>17</v>
      </c>
    </row>
    <row r="183" spans="1:2">
      <c r="A183" s="112">
        <v>37820</v>
      </c>
      <c r="B183" s="1">
        <f t="shared" si="2"/>
        <v>18</v>
      </c>
    </row>
    <row r="184" spans="1:2">
      <c r="A184" s="112">
        <v>37821</v>
      </c>
      <c r="B184" s="1">
        <f t="shared" si="2"/>
        <v>19</v>
      </c>
    </row>
    <row r="185" spans="1:2">
      <c r="A185" s="112">
        <v>37822</v>
      </c>
      <c r="B185" s="1">
        <f t="shared" si="2"/>
        <v>20</v>
      </c>
    </row>
    <row r="186" spans="1:2">
      <c r="A186" s="112">
        <v>37823</v>
      </c>
      <c r="B186" s="1">
        <f t="shared" si="2"/>
        <v>21</v>
      </c>
    </row>
    <row r="187" spans="1:2">
      <c r="A187" s="112">
        <v>37824</v>
      </c>
      <c r="B187" s="1">
        <f t="shared" si="2"/>
        <v>22</v>
      </c>
    </row>
    <row r="188" spans="1:2">
      <c r="A188" s="112">
        <v>37825</v>
      </c>
      <c r="B188" s="1">
        <f t="shared" si="2"/>
        <v>23</v>
      </c>
    </row>
    <row r="189" spans="1:2">
      <c r="A189" s="112">
        <v>37826</v>
      </c>
      <c r="B189" s="1">
        <f t="shared" si="2"/>
        <v>24</v>
      </c>
    </row>
    <row r="190" spans="1:2">
      <c r="A190" s="112">
        <v>37827</v>
      </c>
      <c r="B190" s="1">
        <f t="shared" si="2"/>
        <v>25</v>
      </c>
    </row>
    <row r="191" spans="1:2">
      <c r="A191" s="112">
        <v>37828</v>
      </c>
      <c r="B191" s="1">
        <f t="shared" si="2"/>
        <v>26</v>
      </c>
    </row>
    <row r="192" spans="1:2">
      <c r="A192" s="112">
        <v>37829</v>
      </c>
      <c r="B192" s="1">
        <f t="shared" si="2"/>
        <v>27</v>
      </c>
    </row>
    <row r="193" spans="1:2">
      <c r="A193" s="112">
        <v>37830</v>
      </c>
      <c r="B193" s="1">
        <f t="shared" si="2"/>
        <v>28</v>
      </c>
    </row>
    <row r="194" spans="1:2">
      <c r="A194" s="112">
        <v>37831</v>
      </c>
      <c r="B194" s="1">
        <f t="shared" si="2"/>
        <v>0</v>
      </c>
    </row>
    <row r="195" spans="1:2">
      <c r="A195" s="112">
        <v>37832</v>
      </c>
      <c r="B195" s="1">
        <f t="shared" ref="B195:B258" si="3">INT(MOD($G$2+A195-$F$2,29.53))</f>
        <v>1</v>
      </c>
    </row>
    <row r="196" spans="1:2">
      <c r="A196" s="112">
        <v>37833</v>
      </c>
      <c r="B196" s="1">
        <f t="shared" si="3"/>
        <v>2</v>
      </c>
    </row>
    <row r="197" spans="1:2">
      <c r="A197" s="112">
        <v>37834</v>
      </c>
      <c r="B197" s="1">
        <f t="shared" si="3"/>
        <v>3</v>
      </c>
    </row>
    <row r="198" spans="1:2">
      <c r="A198" s="112">
        <v>37835</v>
      </c>
      <c r="B198" s="1">
        <f t="shared" si="3"/>
        <v>4</v>
      </c>
    </row>
    <row r="199" spans="1:2">
      <c r="A199" s="112">
        <v>37836</v>
      </c>
      <c r="B199" s="1">
        <f t="shared" si="3"/>
        <v>5</v>
      </c>
    </row>
    <row r="200" spans="1:2">
      <c r="A200" s="112">
        <v>37837</v>
      </c>
      <c r="B200" s="1">
        <f t="shared" si="3"/>
        <v>6</v>
      </c>
    </row>
    <row r="201" spans="1:2">
      <c r="A201" s="112">
        <v>37838</v>
      </c>
      <c r="B201" s="1">
        <f t="shared" si="3"/>
        <v>7</v>
      </c>
    </row>
    <row r="202" spans="1:2">
      <c r="A202" s="112">
        <v>37839</v>
      </c>
      <c r="B202" s="1">
        <f t="shared" si="3"/>
        <v>8</v>
      </c>
    </row>
    <row r="203" spans="1:2">
      <c r="A203" s="112">
        <v>37840</v>
      </c>
      <c r="B203" s="1">
        <f t="shared" si="3"/>
        <v>9</v>
      </c>
    </row>
    <row r="204" spans="1:2">
      <c r="A204" s="112">
        <v>37841</v>
      </c>
      <c r="B204" s="1">
        <f t="shared" si="3"/>
        <v>10</v>
      </c>
    </row>
    <row r="205" spans="1:2">
      <c r="A205" s="112">
        <v>37842</v>
      </c>
      <c r="B205" s="1">
        <f t="shared" si="3"/>
        <v>11</v>
      </c>
    </row>
    <row r="206" spans="1:2">
      <c r="A206" s="112">
        <v>37843</v>
      </c>
      <c r="B206" s="1">
        <f t="shared" si="3"/>
        <v>12</v>
      </c>
    </row>
    <row r="207" spans="1:2">
      <c r="A207" s="112">
        <v>37844</v>
      </c>
      <c r="B207" s="1">
        <f t="shared" si="3"/>
        <v>13</v>
      </c>
    </row>
    <row r="208" spans="1:2">
      <c r="A208" s="112">
        <v>37845</v>
      </c>
      <c r="B208" s="1">
        <f t="shared" si="3"/>
        <v>14</v>
      </c>
    </row>
    <row r="209" spans="1:2">
      <c r="A209" s="112">
        <v>37846</v>
      </c>
      <c r="B209" s="1">
        <f t="shared" si="3"/>
        <v>15</v>
      </c>
    </row>
    <row r="210" spans="1:2">
      <c r="A210" s="112">
        <v>37847</v>
      </c>
      <c r="B210" s="1">
        <f t="shared" si="3"/>
        <v>16</v>
      </c>
    </row>
    <row r="211" spans="1:2">
      <c r="A211" s="112">
        <v>37848</v>
      </c>
      <c r="B211" s="1">
        <f t="shared" si="3"/>
        <v>17</v>
      </c>
    </row>
    <row r="212" spans="1:2">
      <c r="A212" s="112">
        <v>37849</v>
      </c>
      <c r="B212" s="1">
        <f t="shared" si="3"/>
        <v>18</v>
      </c>
    </row>
    <row r="213" spans="1:2">
      <c r="A213" s="112">
        <v>37850</v>
      </c>
      <c r="B213" s="1">
        <f t="shared" si="3"/>
        <v>19</v>
      </c>
    </row>
    <row r="214" spans="1:2">
      <c r="A214" s="112">
        <v>37851</v>
      </c>
      <c r="B214" s="1">
        <f t="shared" si="3"/>
        <v>20</v>
      </c>
    </row>
    <row r="215" spans="1:2">
      <c r="A215" s="112">
        <v>37852</v>
      </c>
      <c r="B215" s="1">
        <f t="shared" si="3"/>
        <v>21</v>
      </c>
    </row>
    <row r="216" spans="1:2">
      <c r="A216" s="112">
        <v>37853</v>
      </c>
      <c r="B216" s="1">
        <f t="shared" si="3"/>
        <v>22</v>
      </c>
    </row>
    <row r="217" spans="1:2">
      <c r="A217" s="112">
        <v>37854</v>
      </c>
      <c r="B217" s="1">
        <f t="shared" si="3"/>
        <v>23</v>
      </c>
    </row>
    <row r="218" spans="1:2">
      <c r="A218" s="112">
        <v>37855</v>
      </c>
      <c r="B218" s="1">
        <f t="shared" si="3"/>
        <v>24</v>
      </c>
    </row>
    <row r="219" spans="1:2">
      <c r="A219" s="112">
        <v>37856</v>
      </c>
      <c r="B219" s="1">
        <f t="shared" si="3"/>
        <v>25</v>
      </c>
    </row>
    <row r="220" spans="1:2">
      <c r="A220" s="112">
        <v>37857</v>
      </c>
      <c r="B220" s="1">
        <f t="shared" si="3"/>
        <v>26</v>
      </c>
    </row>
    <row r="221" spans="1:2">
      <c r="A221" s="112">
        <v>37858</v>
      </c>
      <c r="B221" s="1">
        <f t="shared" si="3"/>
        <v>27</v>
      </c>
    </row>
    <row r="222" spans="1:2">
      <c r="A222" s="112">
        <v>37859</v>
      </c>
      <c r="B222" s="1">
        <f t="shared" si="3"/>
        <v>28</v>
      </c>
    </row>
    <row r="223" spans="1:2">
      <c r="A223" s="112">
        <v>37860</v>
      </c>
      <c r="B223" s="1">
        <f t="shared" si="3"/>
        <v>29</v>
      </c>
    </row>
    <row r="224" spans="1:2">
      <c r="A224" s="112">
        <v>37861</v>
      </c>
      <c r="B224" s="1">
        <f t="shared" si="3"/>
        <v>0</v>
      </c>
    </row>
    <row r="225" spans="1:2">
      <c r="A225" s="112">
        <v>37862</v>
      </c>
      <c r="B225" s="1">
        <f t="shared" si="3"/>
        <v>1</v>
      </c>
    </row>
    <row r="226" spans="1:2">
      <c r="A226" s="112">
        <v>37863</v>
      </c>
      <c r="B226" s="1">
        <f t="shared" si="3"/>
        <v>2</v>
      </c>
    </row>
    <row r="227" spans="1:2">
      <c r="A227" s="112">
        <v>37864</v>
      </c>
      <c r="B227" s="1">
        <f t="shared" si="3"/>
        <v>3</v>
      </c>
    </row>
    <row r="228" spans="1:2">
      <c r="A228" s="112">
        <v>37865</v>
      </c>
      <c r="B228" s="1">
        <f t="shared" si="3"/>
        <v>4</v>
      </c>
    </row>
    <row r="229" spans="1:2">
      <c r="A229" s="112">
        <v>37866</v>
      </c>
      <c r="B229" s="1">
        <f t="shared" si="3"/>
        <v>5</v>
      </c>
    </row>
    <row r="230" spans="1:2">
      <c r="A230" s="112">
        <v>37867</v>
      </c>
      <c r="B230" s="1">
        <f t="shared" si="3"/>
        <v>6</v>
      </c>
    </row>
    <row r="231" spans="1:2">
      <c r="A231" s="112">
        <v>37868</v>
      </c>
      <c r="B231" s="1">
        <f t="shared" si="3"/>
        <v>7</v>
      </c>
    </row>
    <row r="232" spans="1:2">
      <c r="A232" s="112">
        <v>37869</v>
      </c>
      <c r="B232" s="1">
        <f t="shared" si="3"/>
        <v>8</v>
      </c>
    </row>
    <row r="233" spans="1:2">
      <c r="A233" s="112">
        <v>37870</v>
      </c>
      <c r="B233" s="1">
        <f t="shared" si="3"/>
        <v>9</v>
      </c>
    </row>
    <row r="234" spans="1:2">
      <c r="A234" s="112">
        <v>37871</v>
      </c>
      <c r="B234" s="1">
        <f t="shared" si="3"/>
        <v>10</v>
      </c>
    </row>
    <row r="235" spans="1:2">
      <c r="A235" s="112">
        <v>37872</v>
      </c>
      <c r="B235" s="1">
        <f t="shared" si="3"/>
        <v>11</v>
      </c>
    </row>
    <row r="236" spans="1:2">
      <c r="A236" s="112">
        <v>37873</v>
      </c>
      <c r="B236" s="1">
        <f t="shared" si="3"/>
        <v>12</v>
      </c>
    </row>
    <row r="237" spans="1:2">
      <c r="A237" s="112">
        <v>37874</v>
      </c>
      <c r="B237" s="1">
        <f t="shared" si="3"/>
        <v>13</v>
      </c>
    </row>
    <row r="238" spans="1:2">
      <c r="A238" s="112">
        <v>37875</v>
      </c>
      <c r="B238" s="1">
        <f t="shared" si="3"/>
        <v>14</v>
      </c>
    </row>
    <row r="239" spans="1:2">
      <c r="A239" s="112">
        <v>37876</v>
      </c>
      <c r="B239" s="1">
        <f t="shared" si="3"/>
        <v>15</v>
      </c>
    </row>
    <row r="240" spans="1:2">
      <c r="A240" s="112">
        <v>37877</v>
      </c>
      <c r="B240" s="1">
        <f t="shared" si="3"/>
        <v>16</v>
      </c>
    </row>
    <row r="241" spans="1:2">
      <c r="A241" s="112">
        <v>37878</v>
      </c>
      <c r="B241" s="1">
        <f t="shared" si="3"/>
        <v>17</v>
      </c>
    </row>
    <row r="242" spans="1:2">
      <c r="A242" s="112">
        <v>37879</v>
      </c>
      <c r="B242" s="1">
        <f t="shared" si="3"/>
        <v>18</v>
      </c>
    </row>
    <row r="243" spans="1:2">
      <c r="A243" s="112">
        <v>37880</v>
      </c>
      <c r="B243" s="1">
        <f t="shared" si="3"/>
        <v>19</v>
      </c>
    </row>
    <row r="244" spans="1:2">
      <c r="A244" s="112">
        <v>37881</v>
      </c>
      <c r="B244" s="1">
        <f t="shared" si="3"/>
        <v>20</v>
      </c>
    </row>
    <row r="245" spans="1:2">
      <c r="A245" s="112">
        <v>37882</v>
      </c>
      <c r="B245" s="1">
        <f t="shared" si="3"/>
        <v>21</v>
      </c>
    </row>
    <row r="246" spans="1:2">
      <c r="A246" s="112">
        <v>37883</v>
      </c>
      <c r="B246" s="1">
        <f t="shared" si="3"/>
        <v>22</v>
      </c>
    </row>
    <row r="247" spans="1:2">
      <c r="A247" s="112">
        <v>37884</v>
      </c>
      <c r="B247" s="1">
        <f t="shared" si="3"/>
        <v>23</v>
      </c>
    </row>
    <row r="248" spans="1:2">
      <c r="A248" s="112">
        <v>37885</v>
      </c>
      <c r="B248" s="1">
        <f t="shared" si="3"/>
        <v>24</v>
      </c>
    </row>
    <row r="249" spans="1:2">
      <c r="A249" s="112">
        <v>37886</v>
      </c>
      <c r="B249" s="1">
        <f t="shared" si="3"/>
        <v>25</v>
      </c>
    </row>
    <row r="250" spans="1:2">
      <c r="A250" s="112">
        <v>37887</v>
      </c>
      <c r="B250" s="1">
        <f t="shared" si="3"/>
        <v>26</v>
      </c>
    </row>
    <row r="251" spans="1:2">
      <c r="A251" s="112">
        <v>37888</v>
      </c>
      <c r="B251" s="1">
        <f t="shared" si="3"/>
        <v>27</v>
      </c>
    </row>
    <row r="252" spans="1:2">
      <c r="A252" s="112">
        <v>37889</v>
      </c>
      <c r="B252" s="1">
        <f t="shared" si="3"/>
        <v>28</v>
      </c>
    </row>
    <row r="253" spans="1:2">
      <c r="A253" s="112">
        <v>37890</v>
      </c>
      <c r="B253" s="1">
        <f t="shared" si="3"/>
        <v>0</v>
      </c>
    </row>
    <row r="254" spans="1:2">
      <c r="A254" s="112">
        <v>37891</v>
      </c>
      <c r="B254" s="1">
        <f t="shared" si="3"/>
        <v>1</v>
      </c>
    </row>
    <row r="255" spans="1:2">
      <c r="A255" s="112">
        <v>37892</v>
      </c>
      <c r="B255" s="1">
        <f t="shared" si="3"/>
        <v>2</v>
      </c>
    </row>
    <row r="256" spans="1:2">
      <c r="A256" s="112">
        <v>37893</v>
      </c>
      <c r="B256" s="1">
        <f t="shared" si="3"/>
        <v>3</v>
      </c>
    </row>
    <row r="257" spans="1:2">
      <c r="A257" s="112">
        <v>37894</v>
      </c>
      <c r="B257" s="1">
        <f t="shared" si="3"/>
        <v>4</v>
      </c>
    </row>
    <row r="258" spans="1:2">
      <c r="A258" s="112">
        <v>37895</v>
      </c>
      <c r="B258" s="1">
        <f t="shared" si="3"/>
        <v>5</v>
      </c>
    </row>
    <row r="259" spans="1:2">
      <c r="A259" s="112">
        <v>37896</v>
      </c>
      <c r="B259" s="1">
        <f t="shared" ref="B259:B322" si="4">INT(MOD($G$2+A259-$F$2,29.53))</f>
        <v>6</v>
      </c>
    </row>
    <row r="260" spans="1:2">
      <c r="A260" s="112">
        <v>37897</v>
      </c>
      <c r="B260" s="1">
        <f t="shared" si="4"/>
        <v>7</v>
      </c>
    </row>
    <row r="261" spans="1:2">
      <c r="A261" s="112">
        <v>37898</v>
      </c>
      <c r="B261" s="1">
        <f t="shared" si="4"/>
        <v>8</v>
      </c>
    </row>
    <row r="262" spans="1:2">
      <c r="A262" s="112">
        <v>37899</v>
      </c>
      <c r="B262" s="1">
        <f t="shared" si="4"/>
        <v>9</v>
      </c>
    </row>
    <row r="263" spans="1:2">
      <c r="A263" s="112">
        <v>37900</v>
      </c>
      <c r="B263" s="1">
        <f t="shared" si="4"/>
        <v>10</v>
      </c>
    </row>
    <row r="264" spans="1:2">
      <c r="A264" s="112">
        <v>37901</v>
      </c>
      <c r="B264" s="1">
        <f t="shared" si="4"/>
        <v>11</v>
      </c>
    </row>
    <row r="265" spans="1:2">
      <c r="A265" s="112">
        <v>37902</v>
      </c>
      <c r="B265" s="1">
        <f t="shared" si="4"/>
        <v>12</v>
      </c>
    </row>
    <row r="266" spans="1:2">
      <c r="A266" s="112">
        <v>37903</v>
      </c>
      <c r="B266" s="1">
        <f t="shared" si="4"/>
        <v>13</v>
      </c>
    </row>
    <row r="267" spans="1:2">
      <c r="A267" s="112">
        <v>37904</v>
      </c>
      <c r="B267" s="1">
        <f t="shared" si="4"/>
        <v>14</v>
      </c>
    </row>
    <row r="268" spans="1:2">
      <c r="A268" s="112">
        <v>37905</v>
      </c>
      <c r="B268" s="1">
        <f t="shared" si="4"/>
        <v>15</v>
      </c>
    </row>
    <row r="269" spans="1:2">
      <c r="A269" s="112">
        <v>37906</v>
      </c>
      <c r="B269" s="1">
        <f t="shared" si="4"/>
        <v>16</v>
      </c>
    </row>
    <row r="270" spans="1:2">
      <c r="A270" s="112">
        <v>37907</v>
      </c>
      <c r="B270" s="1">
        <f t="shared" si="4"/>
        <v>17</v>
      </c>
    </row>
    <row r="271" spans="1:2">
      <c r="A271" s="112">
        <v>37908</v>
      </c>
      <c r="B271" s="1">
        <f t="shared" si="4"/>
        <v>18</v>
      </c>
    </row>
    <row r="272" spans="1:2">
      <c r="A272" s="112">
        <v>37909</v>
      </c>
      <c r="B272" s="1">
        <f t="shared" si="4"/>
        <v>19</v>
      </c>
    </row>
    <row r="273" spans="1:2">
      <c r="A273" s="112">
        <v>37910</v>
      </c>
      <c r="B273" s="1">
        <f t="shared" si="4"/>
        <v>20</v>
      </c>
    </row>
    <row r="274" spans="1:2">
      <c r="A274" s="112">
        <v>37911</v>
      </c>
      <c r="B274" s="1">
        <f t="shared" si="4"/>
        <v>21</v>
      </c>
    </row>
    <row r="275" spans="1:2">
      <c r="A275" s="112">
        <v>37912</v>
      </c>
      <c r="B275" s="1">
        <f t="shared" si="4"/>
        <v>22</v>
      </c>
    </row>
    <row r="276" spans="1:2">
      <c r="A276" s="112">
        <v>37913</v>
      </c>
      <c r="B276" s="1">
        <f t="shared" si="4"/>
        <v>23</v>
      </c>
    </row>
    <row r="277" spans="1:2">
      <c r="A277" s="112">
        <v>37914</v>
      </c>
      <c r="B277" s="1">
        <f t="shared" si="4"/>
        <v>24</v>
      </c>
    </row>
    <row r="278" spans="1:2">
      <c r="A278" s="112">
        <v>37915</v>
      </c>
      <c r="B278" s="1">
        <f t="shared" si="4"/>
        <v>25</v>
      </c>
    </row>
    <row r="279" spans="1:2">
      <c r="A279" s="112">
        <v>37916</v>
      </c>
      <c r="B279" s="1">
        <f t="shared" si="4"/>
        <v>26</v>
      </c>
    </row>
    <row r="280" spans="1:2">
      <c r="A280" s="112">
        <v>37917</v>
      </c>
      <c r="B280" s="1">
        <f t="shared" si="4"/>
        <v>27</v>
      </c>
    </row>
    <row r="281" spans="1:2">
      <c r="A281" s="112">
        <v>37918</v>
      </c>
      <c r="B281" s="1">
        <f t="shared" si="4"/>
        <v>28</v>
      </c>
    </row>
    <row r="282" spans="1:2">
      <c r="A282" s="112">
        <v>37919</v>
      </c>
      <c r="B282" s="1">
        <f t="shared" si="4"/>
        <v>29</v>
      </c>
    </row>
    <row r="283" spans="1:2">
      <c r="A283" s="112">
        <v>37920</v>
      </c>
      <c r="B283" s="1">
        <f t="shared" si="4"/>
        <v>0</v>
      </c>
    </row>
    <row r="284" spans="1:2">
      <c r="A284" s="112">
        <v>37921</v>
      </c>
      <c r="B284" s="1">
        <f t="shared" si="4"/>
        <v>1</v>
      </c>
    </row>
    <row r="285" spans="1:2">
      <c r="A285" s="112">
        <v>37922</v>
      </c>
      <c r="B285" s="1">
        <f t="shared" si="4"/>
        <v>2</v>
      </c>
    </row>
    <row r="286" spans="1:2">
      <c r="A286" s="112">
        <v>37923</v>
      </c>
      <c r="B286" s="1">
        <f t="shared" si="4"/>
        <v>3</v>
      </c>
    </row>
    <row r="287" spans="1:2">
      <c r="A287" s="112">
        <v>37924</v>
      </c>
      <c r="B287" s="1">
        <f t="shared" si="4"/>
        <v>4</v>
      </c>
    </row>
    <row r="288" spans="1:2">
      <c r="A288" s="112">
        <v>37925</v>
      </c>
      <c r="B288" s="1">
        <f t="shared" si="4"/>
        <v>5</v>
      </c>
    </row>
    <row r="289" spans="1:2">
      <c r="A289" s="112">
        <v>37926</v>
      </c>
      <c r="B289" s="1">
        <f t="shared" si="4"/>
        <v>6</v>
      </c>
    </row>
    <row r="290" spans="1:2">
      <c r="A290" s="112">
        <v>37927</v>
      </c>
      <c r="B290" s="1">
        <f t="shared" si="4"/>
        <v>7</v>
      </c>
    </row>
    <row r="291" spans="1:2">
      <c r="A291" s="112">
        <v>37928</v>
      </c>
      <c r="B291" s="1">
        <f t="shared" si="4"/>
        <v>8</v>
      </c>
    </row>
    <row r="292" spans="1:2">
      <c r="A292" s="112">
        <v>37929</v>
      </c>
      <c r="B292" s="1">
        <f t="shared" si="4"/>
        <v>9</v>
      </c>
    </row>
    <row r="293" spans="1:2">
      <c r="A293" s="112">
        <v>37930</v>
      </c>
      <c r="B293" s="1">
        <f t="shared" si="4"/>
        <v>10</v>
      </c>
    </row>
    <row r="294" spans="1:2">
      <c r="A294" s="112">
        <v>37931</v>
      </c>
      <c r="B294" s="1">
        <f t="shared" si="4"/>
        <v>11</v>
      </c>
    </row>
    <row r="295" spans="1:2">
      <c r="A295" s="112">
        <v>37932</v>
      </c>
      <c r="B295" s="1">
        <f t="shared" si="4"/>
        <v>12</v>
      </c>
    </row>
    <row r="296" spans="1:2">
      <c r="A296" s="112">
        <v>37933</v>
      </c>
      <c r="B296" s="1">
        <f t="shared" si="4"/>
        <v>13</v>
      </c>
    </row>
    <row r="297" spans="1:2">
      <c r="A297" s="112">
        <v>37934</v>
      </c>
      <c r="B297" s="1">
        <f t="shared" si="4"/>
        <v>14</v>
      </c>
    </row>
    <row r="298" spans="1:2">
      <c r="A298" s="112">
        <v>37935</v>
      </c>
      <c r="B298" s="1">
        <f t="shared" si="4"/>
        <v>15</v>
      </c>
    </row>
    <row r="299" spans="1:2">
      <c r="A299" s="112">
        <v>37936</v>
      </c>
      <c r="B299" s="1">
        <f t="shared" si="4"/>
        <v>16</v>
      </c>
    </row>
    <row r="300" spans="1:2">
      <c r="A300" s="112">
        <v>37937</v>
      </c>
      <c r="B300" s="1">
        <f t="shared" si="4"/>
        <v>17</v>
      </c>
    </row>
    <row r="301" spans="1:2">
      <c r="A301" s="112">
        <v>37938</v>
      </c>
      <c r="B301" s="1">
        <f t="shared" si="4"/>
        <v>18</v>
      </c>
    </row>
    <row r="302" spans="1:2">
      <c r="A302" s="112">
        <v>37939</v>
      </c>
      <c r="B302" s="1">
        <f t="shared" si="4"/>
        <v>19</v>
      </c>
    </row>
    <row r="303" spans="1:2">
      <c r="A303" s="112">
        <v>37940</v>
      </c>
      <c r="B303" s="1">
        <f t="shared" si="4"/>
        <v>20</v>
      </c>
    </row>
    <row r="304" spans="1:2">
      <c r="A304" s="112">
        <v>37941</v>
      </c>
      <c r="B304" s="1">
        <f t="shared" si="4"/>
        <v>21</v>
      </c>
    </row>
    <row r="305" spans="1:2">
      <c r="A305" s="112">
        <v>37942</v>
      </c>
      <c r="B305" s="1">
        <f t="shared" si="4"/>
        <v>22</v>
      </c>
    </row>
    <row r="306" spans="1:2">
      <c r="A306" s="112">
        <v>37943</v>
      </c>
      <c r="B306" s="1">
        <f t="shared" si="4"/>
        <v>23</v>
      </c>
    </row>
    <row r="307" spans="1:2">
      <c r="A307" s="112">
        <v>37944</v>
      </c>
      <c r="B307" s="1">
        <f t="shared" si="4"/>
        <v>24</v>
      </c>
    </row>
    <row r="308" spans="1:2">
      <c r="A308" s="112">
        <v>37945</v>
      </c>
      <c r="B308" s="1">
        <f t="shared" si="4"/>
        <v>25</v>
      </c>
    </row>
    <row r="309" spans="1:2">
      <c r="A309" s="112">
        <v>37946</v>
      </c>
      <c r="B309" s="1">
        <f t="shared" si="4"/>
        <v>26</v>
      </c>
    </row>
    <row r="310" spans="1:2">
      <c r="A310" s="112">
        <v>37947</v>
      </c>
      <c r="B310" s="1">
        <f t="shared" si="4"/>
        <v>27</v>
      </c>
    </row>
    <row r="311" spans="1:2">
      <c r="A311" s="112">
        <v>37948</v>
      </c>
      <c r="B311" s="1">
        <f t="shared" si="4"/>
        <v>28</v>
      </c>
    </row>
    <row r="312" spans="1:2">
      <c r="A312" s="112">
        <v>37949</v>
      </c>
      <c r="B312" s="1">
        <f t="shared" si="4"/>
        <v>0</v>
      </c>
    </row>
    <row r="313" spans="1:2">
      <c r="A313" s="112">
        <v>37950</v>
      </c>
      <c r="B313" s="1">
        <f t="shared" si="4"/>
        <v>1</v>
      </c>
    </row>
    <row r="314" spans="1:2">
      <c r="A314" s="112">
        <v>37951</v>
      </c>
      <c r="B314" s="1">
        <f t="shared" si="4"/>
        <v>2</v>
      </c>
    </row>
    <row r="315" spans="1:2">
      <c r="A315" s="112">
        <v>37952</v>
      </c>
      <c r="B315" s="1">
        <f t="shared" si="4"/>
        <v>3</v>
      </c>
    </row>
    <row r="316" spans="1:2">
      <c r="A316" s="112">
        <v>37953</v>
      </c>
      <c r="B316" s="1">
        <f t="shared" si="4"/>
        <v>4</v>
      </c>
    </row>
    <row r="317" spans="1:2">
      <c r="A317" s="112">
        <v>37954</v>
      </c>
      <c r="B317" s="1">
        <f t="shared" si="4"/>
        <v>5</v>
      </c>
    </row>
    <row r="318" spans="1:2">
      <c r="A318" s="112">
        <v>37955</v>
      </c>
      <c r="B318" s="1">
        <f t="shared" si="4"/>
        <v>6</v>
      </c>
    </row>
    <row r="319" spans="1:2">
      <c r="A319" s="112">
        <v>37956</v>
      </c>
      <c r="B319" s="1">
        <f t="shared" si="4"/>
        <v>7</v>
      </c>
    </row>
    <row r="320" spans="1:2">
      <c r="A320" s="112">
        <v>37957</v>
      </c>
      <c r="B320" s="1">
        <f t="shared" si="4"/>
        <v>8</v>
      </c>
    </row>
    <row r="321" spans="1:2">
      <c r="A321" s="112">
        <v>37958</v>
      </c>
      <c r="B321" s="1">
        <f t="shared" si="4"/>
        <v>9</v>
      </c>
    </row>
    <row r="322" spans="1:2">
      <c r="A322" s="112">
        <v>37959</v>
      </c>
      <c r="B322" s="1">
        <f t="shared" si="4"/>
        <v>10</v>
      </c>
    </row>
    <row r="323" spans="1:2">
      <c r="A323" s="112">
        <v>37960</v>
      </c>
      <c r="B323" s="1">
        <f t="shared" ref="B323:B386" si="5">INT(MOD($G$2+A323-$F$2,29.53))</f>
        <v>11</v>
      </c>
    </row>
    <row r="324" spans="1:2">
      <c r="A324" s="112">
        <v>37961</v>
      </c>
      <c r="B324" s="1">
        <f t="shared" si="5"/>
        <v>12</v>
      </c>
    </row>
    <row r="325" spans="1:2">
      <c r="A325" s="112">
        <v>37962</v>
      </c>
      <c r="B325" s="1">
        <f t="shared" si="5"/>
        <v>13</v>
      </c>
    </row>
    <row r="326" spans="1:2">
      <c r="A326" s="112">
        <v>37963</v>
      </c>
      <c r="B326" s="1">
        <f t="shared" si="5"/>
        <v>14</v>
      </c>
    </row>
    <row r="327" spans="1:2">
      <c r="A327" s="112">
        <v>37964</v>
      </c>
      <c r="B327" s="1">
        <f t="shared" si="5"/>
        <v>15</v>
      </c>
    </row>
    <row r="328" spans="1:2">
      <c r="A328" s="112">
        <v>37965</v>
      </c>
      <c r="B328" s="1">
        <f t="shared" si="5"/>
        <v>16</v>
      </c>
    </row>
    <row r="329" spans="1:2">
      <c r="A329" s="112">
        <v>37966</v>
      </c>
      <c r="B329" s="1">
        <f t="shared" si="5"/>
        <v>17</v>
      </c>
    </row>
    <row r="330" spans="1:2">
      <c r="A330" s="112">
        <v>37967</v>
      </c>
      <c r="B330" s="1">
        <f t="shared" si="5"/>
        <v>18</v>
      </c>
    </row>
    <row r="331" spans="1:2">
      <c r="A331" s="112">
        <v>37968</v>
      </c>
      <c r="B331" s="1">
        <f t="shared" si="5"/>
        <v>19</v>
      </c>
    </row>
    <row r="332" spans="1:2">
      <c r="A332" s="112">
        <v>37969</v>
      </c>
      <c r="B332" s="1">
        <f t="shared" si="5"/>
        <v>20</v>
      </c>
    </row>
    <row r="333" spans="1:2">
      <c r="A333" s="112">
        <v>37970</v>
      </c>
      <c r="B333" s="1">
        <f t="shared" si="5"/>
        <v>21</v>
      </c>
    </row>
    <row r="334" spans="1:2">
      <c r="A334" s="112">
        <v>37971</v>
      </c>
      <c r="B334" s="1">
        <f t="shared" si="5"/>
        <v>22</v>
      </c>
    </row>
    <row r="335" spans="1:2">
      <c r="A335" s="112">
        <v>37972</v>
      </c>
      <c r="B335" s="1">
        <f t="shared" si="5"/>
        <v>23</v>
      </c>
    </row>
    <row r="336" spans="1:2">
      <c r="A336" s="112">
        <v>37973</v>
      </c>
      <c r="B336" s="1">
        <f t="shared" si="5"/>
        <v>24</v>
      </c>
    </row>
    <row r="337" spans="1:2">
      <c r="A337" s="112">
        <v>37974</v>
      </c>
      <c r="B337" s="1">
        <f t="shared" si="5"/>
        <v>25</v>
      </c>
    </row>
    <row r="338" spans="1:2">
      <c r="A338" s="112">
        <v>37975</v>
      </c>
      <c r="B338" s="1">
        <f t="shared" si="5"/>
        <v>26</v>
      </c>
    </row>
    <row r="339" spans="1:2">
      <c r="A339" s="112">
        <v>37976</v>
      </c>
      <c r="B339" s="1">
        <f t="shared" si="5"/>
        <v>27</v>
      </c>
    </row>
    <row r="340" spans="1:2">
      <c r="A340" s="112">
        <v>37977</v>
      </c>
      <c r="B340" s="1">
        <f t="shared" si="5"/>
        <v>28</v>
      </c>
    </row>
    <row r="341" spans="1:2">
      <c r="A341" s="112">
        <v>37978</v>
      </c>
      <c r="B341" s="1">
        <f t="shared" si="5"/>
        <v>29</v>
      </c>
    </row>
    <row r="342" spans="1:2">
      <c r="A342" s="112">
        <v>37979</v>
      </c>
      <c r="B342" s="1">
        <f t="shared" si="5"/>
        <v>0</v>
      </c>
    </row>
    <row r="343" spans="1:2">
      <c r="A343" s="112">
        <v>37980</v>
      </c>
      <c r="B343" s="1">
        <f t="shared" si="5"/>
        <v>1</v>
      </c>
    </row>
    <row r="344" spans="1:2">
      <c r="A344" s="112">
        <v>37981</v>
      </c>
      <c r="B344" s="1">
        <f t="shared" si="5"/>
        <v>2</v>
      </c>
    </row>
    <row r="345" spans="1:2">
      <c r="A345" s="112">
        <v>37982</v>
      </c>
      <c r="B345" s="1">
        <f t="shared" si="5"/>
        <v>3</v>
      </c>
    </row>
    <row r="346" spans="1:2">
      <c r="A346" s="112">
        <v>37983</v>
      </c>
      <c r="B346" s="1">
        <f t="shared" si="5"/>
        <v>4</v>
      </c>
    </row>
    <row r="347" spans="1:2">
      <c r="A347" s="112">
        <v>37984</v>
      </c>
      <c r="B347" s="1">
        <f t="shared" si="5"/>
        <v>5</v>
      </c>
    </row>
    <row r="348" spans="1:2">
      <c r="A348" s="112">
        <v>37985</v>
      </c>
      <c r="B348" s="1">
        <f t="shared" si="5"/>
        <v>6</v>
      </c>
    </row>
    <row r="349" spans="1:2">
      <c r="A349" s="112">
        <v>37986</v>
      </c>
      <c r="B349" s="1">
        <f t="shared" si="5"/>
        <v>7</v>
      </c>
    </row>
    <row r="350" spans="1:2">
      <c r="A350" s="112">
        <v>37987</v>
      </c>
      <c r="B350" s="1">
        <f t="shared" si="5"/>
        <v>8</v>
      </c>
    </row>
    <row r="351" spans="1:2">
      <c r="A351" s="112">
        <v>37988</v>
      </c>
      <c r="B351" s="1">
        <f t="shared" si="5"/>
        <v>9</v>
      </c>
    </row>
    <row r="352" spans="1:2">
      <c r="A352" s="112">
        <v>37989</v>
      </c>
      <c r="B352" s="1">
        <f t="shared" si="5"/>
        <v>10</v>
      </c>
    </row>
    <row r="353" spans="1:2">
      <c r="A353" s="112">
        <v>37990</v>
      </c>
      <c r="B353" s="1">
        <f t="shared" si="5"/>
        <v>11</v>
      </c>
    </row>
    <row r="354" spans="1:2">
      <c r="A354" s="112">
        <v>37991</v>
      </c>
      <c r="B354" s="1">
        <f t="shared" si="5"/>
        <v>12</v>
      </c>
    </row>
    <row r="355" spans="1:2">
      <c r="A355" s="112">
        <v>37992</v>
      </c>
      <c r="B355" s="1">
        <f t="shared" si="5"/>
        <v>13</v>
      </c>
    </row>
    <row r="356" spans="1:2">
      <c r="A356" s="112">
        <v>37993</v>
      </c>
      <c r="B356" s="1">
        <f t="shared" si="5"/>
        <v>14</v>
      </c>
    </row>
    <row r="357" spans="1:2">
      <c r="A357" s="112">
        <v>37994</v>
      </c>
      <c r="B357" s="1">
        <f t="shared" si="5"/>
        <v>15</v>
      </c>
    </row>
    <row r="358" spans="1:2">
      <c r="A358" s="112">
        <v>37995</v>
      </c>
      <c r="B358" s="1">
        <f t="shared" si="5"/>
        <v>16</v>
      </c>
    </row>
    <row r="359" spans="1:2">
      <c r="A359" s="112">
        <v>37996</v>
      </c>
      <c r="B359" s="1">
        <f t="shared" si="5"/>
        <v>17</v>
      </c>
    </row>
    <row r="360" spans="1:2">
      <c r="A360" s="112">
        <v>37997</v>
      </c>
      <c r="B360" s="1">
        <f t="shared" si="5"/>
        <v>18</v>
      </c>
    </row>
    <row r="361" spans="1:2">
      <c r="A361" s="112">
        <v>37998</v>
      </c>
      <c r="B361" s="1">
        <f t="shared" si="5"/>
        <v>19</v>
      </c>
    </row>
    <row r="362" spans="1:2">
      <c r="A362" s="112">
        <v>37999</v>
      </c>
      <c r="B362" s="1">
        <f t="shared" si="5"/>
        <v>20</v>
      </c>
    </row>
    <row r="363" spans="1:2">
      <c r="A363" s="112">
        <v>38000</v>
      </c>
      <c r="B363" s="1">
        <f t="shared" si="5"/>
        <v>21</v>
      </c>
    </row>
    <row r="364" spans="1:2">
      <c r="A364" s="112">
        <v>38001</v>
      </c>
      <c r="B364" s="1">
        <f t="shared" si="5"/>
        <v>22</v>
      </c>
    </row>
    <row r="365" spans="1:2">
      <c r="A365" s="112">
        <v>38002</v>
      </c>
      <c r="B365" s="1">
        <f t="shared" si="5"/>
        <v>23</v>
      </c>
    </row>
    <row r="366" spans="1:2">
      <c r="A366" s="112">
        <v>38003</v>
      </c>
      <c r="B366" s="1">
        <f t="shared" si="5"/>
        <v>24</v>
      </c>
    </row>
    <row r="367" spans="1:2">
      <c r="A367" s="112">
        <v>38004</v>
      </c>
      <c r="B367" s="1">
        <f t="shared" si="5"/>
        <v>25</v>
      </c>
    </row>
    <row r="368" spans="1:2">
      <c r="A368" s="112">
        <v>38005</v>
      </c>
      <c r="B368" s="1">
        <f t="shared" si="5"/>
        <v>26</v>
      </c>
    </row>
    <row r="369" spans="1:2">
      <c r="A369" s="112">
        <v>38006</v>
      </c>
      <c r="B369" s="1">
        <f t="shared" si="5"/>
        <v>27</v>
      </c>
    </row>
    <row r="370" spans="1:2">
      <c r="A370" s="112">
        <v>38007</v>
      </c>
      <c r="B370" s="1">
        <f t="shared" si="5"/>
        <v>28</v>
      </c>
    </row>
    <row r="371" spans="1:2">
      <c r="A371" s="112">
        <v>38008</v>
      </c>
      <c r="B371" s="1">
        <f t="shared" si="5"/>
        <v>0</v>
      </c>
    </row>
    <row r="372" spans="1:2">
      <c r="A372" s="112">
        <v>38009</v>
      </c>
      <c r="B372" s="1">
        <f t="shared" si="5"/>
        <v>1</v>
      </c>
    </row>
    <row r="373" spans="1:2">
      <c r="A373" s="112">
        <v>38010</v>
      </c>
      <c r="B373" s="1">
        <f t="shared" si="5"/>
        <v>2</v>
      </c>
    </row>
    <row r="374" spans="1:2">
      <c r="A374" s="112">
        <v>38011</v>
      </c>
      <c r="B374" s="1">
        <f t="shared" si="5"/>
        <v>3</v>
      </c>
    </row>
    <row r="375" spans="1:2">
      <c r="A375" s="112">
        <v>38012</v>
      </c>
      <c r="B375" s="1">
        <f t="shared" si="5"/>
        <v>4</v>
      </c>
    </row>
    <row r="376" spans="1:2">
      <c r="A376" s="112">
        <v>38013</v>
      </c>
      <c r="B376" s="1">
        <f t="shared" si="5"/>
        <v>5</v>
      </c>
    </row>
    <row r="377" spans="1:2">
      <c r="A377" s="112">
        <v>38014</v>
      </c>
      <c r="B377" s="1">
        <f t="shared" si="5"/>
        <v>6</v>
      </c>
    </row>
    <row r="378" spans="1:2">
      <c r="A378" s="112">
        <v>38015</v>
      </c>
      <c r="B378" s="1">
        <f t="shared" si="5"/>
        <v>7</v>
      </c>
    </row>
    <row r="379" spans="1:2">
      <c r="A379" s="112">
        <v>38016</v>
      </c>
      <c r="B379" s="1">
        <f t="shared" si="5"/>
        <v>8</v>
      </c>
    </row>
    <row r="380" spans="1:2">
      <c r="A380" s="112">
        <v>38017</v>
      </c>
      <c r="B380" s="1">
        <f t="shared" si="5"/>
        <v>9</v>
      </c>
    </row>
    <row r="381" spans="1:2">
      <c r="A381" s="112">
        <v>38018</v>
      </c>
      <c r="B381" s="1">
        <f t="shared" si="5"/>
        <v>10</v>
      </c>
    </row>
    <row r="382" spans="1:2">
      <c r="A382" s="112">
        <v>38019</v>
      </c>
      <c r="B382" s="1">
        <f t="shared" si="5"/>
        <v>11</v>
      </c>
    </row>
    <row r="383" spans="1:2">
      <c r="A383" s="112">
        <v>38020</v>
      </c>
      <c r="B383" s="1">
        <f t="shared" si="5"/>
        <v>12</v>
      </c>
    </row>
    <row r="384" spans="1:2">
      <c r="A384" s="112">
        <v>38021</v>
      </c>
      <c r="B384" s="1">
        <f t="shared" si="5"/>
        <v>13</v>
      </c>
    </row>
    <row r="385" spans="1:2">
      <c r="A385" s="112">
        <v>38022</v>
      </c>
      <c r="B385" s="1">
        <f t="shared" si="5"/>
        <v>14</v>
      </c>
    </row>
    <row r="386" spans="1:2">
      <c r="A386" s="112">
        <v>38023</v>
      </c>
      <c r="B386" s="1">
        <f t="shared" si="5"/>
        <v>15</v>
      </c>
    </row>
    <row r="387" spans="1:2">
      <c r="A387" s="112">
        <v>38024</v>
      </c>
      <c r="B387" s="1">
        <f t="shared" ref="B387:B450" si="6">INT(MOD($G$2+A387-$F$2,29.53))</f>
        <v>16</v>
      </c>
    </row>
    <row r="388" spans="1:2">
      <c r="A388" s="112">
        <v>38025</v>
      </c>
      <c r="B388" s="1">
        <f t="shared" si="6"/>
        <v>17</v>
      </c>
    </row>
    <row r="389" spans="1:2">
      <c r="A389" s="112">
        <v>38026</v>
      </c>
      <c r="B389" s="1">
        <f t="shared" si="6"/>
        <v>18</v>
      </c>
    </row>
    <row r="390" spans="1:2">
      <c r="A390" s="112">
        <v>38027</v>
      </c>
      <c r="B390" s="1">
        <f t="shared" si="6"/>
        <v>19</v>
      </c>
    </row>
    <row r="391" spans="1:2">
      <c r="A391" s="112">
        <v>38028</v>
      </c>
      <c r="B391" s="1">
        <f t="shared" si="6"/>
        <v>20</v>
      </c>
    </row>
    <row r="392" spans="1:2">
      <c r="A392" s="112">
        <v>38029</v>
      </c>
      <c r="B392" s="1">
        <f t="shared" si="6"/>
        <v>21</v>
      </c>
    </row>
    <row r="393" spans="1:2">
      <c r="A393" s="112">
        <v>38030</v>
      </c>
      <c r="B393" s="1">
        <f t="shared" si="6"/>
        <v>22</v>
      </c>
    </row>
    <row r="394" spans="1:2">
      <c r="A394" s="112">
        <v>38031</v>
      </c>
      <c r="B394" s="1">
        <f t="shared" si="6"/>
        <v>23</v>
      </c>
    </row>
    <row r="395" spans="1:2">
      <c r="A395" s="112">
        <v>38032</v>
      </c>
      <c r="B395" s="1">
        <f t="shared" si="6"/>
        <v>24</v>
      </c>
    </row>
    <row r="396" spans="1:2">
      <c r="A396" s="112">
        <v>38033</v>
      </c>
      <c r="B396" s="1">
        <f t="shared" si="6"/>
        <v>25</v>
      </c>
    </row>
    <row r="397" spans="1:2">
      <c r="A397" s="112">
        <v>38034</v>
      </c>
      <c r="B397" s="1">
        <f t="shared" si="6"/>
        <v>26</v>
      </c>
    </row>
    <row r="398" spans="1:2">
      <c r="A398" s="112">
        <v>38035</v>
      </c>
      <c r="B398" s="1">
        <f t="shared" si="6"/>
        <v>27</v>
      </c>
    </row>
    <row r="399" spans="1:2">
      <c r="A399" s="112">
        <v>38036</v>
      </c>
      <c r="B399" s="1">
        <f t="shared" si="6"/>
        <v>28</v>
      </c>
    </row>
    <row r="400" spans="1:2">
      <c r="A400" s="112">
        <v>38037</v>
      </c>
      <c r="B400" s="1">
        <f t="shared" si="6"/>
        <v>29</v>
      </c>
    </row>
    <row r="401" spans="1:2">
      <c r="A401" s="112">
        <v>38038</v>
      </c>
      <c r="B401" s="1">
        <f t="shared" si="6"/>
        <v>0</v>
      </c>
    </row>
    <row r="402" spans="1:2">
      <c r="A402" s="112">
        <v>38039</v>
      </c>
      <c r="B402" s="1">
        <f t="shared" si="6"/>
        <v>1</v>
      </c>
    </row>
    <row r="403" spans="1:2">
      <c r="A403" s="112">
        <v>38040</v>
      </c>
      <c r="B403" s="1">
        <f t="shared" si="6"/>
        <v>2</v>
      </c>
    </row>
    <row r="404" spans="1:2">
      <c r="A404" s="112">
        <v>38041</v>
      </c>
      <c r="B404" s="1">
        <f t="shared" si="6"/>
        <v>3</v>
      </c>
    </row>
    <row r="405" spans="1:2">
      <c r="A405" s="112">
        <v>38042</v>
      </c>
      <c r="B405" s="1">
        <f t="shared" si="6"/>
        <v>4</v>
      </c>
    </row>
    <row r="406" spans="1:2">
      <c r="A406" s="112">
        <v>38043</v>
      </c>
      <c r="B406" s="1">
        <f t="shared" si="6"/>
        <v>5</v>
      </c>
    </row>
    <row r="407" spans="1:2">
      <c r="A407" s="112">
        <v>38044</v>
      </c>
      <c r="B407" s="1">
        <f t="shared" si="6"/>
        <v>6</v>
      </c>
    </row>
    <row r="408" spans="1:2">
      <c r="A408" s="112">
        <v>38045</v>
      </c>
      <c r="B408" s="1">
        <f t="shared" si="6"/>
        <v>7</v>
      </c>
    </row>
    <row r="409" spans="1:2">
      <c r="A409" s="112">
        <v>38046</v>
      </c>
      <c r="B409" s="1">
        <f t="shared" si="6"/>
        <v>8</v>
      </c>
    </row>
    <row r="410" spans="1:2">
      <c r="A410" s="112">
        <v>38047</v>
      </c>
      <c r="B410" s="1">
        <f t="shared" si="6"/>
        <v>9</v>
      </c>
    </row>
    <row r="411" spans="1:2">
      <c r="A411" s="112">
        <v>38048</v>
      </c>
      <c r="B411" s="1">
        <f t="shared" si="6"/>
        <v>10</v>
      </c>
    </row>
    <row r="412" spans="1:2">
      <c r="A412" s="112">
        <v>38049</v>
      </c>
      <c r="B412" s="1">
        <f t="shared" si="6"/>
        <v>11</v>
      </c>
    </row>
    <row r="413" spans="1:2">
      <c r="A413" s="112">
        <v>38050</v>
      </c>
      <c r="B413" s="1">
        <f t="shared" si="6"/>
        <v>12</v>
      </c>
    </row>
    <row r="414" spans="1:2">
      <c r="A414" s="112">
        <v>38051</v>
      </c>
      <c r="B414" s="1">
        <f t="shared" si="6"/>
        <v>13</v>
      </c>
    </row>
    <row r="415" spans="1:2">
      <c r="A415" s="112">
        <v>38052</v>
      </c>
      <c r="B415" s="1">
        <f t="shared" si="6"/>
        <v>14</v>
      </c>
    </row>
    <row r="416" spans="1:2">
      <c r="A416" s="112">
        <v>38053</v>
      </c>
      <c r="B416" s="1">
        <f t="shared" si="6"/>
        <v>15</v>
      </c>
    </row>
    <row r="417" spans="1:2">
      <c r="A417" s="112">
        <v>38054</v>
      </c>
      <c r="B417" s="1">
        <f t="shared" si="6"/>
        <v>16</v>
      </c>
    </row>
    <row r="418" spans="1:2">
      <c r="A418" s="112">
        <v>38055</v>
      </c>
      <c r="B418" s="1">
        <f t="shared" si="6"/>
        <v>17</v>
      </c>
    </row>
    <row r="419" spans="1:2">
      <c r="A419" s="112">
        <v>38056</v>
      </c>
      <c r="B419" s="1">
        <f t="shared" si="6"/>
        <v>18</v>
      </c>
    </row>
    <row r="420" spans="1:2">
      <c r="A420" s="112">
        <v>38057</v>
      </c>
      <c r="B420" s="1">
        <f t="shared" si="6"/>
        <v>19</v>
      </c>
    </row>
    <row r="421" spans="1:2">
      <c r="A421" s="112">
        <v>38058</v>
      </c>
      <c r="B421" s="1">
        <f t="shared" si="6"/>
        <v>20</v>
      </c>
    </row>
    <row r="422" spans="1:2">
      <c r="A422" s="112">
        <v>38059</v>
      </c>
      <c r="B422" s="1">
        <f t="shared" si="6"/>
        <v>21</v>
      </c>
    </row>
    <row r="423" spans="1:2">
      <c r="A423" s="112">
        <v>38060</v>
      </c>
      <c r="B423" s="1">
        <f t="shared" si="6"/>
        <v>22</v>
      </c>
    </row>
    <row r="424" spans="1:2">
      <c r="A424" s="112">
        <v>38061</v>
      </c>
      <c r="B424" s="1">
        <f t="shared" si="6"/>
        <v>23</v>
      </c>
    </row>
    <row r="425" spans="1:2">
      <c r="A425" s="112">
        <v>38062</v>
      </c>
      <c r="B425" s="1">
        <f t="shared" si="6"/>
        <v>24</v>
      </c>
    </row>
    <row r="426" spans="1:2">
      <c r="A426" s="112">
        <v>38063</v>
      </c>
      <c r="B426" s="1">
        <f t="shared" si="6"/>
        <v>25</v>
      </c>
    </row>
    <row r="427" spans="1:2">
      <c r="A427" s="112">
        <v>38064</v>
      </c>
      <c r="B427" s="1">
        <f t="shared" si="6"/>
        <v>26</v>
      </c>
    </row>
    <row r="428" spans="1:2">
      <c r="A428" s="112">
        <v>38065</v>
      </c>
      <c r="B428" s="1">
        <f t="shared" si="6"/>
        <v>27</v>
      </c>
    </row>
    <row r="429" spans="1:2">
      <c r="A429" s="112">
        <v>38066</v>
      </c>
      <c r="B429" s="1">
        <f t="shared" si="6"/>
        <v>28</v>
      </c>
    </row>
    <row r="430" spans="1:2">
      <c r="A430" s="112">
        <v>38067</v>
      </c>
      <c r="B430" s="1">
        <f t="shared" si="6"/>
        <v>0</v>
      </c>
    </row>
    <row r="431" spans="1:2">
      <c r="A431" s="112">
        <v>38068</v>
      </c>
      <c r="B431" s="1">
        <f t="shared" si="6"/>
        <v>1</v>
      </c>
    </row>
    <row r="432" spans="1:2">
      <c r="A432" s="112">
        <v>38069</v>
      </c>
      <c r="B432" s="1">
        <f t="shared" si="6"/>
        <v>2</v>
      </c>
    </row>
    <row r="433" spans="1:2">
      <c r="A433" s="112">
        <v>38070</v>
      </c>
      <c r="B433" s="1">
        <f t="shared" si="6"/>
        <v>3</v>
      </c>
    </row>
    <row r="434" spans="1:2">
      <c r="A434" s="112">
        <v>38071</v>
      </c>
      <c r="B434" s="1">
        <f t="shared" si="6"/>
        <v>4</v>
      </c>
    </row>
    <row r="435" spans="1:2">
      <c r="A435" s="112">
        <v>38072</v>
      </c>
      <c r="B435" s="1">
        <f t="shared" si="6"/>
        <v>5</v>
      </c>
    </row>
    <row r="436" spans="1:2">
      <c r="A436" s="112">
        <v>38073</v>
      </c>
      <c r="B436" s="1">
        <f t="shared" si="6"/>
        <v>6</v>
      </c>
    </row>
    <row r="437" spans="1:2">
      <c r="A437" s="112">
        <v>38074</v>
      </c>
      <c r="B437" s="1">
        <f t="shared" si="6"/>
        <v>7</v>
      </c>
    </row>
    <row r="438" spans="1:2">
      <c r="A438" s="112">
        <v>38075</v>
      </c>
      <c r="B438" s="1">
        <f t="shared" si="6"/>
        <v>8</v>
      </c>
    </row>
    <row r="439" spans="1:2">
      <c r="A439" s="112">
        <v>38076</v>
      </c>
      <c r="B439" s="1">
        <f t="shared" si="6"/>
        <v>9</v>
      </c>
    </row>
    <row r="440" spans="1:2">
      <c r="A440" s="112">
        <v>38077</v>
      </c>
      <c r="B440" s="1">
        <f t="shared" si="6"/>
        <v>10</v>
      </c>
    </row>
    <row r="441" spans="1:2">
      <c r="A441" s="112">
        <v>38078</v>
      </c>
      <c r="B441" s="1">
        <f t="shared" si="6"/>
        <v>11</v>
      </c>
    </row>
    <row r="442" spans="1:2">
      <c r="A442" s="112">
        <v>38079</v>
      </c>
      <c r="B442" s="1">
        <f t="shared" si="6"/>
        <v>12</v>
      </c>
    </row>
    <row r="443" spans="1:2">
      <c r="A443" s="112">
        <v>38080</v>
      </c>
      <c r="B443" s="1">
        <f t="shared" si="6"/>
        <v>13</v>
      </c>
    </row>
    <row r="444" spans="1:2">
      <c r="A444" s="112">
        <v>38081</v>
      </c>
      <c r="B444" s="1">
        <f t="shared" si="6"/>
        <v>14</v>
      </c>
    </row>
    <row r="445" spans="1:2">
      <c r="A445" s="112">
        <v>38082</v>
      </c>
      <c r="B445" s="1">
        <f t="shared" si="6"/>
        <v>15</v>
      </c>
    </row>
    <row r="446" spans="1:2">
      <c r="A446" s="112">
        <v>38083</v>
      </c>
      <c r="B446" s="1">
        <f t="shared" si="6"/>
        <v>16</v>
      </c>
    </row>
    <row r="447" spans="1:2">
      <c r="A447" s="112">
        <v>38084</v>
      </c>
      <c r="B447" s="1">
        <f t="shared" si="6"/>
        <v>17</v>
      </c>
    </row>
    <row r="448" spans="1:2">
      <c r="A448" s="112">
        <v>38085</v>
      </c>
      <c r="B448" s="1">
        <f t="shared" si="6"/>
        <v>18</v>
      </c>
    </row>
    <row r="449" spans="1:2">
      <c r="A449" s="112">
        <v>38086</v>
      </c>
      <c r="B449" s="1">
        <f t="shared" si="6"/>
        <v>19</v>
      </c>
    </row>
    <row r="450" spans="1:2">
      <c r="A450" s="112">
        <v>38087</v>
      </c>
      <c r="B450" s="1">
        <f t="shared" si="6"/>
        <v>20</v>
      </c>
    </row>
    <row r="451" spans="1:2">
      <c r="A451" s="112">
        <v>38088</v>
      </c>
      <c r="B451" s="1">
        <f t="shared" ref="B451:B514" si="7">INT(MOD($G$2+A451-$F$2,29.53))</f>
        <v>21</v>
      </c>
    </row>
    <row r="452" spans="1:2">
      <c r="A452" s="112">
        <v>38089</v>
      </c>
      <c r="B452" s="1">
        <f t="shared" si="7"/>
        <v>22</v>
      </c>
    </row>
    <row r="453" spans="1:2">
      <c r="A453" s="112">
        <v>38090</v>
      </c>
      <c r="B453" s="1">
        <f t="shared" si="7"/>
        <v>23</v>
      </c>
    </row>
    <row r="454" spans="1:2">
      <c r="A454" s="112">
        <v>38091</v>
      </c>
      <c r="B454" s="1">
        <f t="shared" si="7"/>
        <v>24</v>
      </c>
    </row>
    <row r="455" spans="1:2">
      <c r="A455" s="112">
        <v>38092</v>
      </c>
      <c r="B455" s="1">
        <f t="shared" si="7"/>
        <v>25</v>
      </c>
    </row>
    <row r="456" spans="1:2">
      <c r="A456" s="112">
        <v>38093</v>
      </c>
      <c r="B456" s="1">
        <f t="shared" si="7"/>
        <v>26</v>
      </c>
    </row>
    <row r="457" spans="1:2">
      <c r="A457" s="112">
        <v>38094</v>
      </c>
      <c r="B457" s="1">
        <f t="shared" si="7"/>
        <v>27</v>
      </c>
    </row>
    <row r="458" spans="1:2">
      <c r="A458" s="112">
        <v>38095</v>
      </c>
      <c r="B458" s="1">
        <f t="shared" si="7"/>
        <v>28</v>
      </c>
    </row>
    <row r="459" spans="1:2">
      <c r="A459" s="112">
        <v>38096</v>
      </c>
      <c r="B459" s="1">
        <f t="shared" si="7"/>
        <v>29</v>
      </c>
    </row>
    <row r="460" spans="1:2">
      <c r="A460" s="112">
        <v>38097</v>
      </c>
      <c r="B460" s="1">
        <f t="shared" si="7"/>
        <v>0</v>
      </c>
    </row>
    <row r="461" spans="1:2">
      <c r="A461" s="112">
        <v>38098</v>
      </c>
      <c r="B461" s="1">
        <f t="shared" si="7"/>
        <v>1</v>
      </c>
    </row>
    <row r="462" spans="1:2">
      <c r="A462" s="112">
        <v>38099</v>
      </c>
      <c r="B462" s="1">
        <f t="shared" si="7"/>
        <v>2</v>
      </c>
    </row>
    <row r="463" spans="1:2">
      <c r="A463" s="112">
        <v>38100</v>
      </c>
      <c r="B463" s="1">
        <f t="shared" si="7"/>
        <v>3</v>
      </c>
    </row>
    <row r="464" spans="1:2">
      <c r="A464" s="112">
        <v>38101</v>
      </c>
      <c r="B464" s="1">
        <f t="shared" si="7"/>
        <v>4</v>
      </c>
    </row>
    <row r="465" spans="1:2">
      <c r="A465" s="112">
        <v>38102</v>
      </c>
      <c r="B465" s="1">
        <f t="shared" si="7"/>
        <v>5</v>
      </c>
    </row>
    <row r="466" spans="1:2">
      <c r="A466" s="112">
        <v>38103</v>
      </c>
      <c r="B466" s="1">
        <f t="shared" si="7"/>
        <v>6</v>
      </c>
    </row>
    <row r="467" spans="1:2">
      <c r="A467" s="112">
        <v>38104</v>
      </c>
      <c r="B467" s="1">
        <f t="shared" si="7"/>
        <v>7</v>
      </c>
    </row>
    <row r="468" spans="1:2">
      <c r="A468" s="112">
        <v>38105</v>
      </c>
      <c r="B468" s="1">
        <f t="shared" si="7"/>
        <v>8</v>
      </c>
    </row>
    <row r="469" spans="1:2">
      <c r="A469" s="112">
        <v>38106</v>
      </c>
      <c r="B469" s="1">
        <f t="shared" si="7"/>
        <v>9</v>
      </c>
    </row>
    <row r="470" spans="1:2">
      <c r="A470" s="112">
        <v>38107</v>
      </c>
      <c r="B470" s="1">
        <f t="shared" si="7"/>
        <v>10</v>
      </c>
    </row>
    <row r="471" spans="1:2">
      <c r="A471" s="112">
        <v>38108</v>
      </c>
      <c r="B471" s="1">
        <f t="shared" si="7"/>
        <v>11</v>
      </c>
    </row>
    <row r="472" spans="1:2">
      <c r="A472" s="112">
        <v>38109</v>
      </c>
      <c r="B472" s="1">
        <f t="shared" si="7"/>
        <v>12</v>
      </c>
    </row>
    <row r="473" spans="1:2">
      <c r="A473" s="112">
        <v>38110</v>
      </c>
      <c r="B473" s="1">
        <f t="shared" si="7"/>
        <v>13</v>
      </c>
    </row>
    <row r="474" spans="1:2">
      <c r="A474" s="112">
        <v>38111</v>
      </c>
      <c r="B474" s="1">
        <f t="shared" si="7"/>
        <v>14</v>
      </c>
    </row>
    <row r="475" spans="1:2">
      <c r="A475" s="112">
        <v>38112</v>
      </c>
      <c r="B475" s="1">
        <f t="shared" si="7"/>
        <v>15</v>
      </c>
    </row>
    <row r="476" spans="1:2">
      <c r="A476" s="112">
        <v>38113</v>
      </c>
      <c r="B476" s="1">
        <f t="shared" si="7"/>
        <v>16</v>
      </c>
    </row>
    <row r="477" spans="1:2">
      <c r="A477" s="112">
        <v>38114</v>
      </c>
      <c r="B477" s="1">
        <f t="shared" si="7"/>
        <v>17</v>
      </c>
    </row>
    <row r="478" spans="1:2">
      <c r="A478" s="112">
        <v>38115</v>
      </c>
      <c r="B478" s="1">
        <f t="shared" si="7"/>
        <v>18</v>
      </c>
    </row>
    <row r="479" spans="1:2">
      <c r="A479" s="112">
        <v>38116</v>
      </c>
      <c r="B479" s="1">
        <f t="shared" si="7"/>
        <v>19</v>
      </c>
    </row>
    <row r="480" spans="1:2">
      <c r="A480" s="112">
        <v>38117</v>
      </c>
      <c r="B480" s="1">
        <f t="shared" si="7"/>
        <v>20</v>
      </c>
    </row>
    <row r="481" spans="1:2">
      <c r="A481" s="112">
        <v>38118</v>
      </c>
      <c r="B481" s="1">
        <f t="shared" si="7"/>
        <v>21</v>
      </c>
    </row>
    <row r="482" spans="1:2">
      <c r="A482" s="112">
        <v>38119</v>
      </c>
      <c r="B482" s="1">
        <f t="shared" si="7"/>
        <v>22</v>
      </c>
    </row>
    <row r="483" spans="1:2">
      <c r="A483" s="112">
        <v>38120</v>
      </c>
      <c r="B483" s="1">
        <f t="shared" si="7"/>
        <v>23</v>
      </c>
    </row>
    <row r="484" spans="1:2">
      <c r="A484" s="112">
        <v>38121</v>
      </c>
      <c r="B484" s="1">
        <f t="shared" si="7"/>
        <v>24</v>
      </c>
    </row>
    <row r="485" spans="1:2">
      <c r="A485" s="112">
        <v>38122</v>
      </c>
      <c r="B485" s="1">
        <f t="shared" si="7"/>
        <v>25</v>
      </c>
    </row>
    <row r="486" spans="1:2">
      <c r="A486" s="112">
        <v>38123</v>
      </c>
      <c r="B486" s="1">
        <f t="shared" si="7"/>
        <v>26</v>
      </c>
    </row>
    <row r="487" spans="1:2">
      <c r="A487" s="112">
        <v>38124</v>
      </c>
      <c r="B487" s="1">
        <f t="shared" si="7"/>
        <v>27</v>
      </c>
    </row>
    <row r="488" spans="1:2">
      <c r="A488" s="112">
        <v>38125</v>
      </c>
      <c r="B488" s="1">
        <f t="shared" si="7"/>
        <v>28</v>
      </c>
    </row>
    <row r="489" spans="1:2">
      <c r="A489" s="112">
        <v>38126</v>
      </c>
      <c r="B489" s="1">
        <f t="shared" si="7"/>
        <v>0</v>
      </c>
    </row>
    <row r="490" spans="1:2">
      <c r="A490" s="112">
        <v>38127</v>
      </c>
      <c r="B490" s="1">
        <f t="shared" si="7"/>
        <v>1</v>
      </c>
    </row>
    <row r="491" spans="1:2">
      <c r="A491" s="112">
        <v>38128</v>
      </c>
      <c r="B491" s="1">
        <f t="shared" si="7"/>
        <v>2</v>
      </c>
    </row>
    <row r="492" spans="1:2">
      <c r="A492" s="112">
        <v>38129</v>
      </c>
      <c r="B492" s="1">
        <f t="shared" si="7"/>
        <v>3</v>
      </c>
    </row>
    <row r="493" spans="1:2">
      <c r="A493" s="112">
        <v>38130</v>
      </c>
      <c r="B493" s="1">
        <f t="shared" si="7"/>
        <v>4</v>
      </c>
    </row>
    <row r="494" spans="1:2">
      <c r="A494" s="112">
        <v>38131</v>
      </c>
      <c r="B494" s="1">
        <f t="shared" si="7"/>
        <v>5</v>
      </c>
    </row>
    <row r="495" spans="1:2">
      <c r="A495" s="112">
        <v>38132</v>
      </c>
      <c r="B495" s="1">
        <f t="shared" si="7"/>
        <v>6</v>
      </c>
    </row>
    <row r="496" spans="1:2">
      <c r="A496" s="112">
        <v>38133</v>
      </c>
      <c r="B496" s="1">
        <f t="shared" si="7"/>
        <v>7</v>
      </c>
    </row>
    <row r="497" spans="1:2">
      <c r="A497" s="112">
        <v>38134</v>
      </c>
      <c r="B497" s="1">
        <f t="shared" si="7"/>
        <v>8</v>
      </c>
    </row>
    <row r="498" spans="1:2">
      <c r="A498" s="112">
        <v>38135</v>
      </c>
      <c r="B498" s="1">
        <f t="shared" si="7"/>
        <v>9</v>
      </c>
    </row>
    <row r="499" spans="1:2">
      <c r="A499" s="112">
        <v>38136</v>
      </c>
      <c r="B499" s="1">
        <f t="shared" si="7"/>
        <v>10</v>
      </c>
    </row>
    <row r="500" spans="1:2">
      <c r="A500" s="112">
        <v>38137</v>
      </c>
      <c r="B500" s="1">
        <f t="shared" si="7"/>
        <v>11</v>
      </c>
    </row>
    <row r="501" spans="1:2">
      <c r="A501" s="112">
        <v>38138</v>
      </c>
      <c r="B501" s="1">
        <f t="shared" si="7"/>
        <v>12</v>
      </c>
    </row>
    <row r="502" spans="1:2">
      <c r="A502" s="112">
        <v>38139</v>
      </c>
      <c r="B502" s="1">
        <f t="shared" si="7"/>
        <v>13</v>
      </c>
    </row>
    <row r="503" spans="1:2">
      <c r="A503" s="112">
        <v>38140</v>
      </c>
      <c r="B503" s="1">
        <f t="shared" si="7"/>
        <v>14</v>
      </c>
    </row>
    <row r="504" spans="1:2">
      <c r="A504" s="112">
        <v>38141</v>
      </c>
      <c r="B504" s="1">
        <f t="shared" si="7"/>
        <v>15</v>
      </c>
    </row>
    <row r="505" spans="1:2">
      <c r="A505" s="112">
        <v>38142</v>
      </c>
      <c r="B505" s="1">
        <f t="shared" si="7"/>
        <v>16</v>
      </c>
    </row>
    <row r="506" spans="1:2">
      <c r="A506" s="112">
        <v>38143</v>
      </c>
      <c r="B506" s="1">
        <f t="shared" si="7"/>
        <v>17</v>
      </c>
    </row>
    <row r="507" spans="1:2">
      <c r="A507" s="112">
        <v>38144</v>
      </c>
      <c r="B507" s="1">
        <f t="shared" si="7"/>
        <v>18</v>
      </c>
    </row>
    <row r="508" spans="1:2">
      <c r="A508" s="112">
        <v>38145</v>
      </c>
      <c r="B508" s="1">
        <f t="shared" si="7"/>
        <v>19</v>
      </c>
    </row>
    <row r="509" spans="1:2">
      <c r="A509" s="112">
        <v>38146</v>
      </c>
      <c r="B509" s="1">
        <f t="shared" si="7"/>
        <v>20</v>
      </c>
    </row>
    <row r="510" spans="1:2">
      <c r="A510" s="112">
        <v>38147</v>
      </c>
      <c r="B510" s="1">
        <f t="shared" si="7"/>
        <v>21</v>
      </c>
    </row>
    <row r="511" spans="1:2">
      <c r="A511" s="112">
        <v>38148</v>
      </c>
      <c r="B511" s="1">
        <f t="shared" si="7"/>
        <v>22</v>
      </c>
    </row>
    <row r="512" spans="1:2">
      <c r="A512" s="112">
        <v>38149</v>
      </c>
      <c r="B512" s="1">
        <f t="shared" si="7"/>
        <v>23</v>
      </c>
    </row>
    <row r="513" spans="1:2">
      <c r="A513" s="112">
        <v>38150</v>
      </c>
      <c r="B513" s="1">
        <f t="shared" si="7"/>
        <v>24</v>
      </c>
    </row>
    <row r="514" spans="1:2">
      <c r="A514" s="112">
        <v>38151</v>
      </c>
      <c r="B514" s="1">
        <f t="shared" si="7"/>
        <v>25</v>
      </c>
    </row>
    <row r="515" spans="1:2">
      <c r="A515" s="112">
        <v>38152</v>
      </c>
      <c r="B515" s="1">
        <f t="shared" ref="B515:B578" si="8">INT(MOD($G$2+A515-$F$2,29.53))</f>
        <v>26</v>
      </c>
    </row>
    <row r="516" spans="1:2">
      <c r="A516" s="112">
        <v>38153</v>
      </c>
      <c r="B516" s="1">
        <f t="shared" si="8"/>
        <v>27</v>
      </c>
    </row>
    <row r="517" spans="1:2">
      <c r="A517" s="112">
        <v>38154</v>
      </c>
      <c r="B517" s="1">
        <f t="shared" si="8"/>
        <v>28</v>
      </c>
    </row>
    <row r="518" spans="1:2">
      <c r="A518" s="112">
        <v>38155</v>
      </c>
      <c r="B518" s="1">
        <f t="shared" si="8"/>
        <v>29</v>
      </c>
    </row>
    <row r="519" spans="1:2">
      <c r="A519" s="112">
        <v>38156</v>
      </c>
      <c r="B519" s="1">
        <f t="shared" si="8"/>
        <v>0</v>
      </c>
    </row>
    <row r="520" spans="1:2">
      <c r="A520" s="112">
        <v>38157</v>
      </c>
      <c r="B520" s="1">
        <f t="shared" si="8"/>
        <v>1</v>
      </c>
    </row>
    <row r="521" spans="1:2">
      <c r="A521" s="112">
        <v>38158</v>
      </c>
      <c r="B521" s="1">
        <f t="shared" si="8"/>
        <v>2</v>
      </c>
    </row>
    <row r="522" spans="1:2">
      <c r="A522" s="112">
        <v>38159</v>
      </c>
      <c r="B522" s="1">
        <f t="shared" si="8"/>
        <v>3</v>
      </c>
    </row>
    <row r="523" spans="1:2">
      <c r="A523" s="112">
        <v>38160</v>
      </c>
      <c r="B523" s="1">
        <f t="shared" si="8"/>
        <v>4</v>
      </c>
    </row>
    <row r="524" spans="1:2">
      <c r="A524" s="112">
        <v>38161</v>
      </c>
      <c r="B524" s="1">
        <f t="shared" si="8"/>
        <v>5</v>
      </c>
    </row>
    <row r="525" spans="1:2">
      <c r="A525" s="112">
        <v>38162</v>
      </c>
      <c r="B525" s="1">
        <f t="shared" si="8"/>
        <v>6</v>
      </c>
    </row>
    <row r="526" spans="1:2">
      <c r="A526" s="112">
        <v>38163</v>
      </c>
      <c r="B526" s="1">
        <f t="shared" si="8"/>
        <v>7</v>
      </c>
    </row>
    <row r="527" spans="1:2">
      <c r="A527" s="112">
        <v>38164</v>
      </c>
      <c r="B527" s="1">
        <f t="shared" si="8"/>
        <v>8</v>
      </c>
    </row>
    <row r="528" spans="1:2">
      <c r="A528" s="112">
        <v>38165</v>
      </c>
      <c r="B528" s="1">
        <f t="shared" si="8"/>
        <v>9</v>
      </c>
    </row>
    <row r="529" spans="1:2">
      <c r="A529" s="112">
        <v>38166</v>
      </c>
      <c r="B529" s="1">
        <f t="shared" si="8"/>
        <v>10</v>
      </c>
    </row>
    <row r="530" spans="1:2">
      <c r="A530" s="112">
        <v>38167</v>
      </c>
      <c r="B530" s="1">
        <f t="shared" si="8"/>
        <v>11</v>
      </c>
    </row>
    <row r="531" spans="1:2">
      <c r="A531" s="112">
        <v>38168</v>
      </c>
      <c r="B531" s="1">
        <f t="shared" si="8"/>
        <v>12</v>
      </c>
    </row>
    <row r="532" spans="1:2">
      <c r="A532" s="112">
        <v>38169</v>
      </c>
      <c r="B532" s="1">
        <f t="shared" si="8"/>
        <v>13</v>
      </c>
    </row>
    <row r="533" spans="1:2">
      <c r="A533" s="112">
        <v>38170</v>
      </c>
      <c r="B533" s="1">
        <f t="shared" si="8"/>
        <v>14</v>
      </c>
    </row>
    <row r="534" spans="1:2">
      <c r="A534" s="112">
        <v>38171</v>
      </c>
      <c r="B534" s="1">
        <f t="shared" si="8"/>
        <v>15</v>
      </c>
    </row>
    <row r="535" spans="1:2">
      <c r="A535" s="112">
        <v>38172</v>
      </c>
      <c r="B535" s="1">
        <f t="shared" si="8"/>
        <v>16</v>
      </c>
    </row>
    <row r="536" spans="1:2">
      <c r="A536" s="112">
        <v>38173</v>
      </c>
      <c r="B536" s="1">
        <f t="shared" si="8"/>
        <v>17</v>
      </c>
    </row>
    <row r="537" spans="1:2">
      <c r="A537" s="112">
        <v>38174</v>
      </c>
      <c r="B537" s="1">
        <f t="shared" si="8"/>
        <v>18</v>
      </c>
    </row>
    <row r="538" spans="1:2">
      <c r="A538" s="112">
        <v>38175</v>
      </c>
      <c r="B538" s="1">
        <f t="shared" si="8"/>
        <v>19</v>
      </c>
    </row>
    <row r="539" spans="1:2">
      <c r="A539" s="112">
        <v>38176</v>
      </c>
      <c r="B539" s="1">
        <f t="shared" si="8"/>
        <v>20</v>
      </c>
    </row>
    <row r="540" spans="1:2">
      <c r="A540" s="112">
        <v>38177</v>
      </c>
      <c r="B540" s="1">
        <f t="shared" si="8"/>
        <v>21</v>
      </c>
    </row>
    <row r="541" spans="1:2">
      <c r="A541" s="112">
        <v>38178</v>
      </c>
      <c r="B541" s="1">
        <f t="shared" si="8"/>
        <v>22</v>
      </c>
    </row>
    <row r="542" spans="1:2">
      <c r="A542" s="112">
        <v>38179</v>
      </c>
      <c r="B542" s="1">
        <f t="shared" si="8"/>
        <v>23</v>
      </c>
    </row>
    <row r="543" spans="1:2">
      <c r="A543" s="112">
        <v>38180</v>
      </c>
      <c r="B543" s="1">
        <f t="shared" si="8"/>
        <v>24</v>
      </c>
    </row>
    <row r="544" spans="1:2">
      <c r="A544" s="112">
        <v>38181</v>
      </c>
      <c r="B544" s="1">
        <f t="shared" si="8"/>
        <v>25</v>
      </c>
    </row>
    <row r="545" spans="1:2">
      <c r="A545" s="112">
        <v>38182</v>
      </c>
      <c r="B545" s="1">
        <f t="shared" si="8"/>
        <v>26</v>
      </c>
    </row>
    <row r="546" spans="1:2">
      <c r="A546" s="112">
        <v>38183</v>
      </c>
      <c r="B546" s="1">
        <f t="shared" si="8"/>
        <v>27</v>
      </c>
    </row>
    <row r="547" spans="1:2">
      <c r="A547" s="112">
        <v>38184</v>
      </c>
      <c r="B547" s="1">
        <f t="shared" si="8"/>
        <v>28</v>
      </c>
    </row>
    <row r="548" spans="1:2">
      <c r="A548" s="112">
        <v>38185</v>
      </c>
      <c r="B548" s="1">
        <f t="shared" si="8"/>
        <v>0</v>
      </c>
    </row>
    <row r="549" spans="1:2">
      <c r="A549" s="112">
        <v>38186</v>
      </c>
      <c r="B549" s="1">
        <f t="shared" si="8"/>
        <v>1</v>
      </c>
    </row>
    <row r="550" spans="1:2">
      <c r="A550" s="112">
        <v>38187</v>
      </c>
      <c r="B550" s="1">
        <f t="shared" si="8"/>
        <v>2</v>
      </c>
    </row>
    <row r="551" spans="1:2">
      <c r="A551" s="112">
        <v>38188</v>
      </c>
      <c r="B551" s="1">
        <f t="shared" si="8"/>
        <v>3</v>
      </c>
    </row>
    <row r="552" spans="1:2">
      <c r="A552" s="112">
        <v>38189</v>
      </c>
      <c r="B552" s="1">
        <f t="shared" si="8"/>
        <v>4</v>
      </c>
    </row>
    <row r="553" spans="1:2">
      <c r="A553" s="112">
        <v>38190</v>
      </c>
      <c r="B553" s="1">
        <f t="shared" si="8"/>
        <v>5</v>
      </c>
    </row>
    <row r="554" spans="1:2">
      <c r="A554" s="112">
        <v>38191</v>
      </c>
      <c r="B554" s="1">
        <f t="shared" si="8"/>
        <v>6</v>
      </c>
    </row>
    <row r="555" spans="1:2">
      <c r="A555" s="112">
        <v>38192</v>
      </c>
      <c r="B555" s="1">
        <f t="shared" si="8"/>
        <v>7</v>
      </c>
    </row>
    <row r="556" spans="1:2">
      <c r="A556" s="112">
        <v>38193</v>
      </c>
      <c r="B556" s="1">
        <f t="shared" si="8"/>
        <v>8</v>
      </c>
    </row>
    <row r="557" spans="1:2">
      <c r="A557" s="112">
        <v>38194</v>
      </c>
      <c r="B557" s="1">
        <f t="shared" si="8"/>
        <v>9</v>
      </c>
    </row>
    <row r="558" spans="1:2">
      <c r="A558" s="112">
        <v>38195</v>
      </c>
      <c r="B558" s="1">
        <f t="shared" si="8"/>
        <v>10</v>
      </c>
    </row>
    <row r="559" spans="1:2">
      <c r="A559" s="112">
        <v>38196</v>
      </c>
      <c r="B559" s="1">
        <f t="shared" si="8"/>
        <v>11</v>
      </c>
    </row>
    <row r="560" spans="1:2">
      <c r="A560" s="112">
        <v>38197</v>
      </c>
      <c r="B560" s="1">
        <f t="shared" si="8"/>
        <v>12</v>
      </c>
    </row>
    <row r="561" spans="1:2">
      <c r="A561" s="112">
        <v>38198</v>
      </c>
      <c r="B561" s="1">
        <f t="shared" si="8"/>
        <v>13</v>
      </c>
    </row>
    <row r="562" spans="1:2">
      <c r="A562" s="112">
        <v>38199</v>
      </c>
      <c r="B562" s="1">
        <f t="shared" si="8"/>
        <v>14</v>
      </c>
    </row>
    <row r="563" spans="1:2">
      <c r="A563" s="112">
        <v>38200</v>
      </c>
      <c r="B563" s="1">
        <f t="shared" si="8"/>
        <v>15</v>
      </c>
    </row>
    <row r="564" spans="1:2">
      <c r="A564" s="112">
        <v>38201</v>
      </c>
      <c r="B564" s="1">
        <f t="shared" si="8"/>
        <v>16</v>
      </c>
    </row>
    <row r="565" spans="1:2">
      <c r="A565" s="112">
        <v>38202</v>
      </c>
      <c r="B565" s="1">
        <f t="shared" si="8"/>
        <v>17</v>
      </c>
    </row>
    <row r="566" spans="1:2">
      <c r="A566" s="112">
        <v>38203</v>
      </c>
      <c r="B566" s="1">
        <f t="shared" si="8"/>
        <v>18</v>
      </c>
    </row>
    <row r="567" spans="1:2">
      <c r="A567" s="112">
        <v>38204</v>
      </c>
      <c r="B567" s="1">
        <f t="shared" si="8"/>
        <v>19</v>
      </c>
    </row>
    <row r="568" spans="1:2">
      <c r="A568" s="112">
        <v>38205</v>
      </c>
      <c r="B568" s="1">
        <f t="shared" si="8"/>
        <v>20</v>
      </c>
    </row>
    <row r="569" spans="1:2">
      <c r="A569" s="112">
        <v>38206</v>
      </c>
      <c r="B569" s="1">
        <f t="shared" si="8"/>
        <v>21</v>
      </c>
    </row>
    <row r="570" spans="1:2">
      <c r="A570" s="112">
        <v>38207</v>
      </c>
      <c r="B570" s="1">
        <f t="shared" si="8"/>
        <v>22</v>
      </c>
    </row>
    <row r="571" spans="1:2">
      <c r="A571" s="112">
        <v>38208</v>
      </c>
      <c r="B571" s="1">
        <f t="shared" si="8"/>
        <v>23</v>
      </c>
    </row>
    <row r="572" spans="1:2">
      <c r="A572" s="112">
        <v>38209</v>
      </c>
      <c r="B572" s="1">
        <f t="shared" si="8"/>
        <v>24</v>
      </c>
    </row>
    <row r="573" spans="1:2">
      <c r="A573" s="112">
        <v>38210</v>
      </c>
      <c r="B573" s="1">
        <f t="shared" si="8"/>
        <v>25</v>
      </c>
    </row>
    <row r="574" spans="1:2">
      <c r="A574" s="112">
        <v>38211</v>
      </c>
      <c r="B574" s="1">
        <f t="shared" si="8"/>
        <v>26</v>
      </c>
    </row>
    <row r="575" spans="1:2">
      <c r="A575" s="112">
        <v>38212</v>
      </c>
      <c r="B575" s="1">
        <f t="shared" si="8"/>
        <v>27</v>
      </c>
    </row>
    <row r="576" spans="1:2">
      <c r="A576" s="112">
        <v>38213</v>
      </c>
      <c r="B576" s="1">
        <f t="shared" si="8"/>
        <v>28</v>
      </c>
    </row>
    <row r="577" spans="1:2">
      <c r="A577" s="112">
        <v>38214</v>
      </c>
      <c r="B577" s="1">
        <f t="shared" si="8"/>
        <v>29</v>
      </c>
    </row>
    <row r="578" spans="1:2">
      <c r="A578" s="112">
        <v>38215</v>
      </c>
      <c r="B578" s="1">
        <f t="shared" si="8"/>
        <v>0</v>
      </c>
    </row>
    <row r="579" spans="1:2">
      <c r="A579" s="112">
        <v>38216</v>
      </c>
      <c r="B579" s="1">
        <f t="shared" ref="B579:B642" si="9">INT(MOD($G$2+A579-$F$2,29.53))</f>
        <v>1</v>
      </c>
    </row>
    <row r="580" spans="1:2">
      <c r="A580" s="112">
        <v>38217</v>
      </c>
      <c r="B580" s="1">
        <f t="shared" si="9"/>
        <v>2</v>
      </c>
    </row>
    <row r="581" spans="1:2">
      <c r="A581" s="112">
        <v>38218</v>
      </c>
      <c r="B581" s="1">
        <f t="shared" si="9"/>
        <v>3</v>
      </c>
    </row>
    <row r="582" spans="1:2">
      <c r="A582" s="112">
        <v>38219</v>
      </c>
      <c r="B582" s="1">
        <f t="shared" si="9"/>
        <v>4</v>
      </c>
    </row>
    <row r="583" spans="1:2">
      <c r="A583" s="112">
        <v>38220</v>
      </c>
      <c r="B583" s="1">
        <f t="shared" si="9"/>
        <v>5</v>
      </c>
    </row>
    <row r="584" spans="1:2">
      <c r="A584" s="112">
        <v>38221</v>
      </c>
      <c r="B584" s="1">
        <f t="shared" si="9"/>
        <v>6</v>
      </c>
    </row>
    <row r="585" spans="1:2">
      <c r="A585" s="112">
        <v>38222</v>
      </c>
      <c r="B585" s="1">
        <f t="shared" si="9"/>
        <v>7</v>
      </c>
    </row>
    <row r="586" spans="1:2">
      <c r="A586" s="112">
        <v>38223</v>
      </c>
      <c r="B586" s="1">
        <f t="shared" si="9"/>
        <v>8</v>
      </c>
    </row>
    <row r="587" spans="1:2">
      <c r="A587" s="112">
        <v>38224</v>
      </c>
      <c r="B587" s="1">
        <f t="shared" si="9"/>
        <v>9</v>
      </c>
    </row>
    <row r="588" spans="1:2">
      <c r="A588" s="112">
        <v>38225</v>
      </c>
      <c r="B588" s="1">
        <f t="shared" si="9"/>
        <v>10</v>
      </c>
    </row>
    <row r="589" spans="1:2">
      <c r="A589" s="112">
        <v>38226</v>
      </c>
      <c r="B589" s="1">
        <f t="shared" si="9"/>
        <v>11</v>
      </c>
    </row>
    <row r="590" spans="1:2">
      <c r="A590" s="112">
        <v>38227</v>
      </c>
      <c r="B590" s="1">
        <f t="shared" si="9"/>
        <v>12</v>
      </c>
    </row>
    <row r="591" spans="1:2">
      <c r="A591" s="112">
        <v>38228</v>
      </c>
      <c r="B591" s="1">
        <f t="shared" si="9"/>
        <v>13</v>
      </c>
    </row>
    <row r="592" spans="1:2">
      <c r="A592" s="112">
        <v>38229</v>
      </c>
      <c r="B592" s="1">
        <f t="shared" si="9"/>
        <v>14</v>
      </c>
    </row>
    <row r="593" spans="1:2">
      <c r="A593" s="112">
        <v>38230</v>
      </c>
      <c r="B593" s="1">
        <f t="shared" si="9"/>
        <v>15</v>
      </c>
    </row>
    <row r="594" spans="1:2">
      <c r="A594" s="112">
        <v>38231</v>
      </c>
      <c r="B594" s="1">
        <f t="shared" si="9"/>
        <v>16</v>
      </c>
    </row>
    <row r="595" spans="1:2">
      <c r="A595" s="112">
        <v>38232</v>
      </c>
      <c r="B595" s="1">
        <f t="shared" si="9"/>
        <v>17</v>
      </c>
    </row>
    <row r="596" spans="1:2">
      <c r="A596" s="112">
        <v>38233</v>
      </c>
      <c r="B596" s="1">
        <f t="shared" si="9"/>
        <v>18</v>
      </c>
    </row>
    <row r="597" spans="1:2">
      <c r="A597" s="112">
        <v>38234</v>
      </c>
      <c r="B597" s="1">
        <f t="shared" si="9"/>
        <v>19</v>
      </c>
    </row>
    <row r="598" spans="1:2">
      <c r="A598" s="112">
        <v>38235</v>
      </c>
      <c r="B598" s="1">
        <f t="shared" si="9"/>
        <v>20</v>
      </c>
    </row>
    <row r="599" spans="1:2">
      <c r="A599" s="112">
        <v>38236</v>
      </c>
      <c r="B599" s="1">
        <f t="shared" si="9"/>
        <v>21</v>
      </c>
    </row>
    <row r="600" spans="1:2">
      <c r="A600" s="112">
        <v>38237</v>
      </c>
      <c r="B600" s="1">
        <f t="shared" si="9"/>
        <v>22</v>
      </c>
    </row>
    <row r="601" spans="1:2">
      <c r="A601" s="112">
        <v>38238</v>
      </c>
      <c r="B601" s="1">
        <f t="shared" si="9"/>
        <v>23</v>
      </c>
    </row>
    <row r="602" spans="1:2">
      <c r="A602" s="112">
        <v>38239</v>
      </c>
      <c r="B602" s="1">
        <f t="shared" si="9"/>
        <v>24</v>
      </c>
    </row>
    <row r="603" spans="1:2">
      <c r="A603" s="112">
        <v>38240</v>
      </c>
      <c r="B603" s="1">
        <f t="shared" si="9"/>
        <v>25</v>
      </c>
    </row>
    <row r="604" spans="1:2">
      <c r="A604" s="112">
        <v>38241</v>
      </c>
      <c r="B604" s="1">
        <f t="shared" si="9"/>
        <v>26</v>
      </c>
    </row>
    <row r="605" spans="1:2">
      <c r="A605" s="112">
        <v>38242</v>
      </c>
      <c r="B605" s="1">
        <f t="shared" si="9"/>
        <v>27</v>
      </c>
    </row>
    <row r="606" spans="1:2">
      <c r="A606" s="112">
        <v>38243</v>
      </c>
      <c r="B606" s="1">
        <f t="shared" si="9"/>
        <v>28</v>
      </c>
    </row>
    <row r="607" spans="1:2">
      <c r="A607" s="112">
        <v>38244</v>
      </c>
      <c r="B607" s="1">
        <f t="shared" si="9"/>
        <v>0</v>
      </c>
    </row>
    <row r="608" spans="1:2">
      <c r="A608" s="112">
        <v>38245</v>
      </c>
      <c r="B608" s="1">
        <f t="shared" si="9"/>
        <v>1</v>
      </c>
    </row>
    <row r="609" spans="1:2">
      <c r="A609" s="112">
        <v>38246</v>
      </c>
      <c r="B609" s="1">
        <f t="shared" si="9"/>
        <v>2</v>
      </c>
    </row>
    <row r="610" spans="1:2">
      <c r="A610" s="112">
        <v>38247</v>
      </c>
      <c r="B610" s="1">
        <f t="shared" si="9"/>
        <v>3</v>
      </c>
    </row>
    <row r="611" spans="1:2">
      <c r="A611" s="112">
        <v>38248</v>
      </c>
      <c r="B611" s="1">
        <f t="shared" si="9"/>
        <v>4</v>
      </c>
    </row>
    <row r="612" spans="1:2">
      <c r="A612" s="112">
        <v>38249</v>
      </c>
      <c r="B612" s="1">
        <f t="shared" si="9"/>
        <v>5</v>
      </c>
    </row>
    <row r="613" spans="1:2">
      <c r="A613" s="112">
        <v>38250</v>
      </c>
      <c r="B613" s="1">
        <f t="shared" si="9"/>
        <v>6</v>
      </c>
    </row>
    <row r="614" spans="1:2">
      <c r="A614" s="112">
        <v>38251</v>
      </c>
      <c r="B614" s="1">
        <f t="shared" si="9"/>
        <v>7</v>
      </c>
    </row>
    <row r="615" spans="1:2">
      <c r="A615" s="112">
        <v>38252</v>
      </c>
      <c r="B615" s="1">
        <f t="shared" si="9"/>
        <v>8</v>
      </c>
    </row>
    <row r="616" spans="1:2">
      <c r="A616" s="112">
        <v>38253</v>
      </c>
      <c r="B616" s="1">
        <f t="shared" si="9"/>
        <v>9</v>
      </c>
    </row>
    <row r="617" spans="1:2">
      <c r="A617" s="112">
        <v>38254</v>
      </c>
      <c r="B617" s="1">
        <f t="shared" si="9"/>
        <v>10</v>
      </c>
    </row>
    <row r="618" spans="1:2">
      <c r="A618" s="112">
        <v>38255</v>
      </c>
      <c r="B618" s="1">
        <f t="shared" si="9"/>
        <v>11</v>
      </c>
    </row>
    <row r="619" spans="1:2">
      <c r="A619" s="112">
        <v>38256</v>
      </c>
      <c r="B619" s="1">
        <f t="shared" si="9"/>
        <v>12</v>
      </c>
    </row>
    <row r="620" spans="1:2">
      <c r="A620" s="112">
        <v>38257</v>
      </c>
      <c r="B620" s="1">
        <f t="shared" si="9"/>
        <v>13</v>
      </c>
    </row>
    <row r="621" spans="1:2">
      <c r="A621" s="112">
        <v>38258</v>
      </c>
      <c r="B621" s="1">
        <f t="shared" si="9"/>
        <v>14</v>
      </c>
    </row>
    <row r="622" spans="1:2">
      <c r="A622" s="112">
        <v>38259</v>
      </c>
      <c r="B622" s="1">
        <f t="shared" si="9"/>
        <v>15</v>
      </c>
    </row>
    <row r="623" spans="1:2">
      <c r="A623" s="112">
        <v>38260</v>
      </c>
      <c r="B623" s="1">
        <f t="shared" si="9"/>
        <v>16</v>
      </c>
    </row>
    <row r="624" spans="1:2">
      <c r="A624" s="112">
        <v>38261</v>
      </c>
      <c r="B624" s="1">
        <f t="shared" si="9"/>
        <v>17</v>
      </c>
    </row>
    <row r="625" spans="1:2">
      <c r="A625" s="112">
        <v>38262</v>
      </c>
      <c r="B625" s="1">
        <f t="shared" si="9"/>
        <v>18</v>
      </c>
    </row>
    <row r="626" spans="1:2">
      <c r="A626" s="112">
        <v>38263</v>
      </c>
      <c r="B626" s="1">
        <f t="shared" si="9"/>
        <v>19</v>
      </c>
    </row>
    <row r="627" spans="1:2">
      <c r="A627" s="112">
        <v>38264</v>
      </c>
      <c r="B627" s="1">
        <f t="shared" si="9"/>
        <v>20</v>
      </c>
    </row>
    <row r="628" spans="1:2">
      <c r="A628" s="112">
        <v>38265</v>
      </c>
      <c r="B628" s="1">
        <f t="shared" si="9"/>
        <v>21</v>
      </c>
    </row>
    <row r="629" spans="1:2">
      <c r="A629" s="112">
        <v>38266</v>
      </c>
      <c r="B629" s="1">
        <f t="shared" si="9"/>
        <v>22</v>
      </c>
    </row>
    <row r="630" spans="1:2">
      <c r="A630" s="112">
        <v>38267</v>
      </c>
      <c r="B630" s="1">
        <f t="shared" si="9"/>
        <v>23</v>
      </c>
    </row>
    <row r="631" spans="1:2">
      <c r="A631" s="112">
        <v>38268</v>
      </c>
      <c r="B631" s="1">
        <f t="shared" si="9"/>
        <v>24</v>
      </c>
    </row>
    <row r="632" spans="1:2">
      <c r="A632" s="112">
        <v>38269</v>
      </c>
      <c r="B632" s="1">
        <f t="shared" si="9"/>
        <v>25</v>
      </c>
    </row>
    <row r="633" spans="1:2">
      <c r="A633" s="112">
        <v>38270</v>
      </c>
      <c r="B633" s="1">
        <f t="shared" si="9"/>
        <v>26</v>
      </c>
    </row>
    <row r="634" spans="1:2">
      <c r="A634" s="112">
        <v>38271</v>
      </c>
      <c r="B634" s="1">
        <f t="shared" si="9"/>
        <v>27</v>
      </c>
    </row>
    <row r="635" spans="1:2">
      <c r="A635" s="112">
        <v>38272</v>
      </c>
      <c r="B635" s="1">
        <f t="shared" si="9"/>
        <v>28</v>
      </c>
    </row>
    <row r="636" spans="1:2">
      <c r="A636" s="112">
        <v>38273</v>
      </c>
      <c r="B636" s="1">
        <f t="shared" si="9"/>
        <v>29</v>
      </c>
    </row>
    <row r="637" spans="1:2">
      <c r="A637" s="112">
        <v>38274</v>
      </c>
      <c r="B637" s="1">
        <f t="shared" si="9"/>
        <v>0</v>
      </c>
    </row>
    <row r="638" spans="1:2">
      <c r="A638" s="112">
        <v>38275</v>
      </c>
      <c r="B638" s="1">
        <f t="shared" si="9"/>
        <v>1</v>
      </c>
    </row>
    <row r="639" spans="1:2">
      <c r="A639" s="112">
        <v>38276</v>
      </c>
      <c r="B639" s="1">
        <f t="shared" si="9"/>
        <v>2</v>
      </c>
    </row>
    <row r="640" spans="1:2">
      <c r="A640" s="112">
        <v>38277</v>
      </c>
      <c r="B640" s="1">
        <f t="shared" si="9"/>
        <v>3</v>
      </c>
    </row>
    <row r="641" spans="1:2">
      <c r="A641" s="112">
        <v>38278</v>
      </c>
      <c r="B641" s="1">
        <f t="shared" si="9"/>
        <v>4</v>
      </c>
    </row>
    <row r="642" spans="1:2">
      <c r="A642" s="112">
        <v>38279</v>
      </c>
      <c r="B642" s="1">
        <f t="shared" si="9"/>
        <v>5</v>
      </c>
    </row>
    <row r="643" spans="1:2">
      <c r="A643" s="112">
        <v>38280</v>
      </c>
      <c r="B643" s="1">
        <f t="shared" ref="B643:B706" si="10">INT(MOD($G$2+A643-$F$2,29.53))</f>
        <v>6</v>
      </c>
    </row>
    <row r="644" spans="1:2">
      <c r="A644" s="112">
        <v>38281</v>
      </c>
      <c r="B644" s="1">
        <f t="shared" si="10"/>
        <v>7</v>
      </c>
    </row>
    <row r="645" spans="1:2">
      <c r="A645" s="112">
        <v>38282</v>
      </c>
      <c r="B645" s="1">
        <f t="shared" si="10"/>
        <v>8</v>
      </c>
    </row>
    <row r="646" spans="1:2">
      <c r="A646" s="112">
        <v>38283</v>
      </c>
      <c r="B646" s="1">
        <f t="shared" si="10"/>
        <v>9</v>
      </c>
    </row>
    <row r="647" spans="1:2">
      <c r="A647" s="112">
        <v>38284</v>
      </c>
      <c r="B647" s="1">
        <f t="shared" si="10"/>
        <v>10</v>
      </c>
    </row>
    <row r="648" spans="1:2">
      <c r="A648" s="112">
        <v>38285</v>
      </c>
      <c r="B648" s="1">
        <f t="shared" si="10"/>
        <v>11</v>
      </c>
    </row>
    <row r="649" spans="1:2">
      <c r="A649" s="112">
        <v>38286</v>
      </c>
      <c r="B649" s="1">
        <f t="shared" si="10"/>
        <v>12</v>
      </c>
    </row>
    <row r="650" spans="1:2">
      <c r="A650" s="112">
        <v>38287</v>
      </c>
      <c r="B650" s="1">
        <f t="shared" si="10"/>
        <v>13</v>
      </c>
    </row>
    <row r="651" spans="1:2">
      <c r="A651" s="112">
        <v>38288</v>
      </c>
      <c r="B651" s="1">
        <f t="shared" si="10"/>
        <v>14</v>
      </c>
    </row>
    <row r="652" spans="1:2">
      <c r="A652" s="112">
        <v>38289</v>
      </c>
      <c r="B652" s="1">
        <f t="shared" si="10"/>
        <v>15</v>
      </c>
    </row>
    <row r="653" spans="1:2">
      <c r="A653" s="112">
        <v>38290</v>
      </c>
      <c r="B653" s="1">
        <f t="shared" si="10"/>
        <v>16</v>
      </c>
    </row>
    <row r="654" spans="1:2">
      <c r="A654" s="112">
        <v>38291</v>
      </c>
      <c r="B654" s="1">
        <f t="shared" si="10"/>
        <v>17</v>
      </c>
    </row>
    <row r="655" spans="1:2">
      <c r="A655" s="112">
        <v>38292</v>
      </c>
      <c r="B655" s="1">
        <f t="shared" si="10"/>
        <v>18</v>
      </c>
    </row>
    <row r="656" spans="1:2">
      <c r="A656" s="112">
        <v>38293</v>
      </c>
      <c r="B656" s="1">
        <f t="shared" si="10"/>
        <v>19</v>
      </c>
    </row>
    <row r="657" spans="1:2">
      <c r="A657" s="112">
        <v>38294</v>
      </c>
      <c r="B657" s="1">
        <f t="shared" si="10"/>
        <v>20</v>
      </c>
    </row>
    <row r="658" spans="1:2">
      <c r="A658" s="112">
        <v>38295</v>
      </c>
      <c r="B658" s="1">
        <f t="shared" si="10"/>
        <v>21</v>
      </c>
    </row>
    <row r="659" spans="1:2">
      <c r="A659" s="112">
        <v>38296</v>
      </c>
      <c r="B659" s="1">
        <f t="shared" si="10"/>
        <v>22</v>
      </c>
    </row>
    <row r="660" spans="1:2">
      <c r="A660" s="112">
        <v>38297</v>
      </c>
      <c r="B660" s="1">
        <f t="shared" si="10"/>
        <v>23</v>
      </c>
    </row>
    <row r="661" spans="1:2">
      <c r="A661" s="112">
        <v>38298</v>
      </c>
      <c r="B661" s="1">
        <f t="shared" si="10"/>
        <v>24</v>
      </c>
    </row>
    <row r="662" spans="1:2">
      <c r="A662" s="112">
        <v>38299</v>
      </c>
      <c r="B662" s="1">
        <f t="shared" si="10"/>
        <v>25</v>
      </c>
    </row>
    <row r="663" spans="1:2">
      <c r="A663" s="112">
        <v>38300</v>
      </c>
      <c r="B663" s="1">
        <f t="shared" si="10"/>
        <v>26</v>
      </c>
    </row>
    <row r="664" spans="1:2">
      <c r="A664" s="112">
        <v>38301</v>
      </c>
      <c r="B664" s="1">
        <f t="shared" si="10"/>
        <v>27</v>
      </c>
    </row>
    <row r="665" spans="1:2">
      <c r="A665" s="112">
        <v>38302</v>
      </c>
      <c r="B665" s="1">
        <f t="shared" si="10"/>
        <v>28</v>
      </c>
    </row>
    <row r="666" spans="1:2">
      <c r="A666" s="112">
        <v>38303</v>
      </c>
      <c r="B666" s="1">
        <f t="shared" si="10"/>
        <v>29</v>
      </c>
    </row>
    <row r="667" spans="1:2">
      <c r="A667" s="112">
        <v>38304</v>
      </c>
      <c r="B667" s="1">
        <f t="shared" si="10"/>
        <v>0</v>
      </c>
    </row>
    <row r="668" spans="1:2">
      <c r="A668" s="112">
        <v>38305</v>
      </c>
      <c r="B668" s="1">
        <f t="shared" si="10"/>
        <v>1</v>
      </c>
    </row>
    <row r="669" spans="1:2">
      <c r="A669" s="112">
        <v>38306</v>
      </c>
      <c r="B669" s="1">
        <f t="shared" si="10"/>
        <v>2</v>
      </c>
    </row>
    <row r="670" spans="1:2">
      <c r="A670" s="112">
        <v>38307</v>
      </c>
      <c r="B670" s="1">
        <f t="shared" si="10"/>
        <v>3</v>
      </c>
    </row>
    <row r="671" spans="1:2">
      <c r="A671" s="112">
        <v>38308</v>
      </c>
      <c r="B671" s="1">
        <f t="shared" si="10"/>
        <v>4</v>
      </c>
    </row>
    <row r="672" spans="1:2">
      <c r="A672" s="112">
        <v>38309</v>
      </c>
      <c r="B672" s="1">
        <f t="shared" si="10"/>
        <v>5</v>
      </c>
    </row>
    <row r="673" spans="1:2">
      <c r="A673" s="112">
        <v>38310</v>
      </c>
      <c r="B673" s="1">
        <f t="shared" si="10"/>
        <v>6</v>
      </c>
    </row>
    <row r="674" spans="1:2">
      <c r="A674" s="112">
        <v>38311</v>
      </c>
      <c r="B674" s="1">
        <f t="shared" si="10"/>
        <v>7</v>
      </c>
    </row>
    <row r="675" spans="1:2">
      <c r="A675" s="112">
        <v>38312</v>
      </c>
      <c r="B675" s="1">
        <f t="shared" si="10"/>
        <v>8</v>
      </c>
    </row>
    <row r="676" spans="1:2">
      <c r="A676" s="112">
        <v>38313</v>
      </c>
      <c r="B676" s="1">
        <f t="shared" si="10"/>
        <v>9</v>
      </c>
    </row>
    <row r="677" spans="1:2">
      <c r="A677" s="112">
        <v>38314</v>
      </c>
      <c r="B677" s="1">
        <f t="shared" si="10"/>
        <v>10</v>
      </c>
    </row>
    <row r="678" spans="1:2">
      <c r="A678" s="112">
        <v>38315</v>
      </c>
      <c r="B678" s="1">
        <f t="shared" si="10"/>
        <v>11</v>
      </c>
    </row>
    <row r="679" spans="1:2">
      <c r="A679" s="112">
        <v>38316</v>
      </c>
      <c r="B679" s="1">
        <f t="shared" si="10"/>
        <v>12</v>
      </c>
    </row>
    <row r="680" spans="1:2">
      <c r="A680" s="112">
        <v>38317</v>
      </c>
      <c r="B680" s="1">
        <f t="shared" si="10"/>
        <v>13</v>
      </c>
    </row>
    <row r="681" spans="1:2">
      <c r="A681" s="112">
        <v>38318</v>
      </c>
      <c r="B681" s="1">
        <f t="shared" si="10"/>
        <v>14</v>
      </c>
    </row>
    <row r="682" spans="1:2">
      <c r="A682" s="112">
        <v>38319</v>
      </c>
      <c r="B682" s="1">
        <f t="shared" si="10"/>
        <v>15</v>
      </c>
    </row>
    <row r="683" spans="1:2">
      <c r="A683" s="112">
        <v>38320</v>
      </c>
      <c r="B683" s="1">
        <f t="shared" si="10"/>
        <v>16</v>
      </c>
    </row>
    <row r="684" spans="1:2">
      <c r="A684" s="112">
        <v>38321</v>
      </c>
      <c r="B684" s="1">
        <f t="shared" si="10"/>
        <v>17</v>
      </c>
    </row>
    <row r="685" spans="1:2">
      <c r="A685" s="112">
        <v>38322</v>
      </c>
      <c r="B685" s="1">
        <f t="shared" si="10"/>
        <v>18</v>
      </c>
    </row>
    <row r="686" spans="1:2">
      <c r="A686" s="112">
        <v>38323</v>
      </c>
      <c r="B686" s="1">
        <f t="shared" si="10"/>
        <v>19</v>
      </c>
    </row>
    <row r="687" spans="1:2">
      <c r="A687" s="112">
        <v>38324</v>
      </c>
      <c r="B687" s="1">
        <f t="shared" si="10"/>
        <v>20</v>
      </c>
    </row>
    <row r="688" spans="1:2">
      <c r="A688" s="112">
        <v>38325</v>
      </c>
      <c r="B688" s="1">
        <f t="shared" si="10"/>
        <v>21</v>
      </c>
    </row>
    <row r="689" spans="1:2">
      <c r="A689" s="112">
        <v>38326</v>
      </c>
      <c r="B689" s="1">
        <f t="shared" si="10"/>
        <v>22</v>
      </c>
    </row>
    <row r="690" spans="1:2">
      <c r="A690" s="112">
        <v>38327</v>
      </c>
      <c r="B690" s="1">
        <f t="shared" si="10"/>
        <v>23</v>
      </c>
    </row>
    <row r="691" spans="1:2">
      <c r="A691" s="112">
        <v>38328</v>
      </c>
      <c r="B691" s="1">
        <f t="shared" si="10"/>
        <v>24</v>
      </c>
    </row>
    <row r="692" spans="1:2">
      <c r="A692" s="112">
        <v>38329</v>
      </c>
      <c r="B692" s="1">
        <f t="shared" si="10"/>
        <v>25</v>
      </c>
    </row>
    <row r="693" spans="1:2">
      <c r="A693" s="112">
        <v>38330</v>
      </c>
      <c r="B693" s="1">
        <f t="shared" si="10"/>
        <v>26</v>
      </c>
    </row>
    <row r="694" spans="1:2">
      <c r="A694" s="112">
        <v>38331</v>
      </c>
      <c r="B694" s="1">
        <f t="shared" si="10"/>
        <v>27</v>
      </c>
    </row>
    <row r="695" spans="1:2">
      <c r="A695" s="112">
        <v>38332</v>
      </c>
      <c r="B695" s="1">
        <f t="shared" si="10"/>
        <v>28</v>
      </c>
    </row>
    <row r="696" spans="1:2">
      <c r="A696" s="112">
        <v>38333</v>
      </c>
      <c r="B696" s="1">
        <f t="shared" si="10"/>
        <v>0</v>
      </c>
    </row>
    <row r="697" spans="1:2">
      <c r="A697" s="112">
        <v>38334</v>
      </c>
      <c r="B697" s="1">
        <f t="shared" si="10"/>
        <v>1</v>
      </c>
    </row>
    <row r="698" spans="1:2">
      <c r="A698" s="112">
        <v>38335</v>
      </c>
      <c r="B698" s="1">
        <f t="shared" si="10"/>
        <v>2</v>
      </c>
    </row>
    <row r="699" spans="1:2">
      <c r="A699" s="112">
        <v>38336</v>
      </c>
      <c r="B699" s="1">
        <f t="shared" si="10"/>
        <v>3</v>
      </c>
    </row>
    <row r="700" spans="1:2">
      <c r="A700" s="112">
        <v>38337</v>
      </c>
      <c r="B700" s="1">
        <f t="shared" si="10"/>
        <v>4</v>
      </c>
    </row>
    <row r="701" spans="1:2">
      <c r="A701" s="112">
        <v>38338</v>
      </c>
      <c r="B701" s="1">
        <f t="shared" si="10"/>
        <v>5</v>
      </c>
    </row>
    <row r="702" spans="1:2">
      <c r="A702" s="112">
        <v>38339</v>
      </c>
      <c r="B702" s="1">
        <f t="shared" si="10"/>
        <v>6</v>
      </c>
    </row>
    <row r="703" spans="1:2">
      <c r="A703" s="112">
        <v>38340</v>
      </c>
      <c r="B703" s="1">
        <f t="shared" si="10"/>
        <v>7</v>
      </c>
    </row>
    <row r="704" spans="1:2">
      <c r="A704" s="112">
        <v>38341</v>
      </c>
      <c r="B704" s="1">
        <f t="shared" si="10"/>
        <v>8</v>
      </c>
    </row>
    <row r="705" spans="1:2">
      <c r="A705" s="112">
        <v>38342</v>
      </c>
      <c r="B705" s="1">
        <f t="shared" si="10"/>
        <v>9</v>
      </c>
    </row>
    <row r="706" spans="1:2">
      <c r="A706" s="112">
        <v>38343</v>
      </c>
      <c r="B706" s="1">
        <f t="shared" si="10"/>
        <v>10</v>
      </c>
    </row>
    <row r="707" spans="1:2">
      <c r="A707" s="112">
        <v>38344</v>
      </c>
      <c r="B707" s="1">
        <f t="shared" ref="B707:B770" si="11">INT(MOD($G$2+A707-$F$2,29.53))</f>
        <v>11</v>
      </c>
    </row>
    <row r="708" spans="1:2">
      <c r="A708" s="112">
        <v>38345</v>
      </c>
      <c r="B708" s="1">
        <f t="shared" si="11"/>
        <v>12</v>
      </c>
    </row>
    <row r="709" spans="1:2">
      <c r="A709" s="112">
        <v>38346</v>
      </c>
      <c r="B709" s="1">
        <f t="shared" si="11"/>
        <v>13</v>
      </c>
    </row>
    <row r="710" spans="1:2">
      <c r="A710" s="112">
        <v>38347</v>
      </c>
      <c r="B710" s="1">
        <f t="shared" si="11"/>
        <v>14</v>
      </c>
    </row>
    <row r="711" spans="1:2">
      <c r="A711" s="112">
        <v>38348</v>
      </c>
      <c r="B711" s="1">
        <f t="shared" si="11"/>
        <v>15</v>
      </c>
    </row>
    <row r="712" spans="1:2">
      <c r="A712" s="112">
        <v>38349</v>
      </c>
      <c r="B712" s="1">
        <f t="shared" si="11"/>
        <v>16</v>
      </c>
    </row>
    <row r="713" spans="1:2">
      <c r="A713" s="112">
        <v>38350</v>
      </c>
      <c r="B713" s="1">
        <f t="shared" si="11"/>
        <v>17</v>
      </c>
    </row>
    <row r="714" spans="1:2">
      <c r="A714" s="112">
        <v>38351</v>
      </c>
      <c r="B714" s="1">
        <f t="shared" si="11"/>
        <v>18</v>
      </c>
    </row>
    <row r="715" spans="1:2">
      <c r="A715" s="112">
        <v>38352</v>
      </c>
      <c r="B715" s="1">
        <f t="shared" si="11"/>
        <v>19</v>
      </c>
    </row>
    <row r="716" spans="1:2">
      <c r="A716" s="112">
        <v>38353</v>
      </c>
      <c r="B716" s="1">
        <f t="shared" si="11"/>
        <v>20</v>
      </c>
    </row>
    <row r="717" spans="1:2">
      <c r="A717" s="112">
        <v>38354</v>
      </c>
      <c r="B717" s="1">
        <f t="shared" si="11"/>
        <v>21</v>
      </c>
    </row>
    <row r="718" spans="1:2">
      <c r="A718" s="112">
        <v>38355</v>
      </c>
      <c r="B718" s="1">
        <f t="shared" si="11"/>
        <v>22</v>
      </c>
    </row>
    <row r="719" spans="1:2">
      <c r="A719" s="112">
        <v>38356</v>
      </c>
      <c r="B719" s="1">
        <f t="shared" si="11"/>
        <v>23</v>
      </c>
    </row>
    <row r="720" spans="1:2">
      <c r="A720" s="112">
        <v>38357</v>
      </c>
      <c r="B720" s="1">
        <f t="shared" si="11"/>
        <v>24</v>
      </c>
    </row>
    <row r="721" spans="1:2">
      <c r="A721" s="112">
        <v>38358</v>
      </c>
      <c r="B721" s="1">
        <f t="shared" si="11"/>
        <v>25</v>
      </c>
    </row>
    <row r="722" spans="1:2">
      <c r="A722" s="112">
        <v>38359</v>
      </c>
      <c r="B722" s="1">
        <f t="shared" si="11"/>
        <v>26</v>
      </c>
    </row>
    <row r="723" spans="1:2">
      <c r="A723" s="112">
        <v>38360</v>
      </c>
      <c r="B723" s="1">
        <f t="shared" si="11"/>
        <v>27</v>
      </c>
    </row>
    <row r="724" spans="1:2">
      <c r="A724" s="112">
        <v>38361</v>
      </c>
      <c r="B724" s="1">
        <f t="shared" si="11"/>
        <v>28</v>
      </c>
    </row>
    <row r="725" spans="1:2">
      <c r="A725" s="112">
        <v>38362</v>
      </c>
      <c r="B725" s="1">
        <f t="shared" si="11"/>
        <v>29</v>
      </c>
    </row>
    <row r="726" spans="1:2">
      <c r="A726" s="112">
        <v>38363</v>
      </c>
      <c r="B726" s="1">
        <f t="shared" si="11"/>
        <v>0</v>
      </c>
    </row>
    <row r="727" spans="1:2">
      <c r="A727" s="112">
        <v>38364</v>
      </c>
      <c r="B727" s="1">
        <f t="shared" si="11"/>
        <v>1</v>
      </c>
    </row>
    <row r="728" spans="1:2">
      <c r="A728" s="112">
        <v>38365</v>
      </c>
      <c r="B728" s="1">
        <f t="shared" si="11"/>
        <v>2</v>
      </c>
    </row>
    <row r="729" spans="1:2">
      <c r="A729" s="112">
        <v>38366</v>
      </c>
      <c r="B729" s="1">
        <f t="shared" si="11"/>
        <v>3</v>
      </c>
    </row>
    <row r="730" spans="1:2">
      <c r="A730" s="112">
        <v>38367</v>
      </c>
      <c r="B730" s="1">
        <f t="shared" si="11"/>
        <v>4</v>
      </c>
    </row>
    <row r="731" spans="1:2">
      <c r="A731" s="112">
        <v>38368</v>
      </c>
      <c r="B731" s="1">
        <f t="shared" si="11"/>
        <v>5</v>
      </c>
    </row>
    <row r="732" spans="1:2">
      <c r="A732" s="112">
        <v>38369</v>
      </c>
      <c r="B732" s="1">
        <f t="shared" si="11"/>
        <v>6</v>
      </c>
    </row>
    <row r="733" spans="1:2">
      <c r="A733" s="112">
        <v>38370</v>
      </c>
      <c r="B733" s="1">
        <f t="shared" si="11"/>
        <v>7</v>
      </c>
    </row>
    <row r="734" spans="1:2">
      <c r="A734" s="112">
        <v>38371</v>
      </c>
      <c r="B734" s="1">
        <f t="shared" si="11"/>
        <v>8</v>
      </c>
    </row>
    <row r="735" spans="1:2">
      <c r="A735" s="112">
        <v>38372</v>
      </c>
      <c r="B735" s="1">
        <f t="shared" si="11"/>
        <v>9</v>
      </c>
    </row>
    <row r="736" spans="1:2">
      <c r="A736" s="112">
        <v>38373</v>
      </c>
      <c r="B736" s="1">
        <f t="shared" si="11"/>
        <v>10</v>
      </c>
    </row>
    <row r="737" spans="1:2">
      <c r="A737" s="112">
        <v>38374</v>
      </c>
      <c r="B737" s="1">
        <f t="shared" si="11"/>
        <v>11</v>
      </c>
    </row>
    <row r="738" spans="1:2">
      <c r="A738" s="112">
        <v>38375</v>
      </c>
      <c r="B738" s="1">
        <f t="shared" si="11"/>
        <v>12</v>
      </c>
    </row>
    <row r="739" spans="1:2">
      <c r="A739" s="112">
        <v>38376</v>
      </c>
      <c r="B739" s="1">
        <f t="shared" si="11"/>
        <v>13</v>
      </c>
    </row>
    <row r="740" spans="1:2">
      <c r="A740" s="112">
        <v>38377</v>
      </c>
      <c r="B740" s="1">
        <f t="shared" si="11"/>
        <v>14</v>
      </c>
    </row>
    <row r="741" spans="1:2">
      <c r="A741" s="112">
        <v>38378</v>
      </c>
      <c r="B741" s="1">
        <f t="shared" si="11"/>
        <v>15</v>
      </c>
    </row>
    <row r="742" spans="1:2">
      <c r="A742" s="112">
        <v>38379</v>
      </c>
      <c r="B742" s="1">
        <f t="shared" si="11"/>
        <v>16</v>
      </c>
    </row>
    <row r="743" spans="1:2">
      <c r="A743" s="112">
        <v>38380</v>
      </c>
      <c r="B743" s="1">
        <f t="shared" si="11"/>
        <v>17</v>
      </c>
    </row>
    <row r="744" spans="1:2">
      <c r="A744" s="112">
        <v>38381</v>
      </c>
      <c r="B744" s="1">
        <f t="shared" si="11"/>
        <v>18</v>
      </c>
    </row>
    <row r="745" spans="1:2">
      <c r="A745" s="112">
        <v>38382</v>
      </c>
      <c r="B745" s="1">
        <f t="shared" si="11"/>
        <v>19</v>
      </c>
    </row>
    <row r="746" spans="1:2">
      <c r="A746" s="112">
        <v>38383</v>
      </c>
      <c r="B746" s="1">
        <f t="shared" si="11"/>
        <v>20</v>
      </c>
    </row>
    <row r="747" spans="1:2">
      <c r="A747" s="112">
        <v>38384</v>
      </c>
      <c r="B747" s="1">
        <f t="shared" si="11"/>
        <v>21</v>
      </c>
    </row>
    <row r="748" spans="1:2">
      <c r="A748" s="112">
        <v>38385</v>
      </c>
      <c r="B748" s="1">
        <f t="shared" si="11"/>
        <v>22</v>
      </c>
    </row>
    <row r="749" spans="1:2">
      <c r="A749" s="112">
        <v>38386</v>
      </c>
      <c r="B749" s="1">
        <f t="shared" si="11"/>
        <v>23</v>
      </c>
    </row>
    <row r="750" spans="1:2">
      <c r="A750" s="112">
        <v>38387</v>
      </c>
      <c r="B750" s="1">
        <f t="shared" si="11"/>
        <v>24</v>
      </c>
    </row>
    <row r="751" spans="1:2">
      <c r="A751" s="112">
        <v>38388</v>
      </c>
      <c r="B751" s="1">
        <f t="shared" si="11"/>
        <v>25</v>
      </c>
    </row>
    <row r="752" spans="1:2">
      <c r="A752" s="112">
        <v>38389</v>
      </c>
      <c r="B752" s="1">
        <f t="shared" si="11"/>
        <v>26</v>
      </c>
    </row>
    <row r="753" spans="1:2">
      <c r="A753" s="112">
        <v>38390</v>
      </c>
      <c r="B753" s="1">
        <f t="shared" si="11"/>
        <v>27</v>
      </c>
    </row>
    <row r="754" spans="1:2">
      <c r="A754" s="112">
        <v>38391</v>
      </c>
      <c r="B754" s="1">
        <f t="shared" si="11"/>
        <v>28</v>
      </c>
    </row>
    <row r="755" spans="1:2">
      <c r="A755" s="112">
        <v>38392</v>
      </c>
      <c r="B755" s="1">
        <f t="shared" si="11"/>
        <v>0</v>
      </c>
    </row>
    <row r="756" spans="1:2">
      <c r="A756" s="112">
        <v>38393</v>
      </c>
      <c r="B756" s="1">
        <f t="shared" si="11"/>
        <v>1</v>
      </c>
    </row>
    <row r="757" spans="1:2">
      <c r="A757" s="112">
        <v>38394</v>
      </c>
      <c r="B757" s="1">
        <f t="shared" si="11"/>
        <v>2</v>
      </c>
    </row>
    <row r="758" spans="1:2">
      <c r="A758" s="112">
        <v>38395</v>
      </c>
      <c r="B758" s="1">
        <f t="shared" si="11"/>
        <v>3</v>
      </c>
    </row>
    <row r="759" spans="1:2">
      <c r="A759" s="112">
        <v>38396</v>
      </c>
      <c r="B759" s="1">
        <f t="shared" si="11"/>
        <v>4</v>
      </c>
    </row>
    <row r="760" spans="1:2">
      <c r="A760" s="112">
        <v>38397</v>
      </c>
      <c r="B760" s="1">
        <f t="shared" si="11"/>
        <v>5</v>
      </c>
    </row>
    <row r="761" spans="1:2">
      <c r="A761" s="112">
        <v>38398</v>
      </c>
      <c r="B761" s="1">
        <f t="shared" si="11"/>
        <v>6</v>
      </c>
    </row>
    <row r="762" spans="1:2">
      <c r="A762" s="112">
        <v>38399</v>
      </c>
      <c r="B762" s="1">
        <f t="shared" si="11"/>
        <v>7</v>
      </c>
    </row>
    <row r="763" spans="1:2">
      <c r="A763" s="112">
        <v>38400</v>
      </c>
      <c r="B763" s="1">
        <f t="shared" si="11"/>
        <v>8</v>
      </c>
    </row>
    <row r="764" spans="1:2">
      <c r="A764" s="112">
        <v>38401</v>
      </c>
      <c r="B764" s="1">
        <f t="shared" si="11"/>
        <v>9</v>
      </c>
    </row>
    <row r="765" spans="1:2">
      <c r="A765" s="112">
        <v>38402</v>
      </c>
      <c r="B765" s="1">
        <f t="shared" si="11"/>
        <v>10</v>
      </c>
    </row>
    <row r="766" spans="1:2">
      <c r="A766" s="112">
        <v>38403</v>
      </c>
      <c r="B766" s="1">
        <f t="shared" si="11"/>
        <v>11</v>
      </c>
    </row>
    <row r="767" spans="1:2">
      <c r="A767" s="112">
        <v>38404</v>
      </c>
      <c r="B767" s="1">
        <f t="shared" si="11"/>
        <v>12</v>
      </c>
    </row>
    <row r="768" spans="1:2">
      <c r="A768" s="112">
        <v>38405</v>
      </c>
      <c r="B768" s="1">
        <f t="shared" si="11"/>
        <v>13</v>
      </c>
    </row>
    <row r="769" spans="1:2">
      <c r="A769" s="112">
        <v>38406</v>
      </c>
      <c r="B769" s="1">
        <f t="shared" si="11"/>
        <v>14</v>
      </c>
    </row>
    <row r="770" spans="1:2">
      <c r="A770" s="112">
        <v>38407</v>
      </c>
      <c r="B770" s="1">
        <f t="shared" si="11"/>
        <v>15</v>
      </c>
    </row>
    <row r="771" spans="1:2">
      <c r="A771" s="112">
        <v>38408</v>
      </c>
      <c r="B771" s="1">
        <f t="shared" ref="B771:B834" si="12">INT(MOD($G$2+A771-$F$2,29.53))</f>
        <v>16</v>
      </c>
    </row>
    <row r="772" spans="1:2">
      <c r="A772" s="112">
        <v>38409</v>
      </c>
      <c r="B772" s="1">
        <f t="shared" si="12"/>
        <v>17</v>
      </c>
    </row>
    <row r="773" spans="1:2">
      <c r="A773" s="112">
        <v>38410</v>
      </c>
      <c r="B773" s="1">
        <f t="shared" si="12"/>
        <v>18</v>
      </c>
    </row>
    <row r="774" spans="1:2">
      <c r="A774" s="112">
        <v>38411</v>
      </c>
      <c r="B774" s="1">
        <f t="shared" si="12"/>
        <v>19</v>
      </c>
    </row>
    <row r="775" spans="1:2">
      <c r="A775" s="112">
        <v>38412</v>
      </c>
      <c r="B775" s="1">
        <f t="shared" si="12"/>
        <v>20</v>
      </c>
    </row>
    <row r="776" spans="1:2">
      <c r="A776" s="112">
        <v>38413</v>
      </c>
      <c r="B776" s="1">
        <f t="shared" si="12"/>
        <v>21</v>
      </c>
    </row>
    <row r="777" spans="1:2">
      <c r="A777" s="112">
        <v>38414</v>
      </c>
      <c r="B777" s="1">
        <f t="shared" si="12"/>
        <v>22</v>
      </c>
    </row>
    <row r="778" spans="1:2">
      <c r="A778" s="112">
        <v>38415</v>
      </c>
      <c r="B778" s="1">
        <f t="shared" si="12"/>
        <v>23</v>
      </c>
    </row>
    <row r="779" spans="1:2">
      <c r="A779" s="112">
        <v>38416</v>
      </c>
      <c r="B779" s="1">
        <f t="shared" si="12"/>
        <v>24</v>
      </c>
    </row>
    <row r="780" spans="1:2">
      <c r="A780" s="112">
        <v>38417</v>
      </c>
      <c r="B780" s="1">
        <f t="shared" si="12"/>
        <v>25</v>
      </c>
    </row>
    <row r="781" spans="1:2">
      <c r="A781" s="112">
        <v>38418</v>
      </c>
      <c r="B781" s="1">
        <f t="shared" si="12"/>
        <v>26</v>
      </c>
    </row>
    <row r="782" spans="1:2">
      <c r="A782" s="112">
        <v>38419</v>
      </c>
      <c r="B782" s="1">
        <f t="shared" si="12"/>
        <v>27</v>
      </c>
    </row>
    <row r="783" spans="1:2">
      <c r="A783" s="112">
        <v>38420</v>
      </c>
      <c r="B783" s="1">
        <f t="shared" si="12"/>
        <v>28</v>
      </c>
    </row>
    <row r="784" spans="1:2">
      <c r="A784" s="112">
        <v>38421</v>
      </c>
      <c r="B784" s="1">
        <f t="shared" si="12"/>
        <v>29</v>
      </c>
    </row>
    <row r="785" spans="1:2">
      <c r="A785" s="112">
        <v>38422</v>
      </c>
      <c r="B785" s="1">
        <f t="shared" si="12"/>
        <v>0</v>
      </c>
    </row>
    <row r="786" spans="1:2">
      <c r="A786" s="112">
        <v>38423</v>
      </c>
      <c r="B786" s="1">
        <f t="shared" si="12"/>
        <v>1</v>
      </c>
    </row>
    <row r="787" spans="1:2">
      <c r="A787" s="112">
        <v>38424</v>
      </c>
      <c r="B787" s="1">
        <f t="shared" si="12"/>
        <v>2</v>
      </c>
    </row>
    <row r="788" spans="1:2">
      <c r="A788" s="112">
        <v>38425</v>
      </c>
      <c r="B788" s="1">
        <f t="shared" si="12"/>
        <v>3</v>
      </c>
    </row>
    <row r="789" spans="1:2">
      <c r="A789" s="112">
        <v>38426</v>
      </c>
      <c r="B789" s="1">
        <f t="shared" si="12"/>
        <v>4</v>
      </c>
    </row>
    <row r="790" spans="1:2">
      <c r="A790" s="112">
        <v>38427</v>
      </c>
      <c r="B790" s="1">
        <f t="shared" si="12"/>
        <v>5</v>
      </c>
    </row>
    <row r="791" spans="1:2">
      <c r="A791" s="112">
        <v>38428</v>
      </c>
      <c r="B791" s="1">
        <f t="shared" si="12"/>
        <v>6</v>
      </c>
    </row>
    <row r="792" spans="1:2">
      <c r="A792" s="112">
        <v>38429</v>
      </c>
      <c r="B792" s="1">
        <f t="shared" si="12"/>
        <v>7</v>
      </c>
    </row>
    <row r="793" spans="1:2">
      <c r="A793" s="112">
        <v>38430</v>
      </c>
      <c r="B793" s="1">
        <f t="shared" si="12"/>
        <v>8</v>
      </c>
    </row>
    <row r="794" spans="1:2">
      <c r="A794" s="112">
        <v>38431</v>
      </c>
      <c r="B794" s="1">
        <f t="shared" si="12"/>
        <v>9</v>
      </c>
    </row>
    <row r="795" spans="1:2">
      <c r="A795" s="112">
        <v>38432</v>
      </c>
      <c r="B795" s="1">
        <f t="shared" si="12"/>
        <v>10</v>
      </c>
    </row>
    <row r="796" spans="1:2">
      <c r="A796" s="112">
        <v>38433</v>
      </c>
      <c r="B796" s="1">
        <f t="shared" si="12"/>
        <v>11</v>
      </c>
    </row>
    <row r="797" spans="1:2">
      <c r="A797" s="112">
        <v>38434</v>
      </c>
      <c r="B797" s="1">
        <f t="shared" si="12"/>
        <v>12</v>
      </c>
    </row>
    <row r="798" spans="1:2">
      <c r="A798" s="112">
        <v>38435</v>
      </c>
      <c r="B798" s="1">
        <f t="shared" si="12"/>
        <v>13</v>
      </c>
    </row>
    <row r="799" spans="1:2">
      <c r="A799" s="112">
        <v>38436</v>
      </c>
      <c r="B799" s="1">
        <f t="shared" si="12"/>
        <v>14</v>
      </c>
    </row>
    <row r="800" spans="1:2">
      <c r="A800" s="112">
        <v>38437</v>
      </c>
      <c r="B800" s="1">
        <f t="shared" si="12"/>
        <v>15</v>
      </c>
    </row>
    <row r="801" spans="1:2">
      <c r="A801" s="112">
        <v>38438</v>
      </c>
      <c r="B801" s="1">
        <f t="shared" si="12"/>
        <v>16</v>
      </c>
    </row>
    <row r="802" spans="1:2">
      <c r="A802" s="112">
        <v>38439</v>
      </c>
      <c r="B802" s="1">
        <f t="shared" si="12"/>
        <v>17</v>
      </c>
    </row>
    <row r="803" spans="1:2">
      <c r="A803" s="112">
        <v>38440</v>
      </c>
      <c r="B803" s="1">
        <f t="shared" si="12"/>
        <v>18</v>
      </c>
    </row>
    <row r="804" spans="1:2">
      <c r="A804" s="112">
        <v>38441</v>
      </c>
      <c r="B804" s="1">
        <f t="shared" si="12"/>
        <v>19</v>
      </c>
    </row>
    <row r="805" spans="1:2">
      <c r="A805" s="112">
        <v>38442</v>
      </c>
      <c r="B805" s="1">
        <f t="shared" si="12"/>
        <v>20</v>
      </c>
    </row>
    <row r="806" spans="1:2">
      <c r="A806" s="112">
        <v>38443</v>
      </c>
      <c r="B806" s="1">
        <f t="shared" si="12"/>
        <v>21</v>
      </c>
    </row>
    <row r="807" spans="1:2">
      <c r="A807" s="112">
        <v>38444</v>
      </c>
      <c r="B807" s="1">
        <f t="shared" si="12"/>
        <v>22</v>
      </c>
    </row>
    <row r="808" spans="1:2">
      <c r="A808" s="112">
        <v>38445</v>
      </c>
      <c r="B808" s="1">
        <f t="shared" si="12"/>
        <v>23</v>
      </c>
    </row>
    <row r="809" spans="1:2">
      <c r="A809" s="112">
        <v>38446</v>
      </c>
      <c r="B809" s="1">
        <f t="shared" si="12"/>
        <v>24</v>
      </c>
    </row>
    <row r="810" spans="1:2">
      <c r="A810" s="112">
        <v>38447</v>
      </c>
      <c r="B810" s="1">
        <f t="shared" si="12"/>
        <v>25</v>
      </c>
    </row>
    <row r="811" spans="1:2">
      <c r="A811" s="112">
        <v>38448</v>
      </c>
      <c r="B811" s="1">
        <f t="shared" si="12"/>
        <v>26</v>
      </c>
    </row>
    <row r="812" spans="1:2">
      <c r="A812" s="112">
        <v>38449</v>
      </c>
      <c r="B812" s="1">
        <f t="shared" si="12"/>
        <v>27</v>
      </c>
    </row>
    <row r="813" spans="1:2">
      <c r="A813" s="112">
        <v>38450</v>
      </c>
      <c r="B813" s="1">
        <f t="shared" si="12"/>
        <v>28</v>
      </c>
    </row>
    <row r="814" spans="1:2">
      <c r="A814" s="112">
        <v>38451</v>
      </c>
      <c r="B814" s="1">
        <f t="shared" si="12"/>
        <v>0</v>
      </c>
    </row>
    <row r="815" spans="1:2">
      <c r="A815" s="112">
        <v>38452</v>
      </c>
      <c r="B815" s="1">
        <f t="shared" si="12"/>
        <v>1</v>
      </c>
    </row>
    <row r="816" spans="1:2">
      <c r="A816" s="112">
        <v>38453</v>
      </c>
      <c r="B816" s="1">
        <f t="shared" si="12"/>
        <v>2</v>
      </c>
    </row>
    <row r="817" spans="1:2">
      <c r="A817" s="112">
        <v>38454</v>
      </c>
      <c r="B817" s="1">
        <f t="shared" si="12"/>
        <v>3</v>
      </c>
    </row>
    <row r="818" spans="1:2">
      <c r="A818" s="112">
        <v>38455</v>
      </c>
      <c r="B818" s="1">
        <f t="shared" si="12"/>
        <v>4</v>
      </c>
    </row>
    <row r="819" spans="1:2">
      <c r="A819" s="112">
        <v>38456</v>
      </c>
      <c r="B819" s="1">
        <f t="shared" si="12"/>
        <v>5</v>
      </c>
    </row>
    <row r="820" spans="1:2">
      <c r="A820" s="112">
        <v>38457</v>
      </c>
      <c r="B820" s="1">
        <f t="shared" si="12"/>
        <v>6</v>
      </c>
    </row>
    <row r="821" spans="1:2">
      <c r="A821" s="112">
        <v>38458</v>
      </c>
      <c r="B821" s="1">
        <f t="shared" si="12"/>
        <v>7</v>
      </c>
    </row>
    <row r="822" spans="1:2">
      <c r="A822" s="112">
        <v>38459</v>
      </c>
      <c r="B822" s="1">
        <f t="shared" si="12"/>
        <v>8</v>
      </c>
    </row>
    <row r="823" spans="1:2">
      <c r="A823" s="112">
        <v>38460</v>
      </c>
      <c r="B823" s="1">
        <f t="shared" si="12"/>
        <v>9</v>
      </c>
    </row>
    <row r="824" spans="1:2">
      <c r="A824" s="112">
        <v>38461</v>
      </c>
      <c r="B824" s="1">
        <f t="shared" si="12"/>
        <v>10</v>
      </c>
    </row>
    <row r="825" spans="1:2">
      <c r="A825" s="112">
        <v>38462</v>
      </c>
      <c r="B825" s="1">
        <f t="shared" si="12"/>
        <v>11</v>
      </c>
    </row>
    <row r="826" spans="1:2">
      <c r="A826" s="112">
        <v>38463</v>
      </c>
      <c r="B826" s="1">
        <f t="shared" si="12"/>
        <v>12</v>
      </c>
    </row>
    <row r="827" spans="1:2">
      <c r="A827" s="112">
        <v>38464</v>
      </c>
      <c r="B827" s="1">
        <f t="shared" si="12"/>
        <v>13</v>
      </c>
    </row>
    <row r="828" spans="1:2">
      <c r="A828" s="112">
        <v>38465</v>
      </c>
      <c r="B828" s="1">
        <f t="shared" si="12"/>
        <v>14</v>
      </c>
    </row>
    <row r="829" spans="1:2">
      <c r="A829" s="112">
        <v>38466</v>
      </c>
      <c r="B829" s="1">
        <f t="shared" si="12"/>
        <v>15</v>
      </c>
    </row>
    <row r="830" spans="1:2">
      <c r="A830" s="112">
        <v>38467</v>
      </c>
      <c r="B830" s="1">
        <f t="shared" si="12"/>
        <v>16</v>
      </c>
    </row>
    <row r="831" spans="1:2">
      <c r="A831" s="112">
        <v>38468</v>
      </c>
      <c r="B831" s="1">
        <f t="shared" si="12"/>
        <v>17</v>
      </c>
    </row>
    <row r="832" spans="1:2">
      <c r="A832" s="112">
        <v>38469</v>
      </c>
      <c r="B832" s="1">
        <f t="shared" si="12"/>
        <v>18</v>
      </c>
    </row>
    <row r="833" spans="1:2">
      <c r="A833" s="112">
        <v>38470</v>
      </c>
      <c r="B833" s="1">
        <f t="shared" si="12"/>
        <v>19</v>
      </c>
    </row>
    <row r="834" spans="1:2">
      <c r="A834" s="112">
        <v>38471</v>
      </c>
      <c r="B834" s="1">
        <f t="shared" si="12"/>
        <v>20</v>
      </c>
    </row>
    <row r="835" spans="1:2">
      <c r="A835" s="112">
        <v>38472</v>
      </c>
      <c r="B835" s="1">
        <f t="shared" ref="B835:B898" si="13">INT(MOD($G$2+A835-$F$2,29.53))</f>
        <v>21</v>
      </c>
    </row>
    <row r="836" spans="1:2">
      <c r="A836" s="112">
        <v>38473</v>
      </c>
      <c r="B836" s="1">
        <f t="shared" si="13"/>
        <v>22</v>
      </c>
    </row>
    <row r="837" spans="1:2">
      <c r="A837" s="112">
        <v>38474</v>
      </c>
      <c r="B837" s="1">
        <f t="shared" si="13"/>
        <v>23</v>
      </c>
    </row>
    <row r="838" spans="1:2">
      <c r="A838" s="112">
        <v>38475</v>
      </c>
      <c r="B838" s="1">
        <f t="shared" si="13"/>
        <v>24</v>
      </c>
    </row>
    <row r="839" spans="1:2">
      <c r="A839" s="112">
        <v>38476</v>
      </c>
      <c r="B839" s="1">
        <f t="shared" si="13"/>
        <v>25</v>
      </c>
    </row>
    <row r="840" spans="1:2">
      <c r="A840" s="112">
        <v>38477</v>
      </c>
      <c r="B840" s="1">
        <f t="shared" si="13"/>
        <v>26</v>
      </c>
    </row>
    <row r="841" spans="1:2">
      <c r="A841" s="112">
        <v>38478</v>
      </c>
      <c r="B841" s="1">
        <f t="shared" si="13"/>
        <v>27</v>
      </c>
    </row>
    <row r="842" spans="1:2">
      <c r="A842" s="112">
        <v>38479</v>
      </c>
      <c r="B842" s="1">
        <f t="shared" si="13"/>
        <v>28</v>
      </c>
    </row>
    <row r="843" spans="1:2">
      <c r="A843" s="112">
        <v>38480</v>
      </c>
      <c r="B843" s="1">
        <f t="shared" si="13"/>
        <v>29</v>
      </c>
    </row>
    <row r="844" spans="1:2">
      <c r="A844" s="112">
        <v>38481</v>
      </c>
      <c r="B844" s="1">
        <f t="shared" si="13"/>
        <v>0</v>
      </c>
    </row>
    <row r="845" spans="1:2">
      <c r="A845" s="112">
        <v>38482</v>
      </c>
      <c r="B845" s="1">
        <f t="shared" si="13"/>
        <v>1</v>
      </c>
    </row>
    <row r="846" spans="1:2">
      <c r="A846" s="112">
        <v>38483</v>
      </c>
      <c r="B846" s="1">
        <f t="shared" si="13"/>
        <v>2</v>
      </c>
    </row>
    <row r="847" spans="1:2">
      <c r="A847" s="112">
        <v>38484</v>
      </c>
      <c r="B847" s="1">
        <f t="shared" si="13"/>
        <v>3</v>
      </c>
    </row>
    <row r="848" spans="1:2">
      <c r="A848" s="112">
        <v>38485</v>
      </c>
      <c r="B848" s="1">
        <f t="shared" si="13"/>
        <v>4</v>
      </c>
    </row>
    <row r="849" spans="1:2">
      <c r="A849" s="112">
        <v>38486</v>
      </c>
      <c r="B849" s="1">
        <f t="shared" si="13"/>
        <v>5</v>
      </c>
    </row>
    <row r="850" spans="1:2">
      <c r="A850" s="112">
        <v>38487</v>
      </c>
      <c r="B850" s="1">
        <f t="shared" si="13"/>
        <v>6</v>
      </c>
    </row>
    <row r="851" spans="1:2">
      <c r="A851" s="112">
        <v>38488</v>
      </c>
      <c r="B851" s="1">
        <f t="shared" si="13"/>
        <v>7</v>
      </c>
    </row>
    <row r="852" spans="1:2">
      <c r="A852" s="112">
        <v>38489</v>
      </c>
      <c r="B852" s="1">
        <f t="shared" si="13"/>
        <v>8</v>
      </c>
    </row>
    <row r="853" spans="1:2">
      <c r="A853" s="112">
        <v>38490</v>
      </c>
      <c r="B853" s="1">
        <f t="shared" si="13"/>
        <v>9</v>
      </c>
    </row>
    <row r="854" spans="1:2">
      <c r="A854" s="112">
        <v>38491</v>
      </c>
      <c r="B854" s="1">
        <f t="shared" si="13"/>
        <v>10</v>
      </c>
    </row>
    <row r="855" spans="1:2">
      <c r="A855" s="112">
        <v>38492</v>
      </c>
      <c r="B855" s="1">
        <f t="shared" si="13"/>
        <v>11</v>
      </c>
    </row>
    <row r="856" spans="1:2">
      <c r="A856" s="112">
        <v>38493</v>
      </c>
      <c r="B856" s="1">
        <f t="shared" si="13"/>
        <v>12</v>
      </c>
    </row>
    <row r="857" spans="1:2">
      <c r="A857" s="112">
        <v>38494</v>
      </c>
      <c r="B857" s="1">
        <f t="shared" si="13"/>
        <v>13</v>
      </c>
    </row>
    <row r="858" spans="1:2">
      <c r="A858" s="112">
        <v>38495</v>
      </c>
      <c r="B858" s="1">
        <f t="shared" si="13"/>
        <v>14</v>
      </c>
    </row>
    <row r="859" spans="1:2">
      <c r="A859" s="112">
        <v>38496</v>
      </c>
      <c r="B859" s="1">
        <f t="shared" si="13"/>
        <v>15</v>
      </c>
    </row>
    <row r="860" spans="1:2">
      <c r="A860" s="112">
        <v>38497</v>
      </c>
      <c r="B860" s="1">
        <f t="shared" si="13"/>
        <v>16</v>
      </c>
    </row>
    <row r="861" spans="1:2">
      <c r="A861" s="112">
        <v>38498</v>
      </c>
      <c r="B861" s="1">
        <f t="shared" si="13"/>
        <v>17</v>
      </c>
    </row>
    <row r="862" spans="1:2">
      <c r="A862" s="112">
        <v>38499</v>
      </c>
      <c r="B862" s="1">
        <f t="shared" si="13"/>
        <v>18</v>
      </c>
    </row>
    <row r="863" spans="1:2">
      <c r="A863" s="112">
        <v>38500</v>
      </c>
      <c r="B863" s="1">
        <f t="shared" si="13"/>
        <v>19</v>
      </c>
    </row>
    <row r="864" spans="1:2">
      <c r="A864" s="112">
        <v>38501</v>
      </c>
      <c r="B864" s="1">
        <f t="shared" si="13"/>
        <v>20</v>
      </c>
    </row>
    <row r="865" spans="1:2">
      <c r="A865" s="112">
        <v>38502</v>
      </c>
      <c r="B865" s="1">
        <f t="shared" si="13"/>
        <v>21</v>
      </c>
    </row>
    <row r="866" spans="1:2">
      <c r="A866" s="112">
        <v>38503</v>
      </c>
      <c r="B866" s="1">
        <f t="shared" si="13"/>
        <v>22</v>
      </c>
    </row>
    <row r="867" spans="1:2">
      <c r="A867" s="112">
        <v>38504</v>
      </c>
      <c r="B867" s="1">
        <f t="shared" si="13"/>
        <v>23</v>
      </c>
    </row>
    <row r="868" spans="1:2">
      <c r="A868" s="112">
        <v>38505</v>
      </c>
      <c r="B868" s="1">
        <f t="shared" si="13"/>
        <v>24</v>
      </c>
    </row>
    <row r="869" spans="1:2">
      <c r="A869" s="112">
        <v>38506</v>
      </c>
      <c r="B869" s="1">
        <f t="shared" si="13"/>
        <v>25</v>
      </c>
    </row>
    <row r="870" spans="1:2">
      <c r="A870" s="112">
        <v>38507</v>
      </c>
      <c r="B870" s="1">
        <f t="shared" si="13"/>
        <v>26</v>
      </c>
    </row>
    <row r="871" spans="1:2">
      <c r="A871" s="112">
        <v>38508</v>
      </c>
      <c r="B871" s="1">
        <f t="shared" si="13"/>
        <v>27</v>
      </c>
    </row>
    <row r="872" spans="1:2">
      <c r="A872" s="112">
        <v>38509</v>
      </c>
      <c r="B872" s="1">
        <f t="shared" si="13"/>
        <v>28</v>
      </c>
    </row>
    <row r="873" spans="1:2">
      <c r="A873" s="112">
        <v>38510</v>
      </c>
      <c r="B873" s="1">
        <f t="shared" si="13"/>
        <v>0</v>
      </c>
    </row>
    <row r="874" spans="1:2">
      <c r="A874" s="112">
        <v>38511</v>
      </c>
      <c r="B874" s="1">
        <f t="shared" si="13"/>
        <v>1</v>
      </c>
    </row>
    <row r="875" spans="1:2">
      <c r="A875" s="112">
        <v>38512</v>
      </c>
      <c r="B875" s="1">
        <f t="shared" si="13"/>
        <v>2</v>
      </c>
    </row>
    <row r="876" spans="1:2">
      <c r="A876" s="112">
        <v>38513</v>
      </c>
      <c r="B876" s="1">
        <f t="shared" si="13"/>
        <v>3</v>
      </c>
    </row>
    <row r="877" spans="1:2">
      <c r="A877" s="112">
        <v>38514</v>
      </c>
      <c r="B877" s="1">
        <f t="shared" si="13"/>
        <v>4</v>
      </c>
    </row>
    <row r="878" spans="1:2">
      <c r="A878" s="112">
        <v>38515</v>
      </c>
      <c r="B878" s="1">
        <f t="shared" si="13"/>
        <v>5</v>
      </c>
    </row>
    <row r="879" spans="1:2">
      <c r="A879" s="112">
        <v>38516</v>
      </c>
      <c r="B879" s="1">
        <f t="shared" si="13"/>
        <v>6</v>
      </c>
    </row>
    <row r="880" spans="1:2">
      <c r="A880" s="112">
        <v>38517</v>
      </c>
      <c r="B880" s="1">
        <f t="shared" si="13"/>
        <v>7</v>
      </c>
    </row>
    <row r="881" spans="1:2">
      <c r="A881" s="112">
        <v>38518</v>
      </c>
      <c r="B881" s="1">
        <f t="shared" si="13"/>
        <v>8</v>
      </c>
    </row>
    <row r="882" spans="1:2">
      <c r="A882" s="112">
        <v>38519</v>
      </c>
      <c r="B882" s="1">
        <f t="shared" si="13"/>
        <v>9</v>
      </c>
    </row>
    <row r="883" spans="1:2">
      <c r="A883" s="112">
        <v>38520</v>
      </c>
      <c r="B883" s="1">
        <f t="shared" si="13"/>
        <v>10</v>
      </c>
    </row>
    <row r="884" spans="1:2">
      <c r="A884" s="112">
        <v>38521</v>
      </c>
      <c r="B884" s="1">
        <f t="shared" si="13"/>
        <v>11</v>
      </c>
    </row>
    <row r="885" spans="1:2">
      <c r="A885" s="112">
        <v>38522</v>
      </c>
      <c r="B885" s="1">
        <f t="shared" si="13"/>
        <v>12</v>
      </c>
    </row>
    <row r="886" spans="1:2">
      <c r="A886" s="112">
        <v>38523</v>
      </c>
      <c r="B886" s="1">
        <f t="shared" si="13"/>
        <v>13</v>
      </c>
    </row>
    <row r="887" spans="1:2">
      <c r="A887" s="112">
        <v>38524</v>
      </c>
      <c r="B887" s="1">
        <f t="shared" si="13"/>
        <v>14</v>
      </c>
    </row>
    <row r="888" spans="1:2">
      <c r="A888" s="112">
        <v>38525</v>
      </c>
      <c r="B888" s="1">
        <f t="shared" si="13"/>
        <v>15</v>
      </c>
    </row>
    <row r="889" spans="1:2">
      <c r="A889" s="112">
        <v>38526</v>
      </c>
      <c r="B889" s="1">
        <f t="shared" si="13"/>
        <v>16</v>
      </c>
    </row>
    <row r="890" spans="1:2">
      <c r="A890" s="112">
        <v>38527</v>
      </c>
      <c r="B890" s="1">
        <f t="shared" si="13"/>
        <v>17</v>
      </c>
    </row>
    <row r="891" spans="1:2">
      <c r="A891" s="112">
        <v>38528</v>
      </c>
      <c r="B891" s="1">
        <f t="shared" si="13"/>
        <v>18</v>
      </c>
    </row>
    <row r="892" spans="1:2">
      <c r="A892" s="112">
        <v>38529</v>
      </c>
      <c r="B892" s="1">
        <f t="shared" si="13"/>
        <v>19</v>
      </c>
    </row>
    <row r="893" spans="1:2">
      <c r="A893" s="112">
        <v>38530</v>
      </c>
      <c r="B893" s="1">
        <f t="shared" si="13"/>
        <v>20</v>
      </c>
    </row>
    <row r="894" spans="1:2">
      <c r="A894" s="112">
        <v>38531</v>
      </c>
      <c r="B894" s="1">
        <f t="shared" si="13"/>
        <v>21</v>
      </c>
    </row>
    <row r="895" spans="1:2">
      <c r="A895" s="112">
        <v>38532</v>
      </c>
      <c r="B895" s="1">
        <f t="shared" si="13"/>
        <v>22</v>
      </c>
    </row>
    <row r="896" spans="1:2">
      <c r="A896" s="112">
        <v>38533</v>
      </c>
      <c r="B896" s="1">
        <f t="shared" si="13"/>
        <v>23</v>
      </c>
    </row>
    <row r="897" spans="1:2">
      <c r="A897" s="112">
        <v>38534</v>
      </c>
      <c r="B897" s="1">
        <f t="shared" si="13"/>
        <v>24</v>
      </c>
    </row>
    <row r="898" spans="1:2">
      <c r="A898" s="112">
        <v>38535</v>
      </c>
      <c r="B898" s="1">
        <f t="shared" si="13"/>
        <v>25</v>
      </c>
    </row>
    <row r="899" spans="1:2">
      <c r="A899" s="112">
        <v>38536</v>
      </c>
      <c r="B899" s="1">
        <f t="shared" ref="B899:B962" si="14">INT(MOD($G$2+A899-$F$2,29.53))</f>
        <v>26</v>
      </c>
    </row>
    <row r="900" spans="1:2">
      <c r="A900" s="112">
        <v>38537</v>
      </c>
      <c r="B900" s="1">
        <f t="shared" si="14"/>
        <v>27</v>
      </c>
    </row>
    <row r="901" spans="1:2">
      <c r="A901" s="112">
        <v>38538</v>
      </c>
      <c r="B901" s="1">
        <f t="shared" si="14"/>
        <v>28</v>
      </c>
    </row>
    <row r="902" spans="1:2">
      <c r="A902" s="112">
        <v>38539</v>
      </c>
      <c r="B902" s="1">
        <f t="shared" si="14"/>
        <v>29</v>
      </c>
    </row>
    <row r="903" spans="1:2">
      <c r="A903" s="112">
        <v>38540</v>
      </c>
      <c r="B903" s="1">
        <f t="shared" si="14"/>
        <v>0</v>
      </c>
    </row>
    <row r="904" spans="1:2">
      <c r="A904" s="112">
        <v>38541</v>
      </c>
      <c r="B904" s="1">
        <f t="shared" si="14"/>
        <v>1</v>
      </c>
    </row>
    <row r="905" spans="1:2">
      <c r="A905" s="112">
        <v>38542</v>
      </c>
      <c r="B905" s="1">
        <f t="shared" si="14"/>
        <v>2</v>
      </c>
    </row>
    <row r="906" spans="1:2">
      <c r="A906" s="112">
        <v>38543</v>
      </c>
      <c r="B906" s="1">
        <f t="shared" si="14"/>
        <v>3</v>
      </c>
    </row>
    <row r="907" spans="1:2">
      <c r="A907" s="112">
        <v>38544</v>
      </c>
      <c r="B907" s="1">
        <f t="shared" si="14"/>
        <v>4</v>
      </c>
    </row>
    <row r="908" spans="1:2">
      <c r="A908" s="112">
        <v>38545</v>
      </c>
      <c r="B908" s="1">
        <f t="shared" si="14"/>
        <v>5</v>
      </c>
    </row>
    <row r="909" spans="1:2">
      <c r="A909" s="112">
        <v>38546</v>
      </c>
      <c r="B909" s="1">
        <f t="shared" si="14"/>
        <v>6</v>
      </c>
    </row>
    <row r="910" spans="1:2">
      <c r="A910" s="112">
        <v>38547</v>
      </c>
      <c r="B910" s="1">
        <f t="shared" si="14"/>
        <v>7</v>
      </c>
    </row>
    <row r="911" spans="1:2">
      <c r="A911" s="112">
        <v>38548</v>
      </c>
      <c r="B911" s="1">
        <f t="shared" si="14"/>
        <v>8</v>
      </c>
    </row>
    <row r="912" spans="1:2">
      <c r="A912" s="112">
        <v>38549</v>
      </c>
      <c r="B912" s="1">
        <f t="shared" si="14"/>
        <v>9</v>
      </c>
    </row>
    <row r="913" spans="1:2">
      <c r="A913" s="112">
        <v>38550</v>
      </c>
      <c r="B913" s="1">
        <f t="shared" si="14"/>
        <v>10</v>
      </c>
    </row>
    <row r="914" spans="1:2">
      <c r="A914" s="112">
        <v>38551</v>
      </c>
      <c r="B914" s="1">
        <f t="shared" si="14"/>
        <v>11</v>
      </c>
    </row>
    <row r="915" spans="1:2">
      <c r="A915" s="112">
        <v>38552</v>
      </c>
      <c r="B915" s="1">
        <f t="shared" si="14"/>
        <v>12</v>
      </c>
    </row>
    <row r="916" spans="1:2">
      <c r="A916" s="112">
        <v>38553</v>
      </c>
      <c r="B916" s="1">
        <f t="shared" si="14"/>
        <v>13</v>
      </c>
    </row>
    <row r="917" spans="1:2">
      <c r="A917" s="112">
        <v>38554</v>
      </c>
      <c r="B917" s="1">
        <f t="shared" si="14"/>
        <v>14</v>
      </c>
    </row>
    <row r="918" spans="1:2">
      <c r="A918" s="112">
        <v>38555</v>
      </c>
      <c r="B918" s="1">
        <f t="shared" si="14"/>
        <v>15</v>
      </c>
    </row>
    <row r="919" spans="1:2">
      <c r="A919" s="112">
        <v>38556</v>
      </c>
      <c r="B919" s="1">
        <f t="shared" si="14"/>
        <v>16</v>
      </c>
    </row>
    <row r="920" spans="1:2">
      <c r="A920" s="112">
        <v>38557</v>
      </c>
      <c r="B920" s="1">
        <f t="shared" si="14"/>
        <v>17</v>
      </c>
    </row>
    <row r="921" spans="1:2">
      <c r="A921" s="112">
        <v>38558</v>
      </c>
      <c r="B921" s="1">
        <f t="shared" si="14"/>
        <v>18</v>
      </c>
    </row>
    <row r="922" spans="1:2">
      <c r="A922" s="112">
        <v>38559</v>
      </c>
      <c r="B922" s="1">
        <f t="shared" si="14"/>
        <v>19</v>
      </c>
    </row>
    <row r="923" spans="1:2">
      <c r="A923" s="112">
        <v>38560</v>
      </c>
      <c r="B923" s="1">
        <f t="shared" si="14"/>
        <v>20</v>
      </c>
    </row>
    <row r="924" spans="1:2">
      <c r="A924" s="112">
        <v>38561</v>
      </c>
      <c r="B924" s="1">
        <f t="shared" si="14"/>
        <v>21</v>
      </c>
    </row>
    <row r="925" spans="1:2">
      <c r="A925" s="112">
        <v>38562</v>
      </c>
      <c r="B925" s="1">
        <f t="shared" si="14"/>
        <v>22</v>
      </c>
    </row>
    <row r="926" spans="1:2">
      <c r="A926" s="112">
        <v>38563</v>
      </c>
      <c r="B926" s="1">
        <f t="shared" si="14"/>
        <v>23</v>
      </c>
    </row>
    <row r="927" spans="1:2">
      <c r="A927" s="112">
        <v>38564</v>
      </c>
      <c r="B927" s="1">
        <f t="shared" si="14"/>
        <v>24</v>
      </c>
    </row>
    <row r="928" spans="1:2">
      <c r="A928" s="112">
        <v>38565</v>
      </c>
      <c r="B928" s="1">
        <f t="shared" si="14"/>
        <v>25</v>
      </c>
    </row>
    <row r="929" spans="1:2">
      <c r="A929" s="112">
        <v>38566</v>
      </c>
      <c r="B929" s="1">
        <f t="shared" si="14"/>
        <v>26</v>
      </c>
    </row>
    <row r="930" spans="1:2">
      <c r="A930" s="112">
        <v>38567</v>
      </c>
      <c r="B930" s="1">
        <f t="shared" si="14"/>
        <v>27</v>
      </c>
    </row>
    <row r="931" spans="1:2">
      <c r="A931" s="112">
        <v>38568</v>
      </c>
      <c r="B931" s="1">
        <f t="shared" si="14"/>
        <v>28</v>
      </c>
    </row>
    <row r="932" spans="1:2">
      <c r="A932" s="112">
        <v>38569</v>
      </c>
      <c r="B932" s="1">
        <f t="shared" si="14"/>
        <v>0</v>
      </c>
    </row>
    <row r="933" spans="1:2">
      <c r="A933" s="112">
        <v>38570</v>
      </c>
      <c r="B933" s="1">
        <f t="shared" si="14"/>
        <v>1</v>
      </c>
    </row>
    <row r="934" spans="1:2">
      <c r="A934" s="112">
        <v>38571</v>
      </c>
      <c r="B934" s="1">
        <f t="shared" si="14"/>
        <v>2</v>
      </c>
    </row>
    <row r="935" spans="1:2">
      <c r="A935" s="112">
        <v>38572</v>
      </c>
      <c r="B935" s="1">
        <f t="shared" si="14"/>
        <v>3</v>
      </c>
    </row>
    <row r="936" spans="1:2">
      <c r="A936" s="112">
        <v>38573</v>
      </c>
      <c r="B936" s="1">
        <f t="shared" si="14"/>
        <v>4</v>
      </c>
    </row>
    <row r="937" spans="1:2">
      <c r="A937" s="112">
        <v>38574</v>
      </c>
      <c r="B937" s="1">
        <f t="shared" si="14"/>
        <v>5</v>
      </c>
    </row>
    <row r="938" spans="1:2">
      <c r="A938" s="112">
        <v>38575</v>
      </c>
      <c r="B938" s="1">
        <f t="shared" si="14"/>
        <v>6</v>
      </c>
    </row>
    <row r="939" spans="1:2">
      <c r="A939" s="112">
        <v>38576</v>
      </c>
      <c r="B939" s="1">
        <f t="shared" si="14"/>
        <v>7</v>
      </c>
    </row>
    <row r="940" spans="1:2">
      <c r="A940" s="112">
        <v>38577</v>
      </c>
      <c r="B940" s="1">
        <f t="shared" si="14"/>
        <v>8</v>
      </c>
    </row>
    <row r="941" spans="1:2">
      <c r="A941" s="112">
        <v>38578</v>
      </c>
      <c r="B941" s="1">
        <f t="shared" si="14"/>
        <v>9</v>
      </c>
    </row>
    <row r="942" spans="1:2">
      <c r="A942" s="112">
        <v>38579</v>
      </c>
      <c r="B942" s="1">
        <f t="shared" si="14"/>
        <v>10</v>
      </c>
    </row>
    <row r="943" spans="1:2">
      <c r="A943" s="112">
        <v>38580</v>
      </c>
      <c r="B943" s="1">
        <f t="shared" si="14"/>
        <v>11</v>
      </c>
    </row>
    <row r="944" spans="1:2">
      <c r="A944" s="112">
        <v>38581</v>
      </c>
      <c r="B944" s="1">
        <f t="shared" si="14"/>
        <v>12</v>
      </c>
    </row>
    <row r="945" spans="1:2">
      <c r="A945" s="112">
        <v>38582</v>
      </c>
      <c r="B945" s="1">
        <f t="shared" si="14"/>
        <v>13</v>
      </c>
    </row>
    <row r="946" spans="1:2">
      <c r="A946" s="112">
        <v>38583</v>
      </c>
      <c r="B946" s="1">
        <f t="shared" si="14"/>
        <v>14</v>
      </c>
    </row>
    <row r="947" spans="1:2">
      <c r="A947" s="112">
        <v>38584</v>
      </c>
      <c r="B947" s="1">
        <f t="shared" si="14"/>
        <v>15</v>
      </c>
    </row>
    <row r="948" spans="1:2">
      <c r="A948" s="112">
        <v>38585</v>
      </c>
      <c r="B948" s="1">
        <f t="shared" si="14"/>
        <v>16</v>
      </c>
    </row>
    <row r="949" spans="1:2">
      <c r="A949" s="112">
        <v>38586</v>
      </c>
      <c r="B949" s="1">
        <f t="shared" si="14"/>
        <v>17</v>
      </c>
    </row>
    <row r="950" spans="1:2">
      <c r="A950" s="112">
        <v>38587</v>
      </c>
      <c r="B950" s="1">
        <f t="shared" si="14"/>
        <v>18</v>
      </c>
    </row>
    <row r="951" spans="1:2">
      <c r="A951" s="112">
        <v>38588</v>
      </c>
      <c r="B951" s="1">
        <f t="shared" si="14"/>
        <v>19</v>
      </c>
    </row>
    <row r="952" spans="1:2">
      <c r="A952" s="112">
        <v>38589</v>
      </c>
      <c r="B952" s="1">
        <f t="shared" si="14"/>
        <v>20</v>
      </c>
    </row>
    <row r="953" spans="1:2">
      <c r="A953" s="112">
        <v>38590</v>
      </c>
      <c r="B953" s="1">
        <f t="shared" si="14"/>
        <v>21</v>
      </c>
    </row>
    <row r="954" spans="1:2">
      <c r="A954" s="112">
        <v>38591</v>
      </c>
      <c r="B954" s="1">
        <f t="shared" si="14"/>
        <v>22</v>
      </c>
    </row>
    <row r="955" spans="1:2">
      <c r="A955" s="112">
        <v>38592</v>
      </c>
      <c r="B955" s="1">
        <f t="shared" si="14"/>
        <v>23</v>
      </c>
    </row>
    <row r="956" spans="1:2">
      <c r="A956" s="112">
        <v>38593</v>
      </c>
      <c r="B956" s="1">
        <f t="shared" si="14"/>
        <v>24</v>
      </c>
    </row>
    <row r="957" spans="1:2">
      <c r="A957" s="112">
        <v>38594</v>
      </c>
      <c r="B957" s="1">
        <f t="shared" si="14"/>
        <v>25</v>
      </c>
    </row>
    <row r="958" spans="1:2">
      <c r="A958" s="112">
        <v>38595</v>
      </c>
      <c r="B958" s="1">
        <f t="shared" si="14"/>
        <v>26</v>
      </c>
    </row>
    <row r="959" spans="1:2">
      <c r="A959" s="112">
        <v>38596</v>
      </c>
      <c r="B959" s="1">
        <f t="shared" si="14"/>
        <v>27</v>
      </c>
    </row>
    <row r="960" spans="1:2">
      <c r="A960" s="112">
        <v>38597</v>
      </c>
      <c r="B960" s="1">
        <f t="shared" si="14"/>
        <v>28</v>
      </c>
    </row>
    <row r="961" spans="1:2">
      <c r="A961" s="112">
        <v>38598</v>
      </c>
      <c r="B961" s="1">
        <f t="shared" si="14"/>
        <v>29</v>
      </c>
    </row>
    <row r="962" spans="1:2">
      <c r="A962" s="112">
        <v>38599</v>
      </c>
      <c r="B962" s="1">
        <f t="shared" si="14"/>
        <v>0</v>
      </c>
    </row>
    <row r="963" spans="1:2">
      <c r="A963" s="112">
        <v>38600</v>
      </c>
      <c r="B963" s="1">
        <f t="shared" ref="B963:B1026" si="15">INT(MOD($G$2+A963-$F$2,29.53))</f>
        <v>1</v>
      </c>
    </row>
    <row r="964" spans="1:2">
      <c r="A964" s="112">
        <v>38601</v>
      </c>
      <c r="B964" s="1">
        <f t="shared" si="15"/>
        <v>2</v>
      </c>
    </row>
    <row r="965" spans="1:2">
      <c r="A965" s="112">
        <v>38602</v>
      </c>
      <c r="B965" s="1">
        <f t="shared" si="15"/>
        <v>3</v>
      </c>
    </row>
    <row r="966" spans="1:2">
      <c r="A966" s="112">
        <v>38603</v>
      </c>
      <c r="B966" s="1">
        <f t="shared" si="15"/>
        <v>4</v>
      </c>
    </row>
    <row r="967" spans="1:2">
      <c r="A967" s="112">
        <v>38604</v>
      </c>
      <c r="B967" s="1">
        <f t="shared" si="15"/>
        <v>5</v>
      </c>
    </row>
    <row r="968" spans="1:2">
      <c r="A968" s="112">
        <v>38605</v>
      </c>
      <c r="B968" s="1">
        <f t="shared" si="15"/>
        <v>6</v>
      </c>
    </row>
    <row r="969" spans="1:2">
      <c r="A969" s="112">
        <v>38606</v>
      </c>
      <c r="B969" s="1">
        <f t="shared" si="15"/>
        <v>7</v>
      </c>
    </row>
    <row r="970" spans="1:2">
      <c r="A970" s="112">
        <v>38607</v>
      </c>
      <c r="B970" s="1">
        <f t="shared" si="15"/>
        <v>8</v>
      </c>
    </row>
    <row r="971" spans="1:2">
      <c r="A971" s="112">
        <v>38608</v>
      </c>
      <c r="B971" s="1">
        <f t="shared" si="15"/>
        <v>9</v>
      </c>
    </row>
    <row r="972" spans="1:2">
      <c r="A972" s="112">
        <v>38609</v>
      </c>
      <c r="B972" s="1">
        <f t="shared" si="15"/>
        <v>10</v>
      </c>
    </row>
    <row r="973" spans="1:2">
      <c r="A973" s="112">
        <v>38610</v>
      </c>
      <c r="B973" s="1">
        <f t="shared" si="15"/>
        <v>11</v>
      </c>
    </row>
    <row r="974" spans="1:2">
      <c r="A974" s="112">
        <v>38611</v>
      </c>
      <c r="B974" s="1">
        <f t="shared" si="15"/>
        <v>12</v>
      </c>
    </row>
    <row r="975" spans="1:2">
      <c r="A975" s="112">
        <v>38612</v>
      </c>
      <c r="B975" s="1">
        <f t="shared" si="15"/>
        <v>13</v>
      </c>
    </row>
    <row r="976" spans="1:2">
      <c r="A976" s="112">
        <v>38613</v>
      </c>
      <c r="B976" s="1">
        <f t="shared" si="15"/>
        <v>14</v>
      </c>
    </row>
    <row r="977" spans="1:2">
      <c r="A977" s="112">
        <v>38614</v>
      </c>
      <c r="B977" s="1">
        <f t="shared" si="15"/>
        <v>15</v>
      </c>
    </row>
    <row r="978" spans="1:2">
      <c r="A978" s="112">
        <v>38615</v>
      </c>
      <c r="B978" s="1">
        <f t="shared" si="15"/>
        <v>16</v>
      </c>
    </row>
    <row r="979" spans="1:2">
      <c r="A979" s="112">
        <v>38616</v>
      </c>
      <c r="B979" s="1">
        <f t="shared" si="15"/>
        <v>17</v>
      </c>
    </row>
    <row r="980" spans="1:2">
      <c r="A980" s="112">
        <v>38617</v>
      </c>
      <c r="B980" s="1">
        <f t="shared" si="15"/>
        <v>18</v>
      </c>
    </row>
    <row r="981" spans="1:2">
      <c r="A981" s="112">
        <v>38618</v>
      </c>
      <c r="B981" s="1">
        <f t="shared" si="15"/>
        <v>19</v>
      </c>
    </row>
    <row r="982" spans="1:2">
      <c r="A982" s="112">
        <v>38619</v>
      </c>
      <c r="B982" s="1">
        <f t="shared" si="15"/>
        <v>20</v>
      </c>
    </row>
    <row r="983" spans="1:2">
      <c r="A983" s="112">
        <v>38620</v>
      </c>
      <c r="B983" s="1">
        <f t="shared" si="15"/>
        <v>21</v>
      </c>
    </row>
    <row r="984" spans="1:2">
      <c r="A984" s="112">
        <v>38621</v>
      </c>
      <c r="B984" s="1">
        <f t="shared" si="15"/>
        <v>22</v>
      </c>
    </row>
    <row r="985" spans="1:2">
      <c r="A985" s="112">
        <v>38622</v>
      </c>
      <c r="B985" s="1">
        <f t="shared" si="15"/>
        <v>23</v>
      </c>
    </row>
    <row r="986" spans="1:2">
      <c r="A986" s="112">
        <v>38623</v>
      </c>
      <c r="B986" s="1">
        <f t="shared" si="15"/>
        <v>24</v>
      </c>
    </row>
    <row r="987" spans="1:2">
      <c r="A987" s="112">
        <v>38624</v>
      </c>
      <c r="B987" s="1">
        <f t="shared" si="15"/>
        <v>25</v>
      </c>
    </row>
    <row r="988" spans="1:2">
      <c r="A988" s="112">
        <v>38625</v>
      </c>
      <c r="B988" s="1">
        <f t="shared" si="15"/>
        <v>26</v>
      </c>
    </row>
    <row r="989" spans="1:2">
      <c r="A989" s="112">
        <v>38626</v>
      </c>
      <c r="B989" s="1">
        <f t="shared" si="15"/>
        <v>27</v>
      </c>
    </row>
    <row r="990" spans="1:2">
      <c r="A990" s="112">
        <v>38627</v>
      </c>
      <c r="B990" s="1">
        <f t="shared" si="15"/>
        <v>28</v>
      </c>
    </row>
    <row r="991" spans="1:2">
      <c r="A991" s="112">
        <v>38628</v>
      </c>
      <c r="B991" s="1">
        <f t="shared" si="15"/>
        <v>0</v>
      </c>
    </row>
    <row r="992" spans="1:2">
      <c r="A992" s="112">
        <v>38629</v>
      </c>
      <c r="B992" s="1">
        <f t="shared" si="15"/>
        <v>1</v>
      </c>
    </row>
    <row r="993" spans="1:2">
      <c r="A993" s="112">
        <v>38630</v>
      </c>
      <c r="B993" s="1">
        <f t="shared" si="15"/>
        <v>2</v>
      </c>
    </row>
    <row r="994" spans="1:2">
      <c r="A994" s="112">
        <v>38631</v>
      </c>
      <c r="B994" s="1">
        <f t="shared" si="15"/>
        <v>3</v>
      </c>
    </row>
    <row r="995" spans="1:2">
      <c r="A995" s="112">
        <v>38632</v>
      </c>
      <c r="B995" s="1">
        <f t="shared" si="15"/>
        <v>4</v>
      </c>
    </row>
    <row r="996" spans="1:2">
      <c r="A996" s="112">
        <v>38633</v>
      </c>
      <c r="B996" s="1">
        <f t="shared" si="15"/>
        <v>5</v>
      </c>
    </row>
    <row r="997" spans="1:2">
      <c r="A997" s="112">
        <v>38634</v>
      </c>
      <c r="B997" s="1">
        <f t="shared" si="15"/>
        <v>6</v>
      </c>
    </row>
    <row r="998" spans="1:2">
      <c r="A998" s="112">
        <v>38635</v>
      </c>
      <c r="B998" s="1">
        <f t="shared" si="15"/>
        <v>7</v>
      </c>
    </row>
    <row r="999" spans="1:2">
      <c r="A999" s="112">
        <v>38636</v>
      </c>
      <c r="B999" s="1">
        <f t="shared" si="15"/>
        <v>8</v>
      </c>
    </row>
    <row r="1000" spans="1:2">
      <c r="A1000" s="112">
        <v>38637</v>
      </c>
      <c r="B1000" s="1">
        <f t="shared" si="15"/>
        <v>9</v>
      </c>
    </row>
    <row r="1001" spans="1:2">
      <c r="A1001" s="112">
        <v>38638</v>
      </c>
      <c r="B1001" s="1">
        <f t="shared" si="15"/>
        <v>10</v>
      </c>
    </row>
    <row r="1002" spans="1:2">
      <c r="A1002" s="112">
        <v>38639</v>
      </c>
      <c r="B1002" s="1">
        <f t="shared" si="15"/>
        <v>11</v>
      </c>
    </row>
    <row r="1003" spans="1:2">
      <c r="A1003" s="112">
        <v>38640</v>
      </c>
      <c r="B1003" s="1">
        <f t="shared" si="15"/>
        <v>12</v>
      </c>
    </row>
    <row r="1004" spans="1:2">
      <c r="A1004" s="112">
        <v>38641</v>
      </c>
      <c r="B1004" s="1">
        <f t="shared" si="15"/>
        <v>13</v>
      </c>
    </row>
    <row r="1005" spans="1:2">
      <c r="A1005" s="112">
        <v>38642</v>
      </c>
      <c r="B1005" s="1">
        <f t="shared" si="15"/>
        <v>14</v>
      </c>
    </row>
    <row r="1006" spans="1:2">
      <c r="A1006" s="112">
        <v>38643</v>
      </c>
      <c r="B1006" s="1">
        <f t="shared" si="15"/>
        <v>15</v>
      </c>
    </row>
    <row r="1007" spans="1:2">
      <c r="A1007" s="112">
        <v>38644</v>
      </c>
      <c r="B1007" s="1">
        <f t="shared" si="15"/>
        <v>16</v>
      </c>
    </row>
    <row r="1008" spans="1:2">
      <c r="A1008" s="112">
        <v>38645</v>
      </c>
      <c r="B1008" s="1">
        <f t="shared" si="15"/>
        <v>17</v>
      </c>
    </row>
    <row r="1009" spans="1:2">
      <c r="A1009" s="112">
        <v>38646</v>
      </c>
      <c r="B1009" s="1">
        <f t="shared" si="15"/>
        <v>18</v>
      </c>
    </row>
    <row r="1010" spans="1:2">
      <c r="A1010" s="112">
        <v>38647</v>
      </c>
      <c r="B1010" s="1">
        <f t="shared" si="15"/>
        <v>19</v>
      </c>
    </row>
    <row r="1011" spans="1:2">
      <c r="A1011" s="112">
        <v>38648</v>
      </c>
      <c r="B1011" s="1">
        <f t="shared" si="15"/>
        <v>20</v>
      </c>
    </row>
    <row r="1012" spans="1:2">
      <c r="A1012" s="112">
        <v>38649</v>
      </c>
      <c r="B1012" s="1">
        <f t="shared" si="15"/>
        <v>21</v>
      </c>
    </row>
    <row r="1013" spans="1:2">
      <c r="A1013" s="112">
        <v>38650</v>
      </c>
      <c r="B1013" s="1">
        <f t="shared" si="15"/>
        <v>22</v>
      </c>
    </row>
    <row r="1014" spans="1:2">
      <c r="A1014" s="112">
        <v>38651</v>
      </c>
      <c r="B1014" s="1">
        <f t="shared" si="15"/>
        <v>23</v>
      </c>
    </row>
    <row r="1015" spans="1:2">
      <c r="A1015" s="112">
        <v>38652</v>
      </c>
      <c r="B1015" s="1">
        <f t="shared" si="15"/>
        <v>24</v>
      </c>
    </row>
    <row r="1016" spans="1:2">
      <c r="A1016" s="112">
        <v>38653</v>
      </c>
      <c r="B1016" s="1">
        <f t="shared" si="15"/>
        <v>25</v>
      </c>
    </row>
    <row r="1017" spans="1:2">
      <c r="A1017" s="112">
        <v>38654</v>
      </c>
      <c r="B1017" s="1">
        <f t="shared" si="15"/>
        <v>26</v>
      </c>
    </row>
    <row r="1018" spans="1:2">
      <c r="A1018" s="112">
        <v>38655</v>
      </c>
      <c r="B1018" s="1">
        <f t="shared" si="15"/>
        <v>27</v>
      </c>
    </row>
    <row r="1019" spans="1:2">
      <c r="A1019" s="112">
        <v>38656</v>
      </c>
      <c r="B1019" s="1">
        <f t="shared" si="15"/>
        <v>28</v>
      </c>
    </row>
    <row r="1020" spans="1:2">
      <c r="A1020" s="112">
        <v>38657</v>
      </c>
      <c r="B1020" s="1">
        <f t="shared" si="15"/>
        <v>29</v>
      </c>
    </row>
    <row r="1021" spans="1:2">
      <c r="A1021" s="112">
        <v>38658</v>
      </c>
      <c r="B1021" s="1">
        <f t="shared" si="15"/>
        <v>0</v>
      </c>
    </row>
    <row r="1022" spans="1:2">
      <c r="A1022" s="112">
        <v>38659</v>
      </c>
      <c r="B1022" s="1">
        <f t="shared" si="15"/>
        <v>1</v>
      </c>
    </row>
    <row r="1023" spans="1:2">
      <c r="A1023" s="112">
        <v>38660</v>
      </c>
      <c r="B1023" s="1">
        <f t="shared" si="15"/>
        <v>2</v>
      </c>
    </row>
    <row r="1024" spans="1:2">
      <c r="A1024" s="112">
        <v>38661</v>
      </c>
      <c r="B1024" s="1">
        <f t="shared" si="15"/>
        <v>3</v>
      </c>
    </row>
    <row r="1025" spans="1:2">
      <c r="A1025" s="112">
        <v>38662</v>
      </c>
      <c r="B1025" s="1">
        <f t="shared" si="15"/>
        <v>4</v>
      </c>
    </row>
    <row r="1026" spans="1:2">
      <c r="A1026" s="112">
        <v>38663</v>
      </c>
      <c r="B1026" s="1">
        <f t="shared" si="15"/>
        <v>5</v>
      </c>
    </row>
    <row r="1027" spans="1:2">
      <c r="A1027" s="112">
        <v>38664</v>
      </c>
      <c r="B1027" s="1">
        <f t="shared" ref="B1027:B1090" si="16">INT(MOD($G$2+A1027-$F$2,29.53))</f>
        <v>6</v>
      </c>
    </row>
    <row r="1028" spans="1:2">
      <c r="A1028" s="112">
        <v>38665</v>
      </c>
      <c r="B1028" s="1">
        <f t="shared" si="16"/>
        <v>7</v>
      </c>
    </row>
    <row r="1029" spans="1:2">
      <c r="A1029" s="112">
        <v>38666</v>
      </c>
      <c r="B1029" s="1">
        <f t="shared" si="16"/>
        <v>8</v>
      </c>
    </row>
    <row r="1030" spans="1:2">
      <c r="A1030" s="112">
        <v>38667</v>
      </c>
      <c r="B1030" s="1">
        <f t="shared" si="16"/>
        <v>9</v>
      </c>
    </row>
    <row r="1031" spans="1:2">
      <c r="A1031" s="112">
        <v>38668</v>
      </c>
      <c r="B1031" s="1">
        <f t="shared" si="16"/>
        <v>10</v>
      </c>
    </row>
    <row r="1032" spans="1:2">
      <c r="A1032" s="112">
        <v>38669</v>
      </c>
      <c r="B1032" s="1">
        <f t="shared" si="16"/>
        <v>11</v>
      </c>
    </row>
    <row r="1033" spans="1:2">
      <c r="A1033" s="112">
        <v>38670</v>
      </c>
      <c r="B1033" s="1">
        <f t="shared" si="16"/>
        <v>12</v>
      </c>
    </row>
    <row r="1034" spans="1:2">
      <c r="A1034" s="112">
        <v>38671</v>
      </c>
      <c r="B1034" s="1">
        <f t="shared" si="16"/>
        <v>13</v>
      </c>
    </row>
    <row r="1035" spans="1:2">
      <c r="A1035" s="112">
        <v>38672</v>
      </c>
      <c r="B1035" s="1">
        <f t="shared" si="16"/>
        <v>14</v>
      </c>
    </row>
    <row r="1036" spans="1:2">
      <c r="A1036" s="112">
        <v>38673</v>
      </c>
      <c r="B1036" s="1">
        <f t="shared" si="16"/>
        <v>15</v>
      </c>
    </row>
    <row r="1037" spans="1:2">
      <c r="A1037" s="112">
        <v>38674</v>
      </c>
      <c r="B1037" s="1">
        <f t="shared" si="16"/>
        <v>16</v>
      </c>
    </row>
    <row r="1038" spans="1:2">
      <c r="A1038" s="112">
        <v>38675</v>
      </c>
      <c r="B1038" s="1">
        <f t="shared" si="16"/>
        <v>17</v>
      </c>
    </row>
    <row r="1039" spans="1:2">
      <c r="A1039" s="112">
        <v>38676</v>
      </c>
      <c r="B1039" s="1">
        <f t="shared" si="16"/>
        <v>18</v>
      </c>
    </row>
    <row r="1040" spans="1:2">
      <c r="A1040" s="112">
        <v>38677</v>
      </c>
      <c r="B1040" s="1">
        <f t="shared" si="16"/>
        <v>19</v>
      </c>
    </row>
    <row r="1041" spans="1:2">
      <c r="A1041" s="112">
        <v>38678</v>
      </c>
      <c r="B1041" s="1">
        <f t="shared" si="16"/>
        <v>20</v>
      </c>
    </row>
    <row r="1042" spans="1:2">
      <c r="A1042" s="112">
        <v>38679</v>
      </c>
      <c r="B1042" s="1">
        <f t="shared" si="16"/>
        <v>21</v>
      </c>
    </row>
    <row r="1043" spans="1:2">
      <c r="A1043" s="112">
        <v>38680</v>
      </c>
      <c r="B1043" s="1">
        <f t="shared" si="16"/>
        <v>22</v>
      </c>
    </row>
    <row r="1044" spans="1:2">
      <c r="A1044" s="112">
        <v>38681</v>
      </c>
      <c r="B1044" s="1">
        <f t="shared" si="16"/>
        <v>23</v>
      </c>
    </row>
    <row r="1045" spans="1:2">
      <c r="A1045" s="112">
        <v>38682</v>
      </c>
      <c r="B1045" s="1">
        <f t="shared" si="16"/>
        <v>24</v>
      </c>
    </row>
    <row r="1046" spans="1:2">
      <c r="A1046" s="112">
        <v>38683</v>
      </c>
      <c r="B1046" s="1">
        <f t="shared" si="16"/>
        <v>25</v>
      </c>
    </row>
    <row r="1047" spans="1:2">
      <c r="A1047" s="112">
        <v>38684</v>
      </c>
      <c r="B1047" s="1">
        <f t="shared" si="16"/>
        <v>26</v>
      </c>
    </row>
    <row r="1048" spans="1:2">
      <c r="A1048" s="112">
        <v>38685</v>
      </c>
      <c r="B1048" s="1">
        <f t="shared" si="16"/>
        <v>27</v>
      </c>
    </row>
    <row r="1049" spans="1:2">
      <c r="A1049" s="112">
        <v>38686</v>
      </c>
      <c r="B1049" s="1">
        <f t="shared" si="16"/>
        <v>28</v>
      </c>
    </row>
    <row r="1050" spans="1:2">
      <c r="A1050" s="112">
        <v>38687</v>
      </c>
      <c r="B1050" s="1">
        <f t="shared" si="16"/>
        <v>0</v>
      </c>
    </row>
    <row r="1051" spans="1:2">
      <c r="A1051" s="112">
        <v>38688</v>
      </c>
      <c r="B1051" s="1">
        <f t="shared" si="16"/>
        <v>1</v>
      </c>
    </row>
    <row r="1052" spans="1:2">
      <c r="A1052" s="112">
        <v>38689</v>
      </c>
      <c r="B1052" s="1">
        <f t="shared" si="16"/>
        <v>2</v>
      </c>
    </row>
    <row r="1053" spans="1:2">
      <c r="A1053" s="112">
        <v>38690</v>
      </c>
      <c r="B1053" s="1">
        <f t="shared" si="16"/>
        <v>3</v>
      </c>
    </row>
    <row r="1054" spans="1:2">
      <c r="A1054" s="112">
        <v>38691</v>
      </c>
      <c r="B1054" s="1">
        <f t="shared" si="16"/>
        <v>4</v>
      </c>
    </row>
    <row r="1055" spans="1:2">
      <c r="A1055" s="112">
        <v>38692</v>
      </c>
      <c r="B1055" s="1">
        <f t="shared" si="16"/>
        <v>5</v>
      </c>
    </row>
    <row r="1056" spans="1:2">
      <c r="A1056" s="112">
        <v>38693</v>
      </c>
      <c r="B1056" s="1">
        <f t="shared" si="16"/>
        <v>6</v>
      </c>
    </row>
    <row r="1057" spans="1:2">
      <c r="A1057" s="112">
        <v>38694</v>
      </c>
      <c r="B1057" s="1">
        <f t="shared" si="16"/>
        <v>7</v>
      </c>
    </row>
    <row r="1058" spans="1:2">
      <c r="A1058" s="112">
        <v>38695</v>
      </c>
      <c r="B1058" s="1">
        <f t="shared" si="16"/>
        <v>8</v>
      </c>
    </row>
    <row r="1059" spans="1:2">
      <c r="A1059" s="112">
        <v>38696</v>
      </c>
      <c r="B1059" s="1">
        <f t="shared" si="16"/>
        <v>9</v>
      </c>
    </row>
    <row r="1060" spans="1:2">
      <c r="A1060" s="112">
        <v>38697</v>
      </c>
      <c r="B1060" s="1">
        <f t="shared" si="16"/>
        <v>10</v>
      </c>
    </row>
    <row r="1061" spans="1:2">
      <c r="A1061" s="112">
        <v>38698</v>
      </c>
      <c r="B1061" s="1">
        <f t="shared" si="16"/>
        <v>11</v>
      </c>
    </row>
    <row r="1062" spans="1:2">
      <c r="A1062" s="112">
        <v>38699</v>
      </c>
      <c r="B1062" s="1">
        <f t="shared" si="16"/>
        <v>12</v>
      </c>
    </row>
    <row r="1063" spans="1:2">
      <c r="A1063" s="112">
        <v>38700</v>
      </c>
      <c r="B1063" s="1">
        <f t="shared" si="16"/>
        <v>13</v>
      </c>
    </row>
    <row r="1064" spans="1:2">
      <c r="A1064" s="112">
        <v>38701</v>
      </c>
      <c r="B1064" s="1">
        <f t="shared" si="16"/>
        <v>14</v>
      </c>
    </row>
    <row r="1065" spans="1:2">
      <c r="A1065" s="112">
        <v>38702</v>
      </c>
      <c r="B1065" s="1">
        <f t="shared" si="16"/>
        <v>15</v>
      </c>
    </row>
    <row r="1066" spans="1:2">
      <c r="A1066" s="112">
        <v>38703</v>
      </c>
      <c r="B1066" s="1">
        <f t="shared" si="16"/>
        <v>16</v>
      </c>
    </row>
    <row r="1067" spans="1:2">
      <c r="A1067" s="112">
        <v>38704</v>
      </c>
      <c r="B1067" s="1">
        <f t="shared" si="16"/>
        <v>17</v>
      </c>
    </row>
    <row r="1068" spans="1:2">
      <c r="A1068" s="112">
        <v>38705</v>
      </c>
      <c r="B1068" s="1">
        <f t="shared" si="16"/>
        <v>18</v>
      </c>
    </row>
    <row r="1069" spans="1:2">
      <c r="A1069" s="112">
        <v>38706</v>
      </c>
      <c r="B1069" s="1">
        <f t="shared" si="16"/>
        <v>19</v>
      </c>
    </row>
    <row r="1070" spans="1:2">
      <c r="A1070" s="112">
        <v>38707</v>
      </c>
      <c r="B1070" s="1">
        <f t="shared" si="16"/>
        <v>20</v>
      </c>
    </row>
    <row r="1071" spans="1:2">
      <c r="A1071" s="112">
        <v>38708</v>
      </c>
      <c r="B1071" s="1">
        <f t="shared" si="16"/>
        <v>21</v>
      </c>
    </row>
    <row r="1072" spans="1:2">
      <c r="A1072" s="112">
        <v>38709</v>
      </c>
      <c r="B1072" s="1">
        <f t="shared" si="16"/>
        <v>22</v>
      </c>
    </row>
    <row r="1073" spans="1:2">
      <c r="A1073" s="112">
        <v>38710</v>
      </c>
      <c r="B1073" s="1">
        <f t="shared" si="16"/>
        <v>23</v>
      </c>
    </row>
    <row r="1074" spans="1:2">
      <c r="A1074" s="112">
        <v>38711</v>
      </c>
      <c r="B1074" s="1">
        <f t="shared" si="16"/>
        <v>24</v>
      </c>
    </row>
    <row r="1075" spans="1:2">
      <c r="A1075" s="112">
        <v>38712</v>
      </c>
      <c r="B1075" s="1">
        <f t="shared" si="16"/>
        <v>25</v>
      </c>
    </row>
    <row r="1076" spans="1:2">
      <c r="A1076" s="112">
        <v>38713</v>
      </c>
      <c r="B1076" s="1">
        <f t="shared" si="16"/>
        <v>26</v>
      </c>
    </row>
    <row r="1077" spans="1:2">
      <c r="A1077" s="112">
        <v>38714</v>
      </c>
      <c r="B1077" s="1">
        <f t="shared" si="16"/>
        <v>27</v>
      </c>
    </row>
    <row r="1078" spans="1:2">
      <c r="A1078" s="112">
        <v>38715</v>
      </c>
      <c r="B1078" s="1">
        <f t="shared" si="16"/>
        <v>28</v>
      </c>
    </row>
    <row r="1079" spans="1:2">
      <c r="A1079" s="112">
        <v>38716</v>
      </c>
      <c r="B1079" s="1">
        <f t="shared" si="16"/>
        <v>29</v>
      </c>
    </row>
    <row r="1080" spans="1:2">
      <c r="A1080" s="112">
        <v>38717</v>
      </c>
      <c r="B1080" s="1">
        <f t="shared" si="16"/>
        <v>0</v>
      </c>
    </row>
    <row r="1081" spans="1:2">
      <c r="A1081" s="112">
        <v>38718</v>
      </c>
      <c r="B1081" s="1">
        <f t="shared" si="16"/>
        <v>1</v>
      </c>
    </row>
    <row r="1082" spans="1:2">
      <c r="A1082" s="112">
        <v>38719</v>
      </c>
      <c r="B1082" s="1">
        <f t="shared" si="16"/>
        <v>2</v>
      </c>
    </row>
    <row r="1083" spans="1:2">
      <c r="A1083" s="112">
        <v>38720</v>
      </c>
      <c r="B1083" s="1">
        <f t="shared" si="16"/>
        <v>3</v>
      </c>
    </row>
    <row r="1084" spans="1:2">
      <c r="A1084" s="112">
        <v>38721</v>
      </c>
      <c r="B1084" s="1">
        <f t="shared" si="16"/>
        <v>4</v>
      </c>
    </row>
    <row r="1085" spans="1:2">
      <c r="A1085" s="112">
        <v>38722</v>
      </c>
      <c r="B1085" s="1">
        <f t="shared" si="16"/>
        <v>5</v>
      </c>
    </row>
    <row r="1086" spans="1:2">
      <c r="A1086" s="112">
        <v>38723</v>
      </c>
      <c r="B1086" s="1">
        <f t="shared" si="16"/>
        <v>6</v>
      </c>
    </row>
    <row r="1087" spans="1:2">
      <c r="A1087" s="112">
        <v>38724</v>
      </c>
      <c r="B1087" s="1">
        <f t="shared" si="16"/>
        <v>7</v>
      </c>
    </row>
    <row r="1088" spans="1:2">
      <c r="A1088" s="112">
        <v>38725</v>
      </c>
      <c r="B1088" s="1">
        <f t="shared" si="16"/>
        <v>8</v>
      </c>
    </row>
    <row r="1089" spans="1:2">
      <c r="A1089" s="112">
        <v>38726</v>
      </c>
      <c r="B1089" s="1">
        <f t="shared" si="16"/>
        <v>9</v>
      </c>
    </row>
    <row r="1090" spans="1:2">
      <c r="A1090" s="112">
        <v>38727</v>
      </c>
      <c r="B1090" s="1">
        <f t="shared" si="16"/>
        <v>10</v>
      </c>
    </row>
    <row r="1091" spans="1:2">
      <c r="A1091" s="112">
        <v>38728</v>
      </c>
      <c r="B1091" s="1">
        <f t="shared" ref="B1091:B1154" si="17">INT(MOD($G$2+A1091-$F$2,29.53))</f>
        <v>11</v>
      </c>
    </row>
    <row r="1092" spans="1:2">
      <c r="A1092" s="112">
        <v>38729</v>
      </c>
      <c r="B1092" s="1">
        <f t="shared" si="17"/>
        <v>12</v>
      </c>
    </row>
    <row r="1093" spans="1:2">
      <c r="A1093" s="112">
        <v>38730</v>
      </c>
      <c r="B1093" s="1">
        <f t="shared" si="17"/>
        <v>13</v>
      </c>
    </row>
    <row r="1094" spans="1:2">
      <c r="A1094" s="112">
        <v>38731</v>
      </c>
      <c r="B1094" s="1">
        <f t="shared" si="17"/>
        <v>14</v>
      </c>
    </row>
    <row r="1095" spans="1:2">
      <c r="A1095" s="112">
        <v>38732</v>
      </c>
      <c r="B1095" s="1">
        <f t="shared" si="17"/>
        <v>15</v>
      </c>
    </row>
    <row r="1096" spans="1:2">
      <c r="A1096" s="112">
        <v>38733</v>
      </c>
      <c r="B1096" s="1">
        <f t="shared" si="17"/>
        <v>16</v>
      </c>
    </row>
    <row r="1097" spans="1:2">
      <c r="A1097" s="112">
        <v>38734</v>
      </c>
      <c r="B1097" s="1">
        <f t="shared" si="17"/>
        <v>17</v>
      </c>
    </row>
    <row r="1098" spans="1:2">
      <c r="A1098" s="112">
        <v>38735</v>
      </c>
      <c r="B1098" s="1">
        <f t="shared" si="17"/>
        <v>18</v>
      </c>
    </row>
    <row r="1099" spans="1:2">
      <c r="A1099" s="112">
        <v>38736</v>
      </c>
      <c r="B1099" s="1">
        <f t="shared" si="17"/>
        <v>19</v>
      </c>
    </row>
    <row r="1100" spans="1:2">
      <c r="A1100" s="112">
        <v>38737</v>
      </c>
      <c r="B1100" s="1">
        <f t="shared" si="17"/>
        <v>20</v>
      </c>
    </row>
    <row r="1101" spans="1:2">
      <c r="A1101" s="112">
        <v>38738</v>
      </c>
      <c r="B1101" s="1">
        <f t="shared" si="17"/>
        <v>21</v>
      </c>
    </row>
    <row r="1102" spans="1:2">
      <c r="A1102" s="112">
        <v>38739</v>
      </c>
      <c r="B1102" s="1">
        <f t="shared" si="17"/>
        <v>22</v>
      </c>
    </row>
    <row r="1103" spans="1:2">
      <c r="A1103" s="112">
        <v>38740</v>
      </c>
      <c r="B1103" s="1">
        <f t="shared" si="17"/>
        <v>23</v>
      </c>
    </row>
    <row r="1104" spans="1:2">
      <c r="A1104" s="112">
        <v>38741</v>
      </c>
      <c r="B1104" s="1">
        <f t="shared" si="17"/>
        <v>24</v>
      </c>
    </row>
    <row r="1105" spans="1:2">
      <c r="A1105" s="112">
        <v>38742</v>
      </c>
      <c r="B1105" s="1">
        <f t="shared" si="17"/>
        <v>25</v>
      </c>
    </row>
    <row r="1106" spans="1:2">
      <c r="A1106" s="112">
        <v>38743</v>
      </c>
      <c r="B1106" s="1">
        <f t="shared" si="17"/>
        <v>26</v>
      </c>
    </row>
    <row r="1107" spans="1:2">
      <c r="A1107" s="112">
        <v>38744</v>
      </c>
      <c r="B1107" s="1">
        <f t="shared" si="17"/>
        <v>27</v>
      </c>
    </row>
    <row r="1108" spans="1:2">
      <c r="A1108" s="112">
        <v>38745</v>
      </c>
      <c r="B1108" s="1">
        <f t="shared" si="17"/>
        <v>28</v>
      </c>
    </row>
    <row r="1109" spans="1:2">
      <c r="A1109" s="112">
        <v>38746</v>
      </c>
      <c r="B1109" s="1">
        <f t="shared" si="17"/>
        <v>0</v>
      </c>
    </row>
    <row r="1110" spans="1:2">
      <c r="A1110" s="112">
        <v>38747</v>
      </c>
      <c r="B1110" s="1">
        <f t="shared" si="17"/>
        <v>1</v>
      </c>
    </row>
    <row r="1111" spans="1:2">
      <c r="A1111" s="112">
        <v>38748</v>
      </c>
      <c r="B1111" s="1">
        <f t="shared" si="17"/>
        <v>2</v>
      </c>
    </row>
    <row r="1112" spans="1:2">
      <c r="A1112" s="112">
        <v>38749</v>
      </c>
      <c r="B1112" s="1">
        <f t="shared" si="17"/>
        <v>3</v>
      </c>
    </row>
    <row r="1113" spans="1:2">
      <c r="A1113" s="112">
        <v>38750</v>
      </c>
      <c r="B1113" s="1">
        <f t="shared" si="17"/>
        <v>4</v>
      </c>
    </row>
    <row r="1114" spans="1:2">
      <c r="A1114" s="112">
        <v>38751</v>
      </c>
      <c r="B1114" s="1">
        <f t="shared" si="17"/>
        <v>5</v>
      </c>
    </row>
    <row r="1115" spans="1:2">
      <c r="A1115" s="112">
        <v>38752</v>
      </c>
      <c r="B1115" s="1">
        <f t="shared" si="17"/>
        <v>6</v>
      </c>
    </row>
    <row r="1116" spans="1:2">
      <c r="A1116" s="112">
        <v>38753</v>
      </c>
      <c r="B1116" s="1">
        <f t="shared" si="17"/>
        <v>7</v>
      </c>
    </row>
    <row r="1117" spans="1:2">
      <c r="A1117" s="112">
        <v>38754</v>
      </c>
      <c r="B1117" s="1">
        <f t="shared" si="17"/>
        <v>8</v>
      </c>
    </row>
    <row r="1118" spans="1:2">
      <c r="A1118" s="112">
        <v>38755</v>
      </c>
      <c r="B1118" s="1">
        <f t="shared" si="17"/>
        <v>9</v>
      </c>
    </row>
    <row r="1119" spans="1:2">
      <c r="A1119" s="112">
        <v>38756</v>
      </c>
      <c r="B1119" s="1">
        <f t="shared" si="17"/>
        <v>10</v>
      </c>
    </row>
    <row r="1120" spans="1:2">
      <c r="A1120" s="112">
        <v>38757</v>
      </c>
      <c r="B1120" s="1">
        <f t="shared" si="17"/>
        <v>11</v>
      </c>
    </row>
    <row r="1121" spans="1:2">
      <c r="A1121" s="112">
        <v>38758</v>
      </c>
      <c r="B1121" s="1">
        <f t="shared" si="17"/>
        <v>12</v>
      </c>
    </row>
    <row r="1122" spans="1:2">
      <c r="A1122" s="112">
        <v>38759</v>
      </c>
      <c r="B1122" s="1">
        <f t="shared" si="17"/>
        <v>13</v>
      </c>
    </row>
    <row r="1123" spans="1:2">
      <c r="A1123" s="112">
        <v>38760</v>
      </c>
      <c r="B1123" s="1">
        <f t="shared" si="17"/>
        <v>14</v>
      </c>
    </row>
    <row r="1124" spans="1:2">
      <c r="A1124" s="112">
        <v>38761</v>
      </c>
      <c r="B1124" s="1">
        <f t="shared" si="17"/>
        <v>15</v>
      </c>
    </row>
    <row r="1125" spans="1:2">
      <c r="A1125" s="112">
        <v>38762</v>
      </c>
      <c r="B1125" s="1">
        <f t="shared" si="17"/>
        <v>16</v>
      </c>
    </row>
    <row r="1126" spans="1:2">
      <c r="A1126" s="112">
        <v>38763</v>
      </c>
      <c r="B1126" s="1">
        <f t="shared" si="17"/>
        <v>17</v>
      </c>
    </row>
    <row r="1127" spans="1:2">
      <c r="A1127" s="112">
        <v>38764</v>
      </c>
      <c r="B1127" s="1">
        <f t="shared" si="17"/>
        <v>18</v>
      </c>
    </row>
    <row r="1128" spans="1:2">
      <c r="A1128" s="112">
        <v>38765</v>
      </c>
      <c r="B1128" s="1">
        <f t="shared" si="17"/>
        <v>19</v>
      </c>
    </row>
    <row r="1129" spans="1:2">
      <c r="A1129" s="112">
        <v>38766</v>
      </c>
      <c r="B1129" s="1">
        <f t="shared" si="17"/>
        <v>20</v>
      </c>
    </row>
    <row r="1130" spans="1:2">
      <c r="A1130" s="112">
        <v>38767</v>
      </c>
      <c r="B1130" s="1">
        <f t="shared" si="17"/>
        <v>21</v>
      </c>
    </row>
    <row r="1131" spans="1:2">
      <c r="A1131" s="112">
        <v>38768</v>
      </c>
      <c r="B1131" s="1">
        <f t="shared" si="17"/>
        <v>22</v>
      </c>
    </row>
    <row r="1132" spans="1:2">
      <c r="A1132" s="112">
        <v>38769</v>
      </c>
      <c r="B1132" s="1">
        <f t="shared" si="17"/>
        <v>23</v>
      </c>
    </row>
    <row r="1133" spans="1:2">
      <c r="A1133" s="112">
        <v>38770</v>
      </c>
      <c r="B1133" s="1">
        <f t="shared" si="17"/>
        <v>24</v>
      </c>
    </row>
    <row r="1134" spans="1:2">
      <c r="A1134" s="112">
        <v>38771</v>
      </c>
      <c r="B1134" s="1">
        <f t="shared" si="17"/>
        <v>25</v>
      </c>
    </row>
    <row r="1135" spans="1:2">
      <c r="A1135" s="112">
        <v>38772</v>
      </c>
      <c r="B1135" s="1">
        <f t="shared" si="17"/>
        <v>26</v>
      </c>
    </row>
    <row r="1136" spans="1:2">
      <c r="A1136" s="112">
        <v>38773</v>
      </c>
      <c r="B1136" s="1">
        <f t="shared" si="17"/>
        <v>27</v>
      </c>
    </row>
    <row r="1137" spans="1:2">
      <c r="A1137" s="112">
        <v>38774</v>
      </c>
      <c r="B1137" s="1">
        <f t="shared" si="17"/>
        <v>28</v>
      </c>
    </row>
    <row r="1138" spans="1:2">
      <c r="A1138" s="112">
        <v>38775</v>
      </c>
      <c r="B1138" s="1">
        <f t="shared" si="17"/>
        <v>29</v>
      </c>
    </row>
    <row r="1139" spans="1:2">
      <c r="A1139" s="112">
        <v>38776</v>
      </c>
      <c r="B1139" s="1">
        <f t="shared" si="17"/>
        <v>0</v>
      </c>
    </row>
    <row r="1140" spans="1:2">
      <c r="A1140" s="112">
        <v>38777</v>
      </c>
      <c r="B1140" s="1">
        <f t="shared" si="17"/>
        <v>1</v>
      </c>
    </row>
    <row r="1141" spans="1:2">
      <c r="A1141" s="112">
        <v>38778</v>
      </c>
      <c r="B1141" s="1">
        <f t="shared" si="17"/>
        <v>2</v>
      </c>
    </row>
    <row r="1142" spans="1:2">
      <c r="A1142" s="112">
        <v>38779</v>
      </c>
      <c r="B1142" s="1">
        <f t="shared" si="17"/>
        <v>3</v>
      </c>
    </row>
    <row r="1143" spans="1:2">
      <c r="A1143" s="112">
        <v>38780</v>
      </c>
      <c r="B1143" s="1">
        <f t="shared" si="17"/>
        <v>4</v>
      </c>
    </row>
    <row r="1144" spans="1:2">
      <c r="A1144" s="112">
        <v>38781</v>
      </c>
      <c r="B1144" s="1">
        <f t="shared" si="17"/>
        <v>5</v>
      </c>
    </row>
    <row r="1145" spans="1:2">
      <c r="A1145" s="112">
        <v>38782</v>
      </c>
      <c r="B1145" s="1">
        <f t="shared" si="17"/>
        <v>6</v>
      </c>
    </row>
    <row r="1146" spans="1:2">
      <c r="A1146" s="112">
        <v>38783</v>
      </c>
      <c r="B1146" s="1">
        <f t="shared" si="17"/>
        <v>7</v>
      </c>
    </row>
    <row r="1147" spans="1:2">
      <c r="A1147" s="112">
        <v>38784</v>
      </c>
      <c r="B1147" s="1">
        <f t="shared" si="17"/>
        <v>8</v>
      </c>
    </row>
    <row r="1148" spans="1:2">
      <c r="A1148" s="112">
        <v>38785</v>
      </c>
      <c r="B1148" s="1">
        <f t="shared" si="17"/>
        <v>9</v>
      </c>
    </row>
    <row r="1149" spans="1:2">
      <c r="A1149" s="112">
        <v>38786</v>
      </c>
      <c r="B1149" s="1">
        <f t="shared" si="17"/>
        <v>10</v>
      </c>
    </row>
    <row r="1150" spans="1:2">
      <c r="A1150" s="112">
        <v>38787</v>
      </c>
      <c r="B1150" s="1">
        <f t="shared" si="17"/>
        <v>11</v>
      </c>
    </row>
    <row r="1151" spans="1:2">
      <c r="A1151" s="112">
        <v>38788</v>
      </c>
      <c r="B1151" s="1">
        <f t="shared" si="17"/>
        <v>12</v>
      </c>
    </row>
    <row r="1152" spans="1:2">
      <c r="A1152" s="112">
        <v>38789</v>
      </c>
      <c r="B1152" s="1">
        <f t="shared" si="17"/>
        <v>13</v>
      </c>
    </row>
    <row r="1153" spans="1:2">
      <c r="A1153" s="112">
        <v>38790</v>
      </c>
      <c r="B1153" s="1">
        <f t="shared" si="17"/>
        <v>14</v>
      </c>
    </row>
    <row r="1154" spans="1:2">
      <c r="A1154" s="112">
        <v>38791</v>
      </c>
      <c r="B1154" s="1">
        <f t="shared" si="17"/>
        <v>15</v>
      </c>
    </row>
    <row r="1155" spans="1:2">
      <c r="A1155" s="112">
        <v>38792</v>
      </c>
      <c r="B1155" s="1">
        <f t="shared" ref="B1155:B1218" si="18">INT(MOD($G$2+A1155-$F$2,29.53))</f>
        <v>16</v>
      </c>
    </row>
    <row r="1156" spans="1:2">
      <c r="A1156" s="112">
        <v>38793</v>
      </c>
      <c r="B1156" s="1">
        <f t="shared" si="18"/>
        <v>17</v>
      </c>
    </row>
    <row r="1157" spans="1:2">
      <c r="A1157" s="112">
        <v>38794</v>
      </c>
      <c r="B1157" s="1">
        <f t="shared" si="18"/>
        <v>18</v>
      </c>
    </row>
    <row r="1158" spans="1:2">
      <c r="A1158" s="112">
        <v>38795</v>
      </c>
      <c r="B1158" s="1">
        <f t="shared" si="18"/>
        <v>19</v>
      </c>
    </row>
    <row r="1159" spans="1:2">
      <c r="A1159" s="112">
        <v>38796</v>
      </c>
      <c r="B1159" s="1">
        <f t="shared" si="18"/>
        <v>20</v>
      </c>
    </row>
    <row r="1160" spans="1:2">
      <c r="A1160" s="112">
        <v>38797</v>
      </c>
      <c r="B1160" s="1">
        <f t="shared" si="18"/>
        <v>21</v>
      </c>
    </row>
    <row r="1161" spans="1:2">
      <c r="A1161" s="112">
        <v>38798</v>
      </c>
      <c r="B1161" s="1">
        <f t="shared" si="18"/>
        <v>22</v>
      </c>
    </row>
    <row r="1162" spans="1:2">
      <c r="A1162" s="112">
        <v>38799</v>
      </c>
      <c r="B1162" s="1">
        <f t="shared" si="18"/>
        <v>23</v>
      </c>
    </row>
    <row r="1163" spans="1:2">
      <c r="A1163" s="112">
        <v>38800</v>
      </c>
      <c r="B1163" s="1">
        <f t="shared" si="18"/>
        <v>24</v>
      </c>
    </row>
    <row r="1164" spans="1:2">
      <c r="A1164" s="112">
        <v>38801</v>
      </c>
      <c r="B1164" s="1">
        <f t="shared" si="18"/>
        <v>25</v>
      </c>
    </row>
    <row r="1165" spans="1:2">
      <c r="A1165" s="112">
        <v>38802</v>
      </c>
      <c r="B1165" s="1">
        <f t="shared" si="18"/>
        <v>26</v>
      </c>
    </row>
    <row r="1166" spans="1:2">
      <c r="A1166" s="112">
        <v>38803</v>
      </c>
      <c r="B1166" s="1">
        <f t="shared" si="18"/>
        <v>27</v>
      </c>
    </row>
    <row r="1167" spans="1:2">
      <c r="A1167" s="112">
        <v>38804</v>
      </c>
      <c r="B1167" s="1">
        <f t="shared" si="18"/>
        <v>28</v>
      </c>
    </row>
    <row r="1168" spans="1:2">
      <c r="A1168" s="112">
        <v>38805</v>
      </c>
      <c r="B1168" s="1">
        <f t="shared" si="18"/>
        <v>29</v>
      </c>
    </row>
    <row r="1169" spans="1:2">
      <c r="A1169" s="112">
        <v>38806</v>
      </c>
      <c r="B1169" s="1">
        <f t="shared" si="18"/>
        <v>0</v>
      </c>
    </row>
    <row r="1170" spans="1:2">
      <c r="A1170" s="112">
        <v>38807</v>
      </c>
      <c r="B1170" s="1">
        <f t="shared" si="18"/>
        <v>1</v>
      </c>
    </row>
    <row r="1171" spans="1:2">
      <c r="A1171" s="112">
        <v>38808</v>
      </c>
      <c r="B1171" s="1">
        <f t="shared" si="18"/>
        <v>2</v>
      </c>
    </row>
    <row r="1172" spans="1:2">
      <c r="A1172" s="112">
        <v>38809</v>
      </c>
      <c r="B1172" s="1">
        <f t="shared" si="18"/>
        <v>3</v>
      </c>
    </row>
    <row r="1173" spans="1:2">
      <c r="A1173" s="112">
        <v>38810</v>
      </c>
      <c r="B1173" s="1">
        <f t="shared" si="18"/>
        <v>4</v>
      </c>
    </row>
    <row r="1174" spans="1:2">
      <c r="A1174" s="112">
        <v>38811</v>
      </c>
      <c r="B1174" s="1">
        <f t="shared" si="18"/>
        <v>5</v>
      </c>
    </row>
    <row r="1175" spans="1:2">
      <c r="A1175" s="112">
        <v>38812</v>
      </c>
      <c r="B1175" s="1">
        <f t="shared" si="18"/>
        <v>6</v>
      </c>
    </row>
    <row r="1176" spans="1:2">
      <c r="A1176" s="112">
        <v>38813</v>
      </c>
      <c r="B1176" s="1">
        <f t="shared" si="18"/>
        <v>7</v>
      </c>
    </row>
    <row r="1177" spans="1:2">
      <c r="A1177" s="112">
        <v>38814</v>
      </c>
      <c r="B1177" s="1">
        <f t="shared" si="18"/>
        <v>8</v>
      </c>
    </row>
    <row r="1178" spans="1:2">
      <c r="A1178" s="112">
        <v>38815</v>
      </c>
      <c r="B1178" s="1">
        <f t="shared" si="18"/>
        <v>9</v>
      </c>
    </row>
    <row r="1179" spans="1:2">
      <c r="A1179" s="112">
        <v>38816</v>
      </c>
      <c r="B1179" s="1">
        <f t="shared" si="18"/>
        <v>10</v>
      </c>
    </row>
    <row r="1180" spans="1:2">
      <c r="A1180" s="112">
        <v>38817</v>
      </c>
      <c r="B1180" s="1">
        <f t="shared" si="18"/>
        <v>11</v>
      </c>
    </row>
    <row r="1181" spans="1:2">
      <c r="A1181" s="112">
        <v>38818</v>
      </c>
      <c r="B1181" s="1">
        <f t="shared" si="18"/>
        <v>12</v>
      </c>
    </row>
    <row r="1182" spans="1:2">
      <c r="A1182" s="112">
        <v>38819</v>
      </c>
      <c r="B1182" s="1">
        <f t="shared" si="18"/>
        <v>13</v>
      </c>
    </row>
    <row r="1183" spans="1:2">
      <c r="A1183" s="112">
        <v>38820</v>
      </c>
      <c r="B1183" s="1">
        <f t="shared" si="18"/>
        <v>14</v>
      </c>
    </row>
    <row r="1184" spans="1:2">
      <c r="A1184" s="112">
        <v>38821</v>
      </c>
      <c r="B1184" s="1">
        <f t="shared" si="18"/>
        <v>15</v>
      </c>
    </row>
    <row r="1185" spans="1:2">
      <c r="A1185" s="112">
        <v>38822</v>
      </c>
      <c r="B1185" s="1">
        <f t="shared" si="18"/>
        <v>16</v>
      </c>
    </row>
    <row r="1186" spans="1:2">
      <c r="A1186" s="112">
        <v>38823</v>
      </c>
      <c r="B1186" s="1">
        <f t="shared" si="18"/>
        <v>17</v>
      </c>
    </row>
    <row r="1187" spans="1:2">
      <c r="A1187" s="112">
        <v>38824</v>
      </c>
      <c r="B1187" s="1">
        <f t="shared" si="18"/>
        <v>18</v>
      </c>
    </row>
    <row r="1188" spans="1:2">
      <c r="A1188" s="112">
        <v>38825</v>
      </c>
      <c r="B1188" s="1">
        <f t="shared" si="18"/>
        <v>19</v>
      </c>
    </row>
    <row r="1189" spans="1:2">
      <c r="A1189" s="112">
        <v>38826</v>
      </c>
      <c r="B1189" s="1">
        <f t="shared" si="18"/>
        <v>20</v>
      </c>
    </row>
    <row r="1190" spans="1:2">
      <c r="A1190" s="112">
        <v>38827</v>
      </c>
      <c r="B1190" s="1">
        <f t="shared" si="18"/>
        <v>21</v>
      </c>
    </row>
    <row r="1191" spans="1:2">
      <c r="A1191" s="112">
        <v>38828</v>
      </c>
      <c r="B1191" s="1">
        <f t="shared" si="18"/>
        <v>22</v>
      </c>
    </row>
    <row r="1192" spans="1:2">
      <c r="A1192" s="112">
        <v>38829</v>
      </c>
      <c r="B1192" s="1">
        <f t="shared" si="18"/>
        <v>23</v>
      </c>
    </row>
    <row r="1193" spans="1:2">
      <c r="A1193" s="112">
        <v>38830</v>
      </c>
      <c r="B1193" s="1">
        <f t="shared" si="18"/>
        <v>24</v>
      </c>
    </row>
    <row r="1194" spans="1:2">
      <c r="A1194" s="112">
        <v>38831</v>
      </c>
      <c r="B1194" s="1">
        <f t="shared" si="18"/>
        <v>25</v>
      </c>
    </row>
    <row r="1195" spans="1:2">
      <c r="A1195" s="112">
        <v>38832</v>
      </c>
      <c r="B1195" s="1">
        <f t="shared" si="18"/>
        <v>26</v>
      </c>
    </row>
    <row r="1196" spans="1:2">
      <c r="A1196" s="112">
        <v>38833</v>
      </c>
      <c r="B1196" s="1">
        <f t="shared" si="18"/>
        <v>27</v>
      </c>
    </row>
    <row r="1197" spans="1:2">
      <c r="A1197" s="112">
        <v>38834</v>
      </c>
      <c r="B1197" s="1">
        <f t="shared" si="18"/>
        <v>28</v>
      </c>
    </row>
    <row r="1198" spans="1:2">
      <c r="A1198" s="112">
        <v>38835</v>
      </c>
      <c r="B1198" s="1">
        <f t="shared" si="18"/>
        <v>0</v>
      </c>
    </row>
    <row r="1199" spans="1:2">
      <c r="A1199" s="112">
        <v>38836</v>
      </c>
      <c r="B1199" s="1">
        <f t="shared" si="18"/>
        <v>1</v>
      </c>
    </row>
    <row r="1200" spans="1:2">
      <c r="A1200" s="112">
        <v>38837</v>
      </c>
      <c r="B1200" s="1">
        <f t="shared" si="18"/>
        <v>2</v>
      </c>
    </row>
    <row r="1201" spans="1:2">
      <c r="A1201" s="112">
        <v>38838</v>
      </c>
      <c r="B1201" s="1">
        <f t="shared" si="18"/>
        <v>3</v>
      </c>
    </row>
    <row r="1202" spans="1:2">
      <c r="A1202" s="112">
        <v>38839</v>
      </c>
      <c r="B1202" s="1">
        <f t="shared" si="18"/>
        <v>4</v>
      </c>
    </row>
    <row r="1203" spans="1:2">
      <c r="A1203" s="112">
        <v>38840</v>
      </c>
      <c r="B1203" s="1">
        <f t="shared" si="18"/>
        <v>5</v>
      </c>
    </row>
    <row r="1204" spans="1:2">
      <c r="A1204" s="112">
        <v>38841</v>
      </c>
      <c r="B1204" s="1">
        <f t="shared" si="18"/>
        <v>6</v>
      </c>
    </row>
    <row r="1205" spans="1:2">
      <c r="A1205" s="112">
        <v>38842</v>
      </c>
      <c r="B1205" s="1">
        <f t="shared" si="18"/>
        <v>7</v>
      </c>
    </row>
    <row r="1206" spans="1:2">
      <c r="A1206" s="112">
        <v>38843</v>
      </c>
      <c r="B1206" s="1">
        <f t="shared" si="18"/>
        <v>8</v>
      </c>
    </row>
    <row r="1207" spans="1:2">
      <c r="A1207" s="112">
        <v>38844</v>
      </c>
      <c r="B1207" s="1">
        <f t="shared" si="18"/>
        <v>9</v>
      </c>
    </row>
    <row r="1208" spans="1:2">
      <c r="A1208" s="112">
        <v>38845</v>
      </c>
      <c r="B1208" s="1">
        <f t="shared" si="18"/>
        <v>10</v>
      </c>
    </row>
    <row r="1209" spans="1:2">
      <c r="A1209" s="112">
        <v>38846</v>
      </c>
      <c r="B1209" s="1">
        <f t="shared" si="18"/>
        <v>11</v>
      </c>
    </row>
    <row r="1210" spans="1:2">
      <c r="A1210" s="112">
        <v>38847</v>
      </c>
      <c r="B1210" s="1">
        <f t="shared" si="18"/>
        <v>12</v>
      </c>
    </row>
    <row r="1211" spans="1:2">
      <c r="A1211" s="112">
        <v>38848</v>
      </c>
      <c r="B1211" s="1">
        <f t="shared" si="18"/>
        <v>13</v>
      </c>
    </row>
    <row r="1212" spans="1:2">
      <c r="A1212" s="112">
        <v>38849</v>
      </c>
      <c r="B1212" s="1">
        <f t="shared" si="18"/>
        <v>14</v>
      </c>
    </row>
    <row r="1213" spans="1:2">
      <c r="A1213" s="112">
        <v>38850</v>
      </c>
      <c r="B1213" s="1">
        <f t="shared" si="18"/>
        <v>15</v>
      </c>
    </row>
    <row r="1214" spans="1:2">
      <c r="A1214" s="112">
        <v>38851</v>
      </c>
      <c r="B1214" s="1">
        <f t="shared" si="18"/>
        <v>16</v>
      </c>
    </row>
    <row r="1215" spans="1:2">
      <c r="A1215" s="112">
        <v>38852</v>
      </c>
      <c r="B1215" s="1">
        <f t="shared" si="18"/>
        <v>17</v>
      </c>
    </row>
    <row r="1216" spans="1:2">
      <c r="A1216" s="112">
        <v>38853</v>
      </c>
      <c r="B1216" s="1">
        <f t="shared" si="18"/>
        <v>18</v>
      </c>
    </row>
    <row r="1217" spans="1:2">
      <c r="A1217" s="112">
        <v>38854</v>
      </c>
      <c r="B1217" s="1">
        <f t="shared" si="18"/>
        <v>19</v>
      </c>
    </row>
    <row r="1218" spans="1:2">
      <c r="A1218" s="112">
        <v>38855</v>
      </c>
      <c r="B1218" s="1">
        <f t="shared" si="18"/>
        <v>20</v>
      </c>
    </row>
    <row r="1219" spans="1:2">
      <c r="A1219" s="112">
        <v>38856</v>
      </c>
      <c r="B1219" s="1">
        <f t="shared" ref="B1219:B1282" si="19">INT(MOD($G$2+A1219-$F$2,29.53))</f>
        <v>21</v>
      </c>
    </row>
    <row r="1220" spans="1:2">
      <c r="A1220" s="112">
        <v>38857</v>
      </c>
      <c r="B1220" s="1">
        <f t="shared" si="19"/>
        <v>22</v>
      </c>
    </row>
    <row r="1221" spans="1:2">
      <c r="A1221" s="112">
        <v>38858</v>
      </c>
      <c r="B1221" s="1">
        <f t="shared" si="19"/>
        <v>23</v>
      </c>
    </row>
    <row r="1222" spans="1:2">
      <c r="A1222" s="112">
        <v>38859</v>
      </c>
      <c r="B1222" s="1">
        <f t="shared" si="19"/>
        <v>24</v>
      </c>
    </row>
    <row r="1223" spans="1:2">
      <c r="A1223" s="112">
        <v>38860</v>
      </c>
      <c r="B1223" s="1">
        <f t="shared" si="19"/>
        <v>25</v>
      </c>
    </row>
    <row r="1224" spans="1:2">
      <c r="A1224" s="112">
        <v>38861</v>
      </c>
      <c r="B1224" s="1">
        <f t="shared" si="19"/>
        <v>26</v>
      </c>
    </row>
    <row r="1225" spans="1:2">
      <c r="A1225" s="112">
        <v>38862</v>
      </c>
      <c r="B1225" s="1">
        <f t="shared" si="19"/>
        <v>27</v>
      </c>
    </row>
    <row r="1226" spans="1:2">
      <c r="A1226" s="112">
        <v>38863</v>
      </c>
      <c r="B1226" s="1">
        <f t="shared" si="19"/>
        <v>28</v>
      </c>
    </row>
    <row r="1227" spans="1:2">
      <c r="A1227" s="112">
        <v>38864</v>
      </c>
      <c r="B1227" s="1">
        <f t="shared" si="19"/>
        <v>29</v>
      </c>
    </row>
    <row r="1228" spans="1:2">
      <c r="A1228" s="112">
        <v>38865</v>
      </c>
      <c r="B1228" s="1">
        <f t="shared" si="19"/>
        <v>0</v>
      </c>
    </row>
    <row r="1229" spans="1:2">
      <c r="A1229" s="112">
        <v>38866</v>
      </c>
      <c r="B1229" s="1">
        <f t="shared" si="19"/>
        <v>1</v>
      </c>
    </row>
    <row r="1230" spans="1:2">
      <c r="A1230" s="112">
        <v>38867</v>
      </c>
      <c r="B1230" s="1">
        <f t="shared" si="19"/>
        <v>2</v>
      </c>
    </row>
    <row r="1231" spans="1:2">
      <c r="A1231" s="112">
        <v>38868</v>
      </c>
      <c r="B1231" s="1">
        <f t="shared" si="19"/>
        <v>3</v>
      </c>
    </row>
    <row r="1232" spans="1:2">
      <c r="A1232" s="112">
        <v>38869</v>
      </c>
      <c r="B1232" s="1">
        <f t="shared" si="19"/>
        <v>4</v>
      </c>
    </row>
    <row r="1233" spans="1:2">
      <c r="A1233" s="112">
        <v>38870</v>
      </c>
      <c r="B1233" s="1">
        <f t="shared" si="19"/>
        <v>5</v>
      </c>
    </row>
    <row r="1234" spans="1:2">
      <c r="A1234" s="112">
        <v>38871</v>
      </c>
      <c r="B1234" s="1">
        <f t="shared" si="19"/>
        <v>6</v>
      </c>
    </row>
    <row r="1235" spans="1:2">
      <c r="A1235" s="112">
        <v>38872</v>
      </c>
      <c r="B1235" s="1">
        <f t="shared" si="19"/>
        <v>7</v>
      </c>
    </row>
    <row r="1236" spans="1:2">
      <c r="A1236" s="112">
        <v>38873</v>
      </c>
      <c r="B1236" s="1">
        <f t="shared" si="19"/>
        <v>8</v>
      </c>
    </row>
    <row r="1237" spans="1:2">
      <c r="A1237" s="112">
        <v>38874</v>
      </c>
      <c r="B1237" s="1">
        <f t="shared" si="19"/>
        <v>9</v>
      </c>
    </row>
    <row r="1238" spans="1:2">
      <c r="A1238" s="112">
        <v>38875</v>
      </c>
      <c r="B1238" s="1">
        <f t="shared" si="19"/>
        <v>10</v>
      </c>
    </row>
    <row r="1239" spans="1:2">
      <c r="A1239" s="112">
        <v>38876</v>
      </c>
      <c r="B1239" s="1">
        <f t="shared" si="19"/>
        <v>11</v>
      </c>
    </row>
    <row r="1240" spans="1:2">
      <c r="A1240" s="112">
        <v>38877</v>
      </c>
      <c r="B1240" s="1">
        <f t="shared" si="19"/>
        <v>12</v>
      </c>
    </row>
    <row r="1241" spans="1:2">
      <c r="A1241" s="112">
        <v>38878</v>
      </c>
      <c r="B1241" s="1">
        <f t="shared" si="19"/>
        <v>13</v>
      </c>
    </row>
    <row r="1242" spans="1:2">
      <c r="A1242" s="112">
        <v>38879</v>
      </c>
      <c r="B1242" s="1">
        <f t="shared" si="19"/>
        <v>14</v>
      </c>
    </row>
    <row r="1243" spans="1:2">
      <c r="A1243" s="112">
        <v>38880</v>
      </c>
      <c r="B1243" s="1">
        <f t="shared" si="19"/>
        <v>15</v>
      </c>
    </row>
    <row r="1244" spans="1:2">
      <c r="A1244" s="112">
        <v>38881</v>
      </c>
      <c r="B1244" s="1">
        <f t="shared" si="19"/>
        <v>16</v>
      </c>
    </row>
    <row r="1245" spans="1:2">
      <c r="A1245" s="112">
        <v>38882</v>
      </c>
      <c r="B1245" s="1">
        <f t="shared" si="19"/>
        <v>17</v>
      </c>
    </row>
    <row r="1246" spans="1:2">
      <c r="A1246" s="112">
        <v>38883</v>
      </c>
      <c r="B1246" s="1">
        <f t="shared" si="19"/>
        <v>18</v>
      </c>
    </row>
    <row r="1247" spans="1:2">
      <c r="A1247" s="112">
        <v>38884</v>
      </c>
      <c r="B1247" s="1">
        <f t="shared" si="19"/>
        <v>19</v>
      </c>
    </row>
    <row r="1248" spans="1:2">
      <c r="A1248" s="112">
        <v>38885</v>
      </c>
      <c r="B1248" s="1">
        <f t="shared" si="19"/>
        <v>20</v>
      </c>
    </row>
    <row r="1249" spans="1:2">
      <c r="A1249" s="112">
        <v>38886</v>
      </c>
      <c r="B1249" s="1">
        <f t="shared" si="19"/>
        <v>21</v>
      </c>
    </row>
    <row r="1250" spans="1:2">
      <c r="A1250" s="112">
        <v>38887</v>
      </c>
      <c r="B1250" s="1">
        <f t="shared" si="19"/>
        <v>22</v>
      </c>
    </row>
    <row r="1251" spans="1:2">
      <c r="A1251" s="112">
        <v>38888</v>
      </c>
      <c r="B1251" s="1">
        <f t="shared" si="19"/>
        <v>23</v>
      </c>
    </row>
    <row r="1252" spans="1:2">
      <c r="A1252" s="112">
        <v>38889</v>
      </c>
      <c r="B1252" s="1">
        <f t="shared" si="19"/>
        <v>24</v>
      </c>
    </row>
    <row r="1253" spans="1:2">
      <c r="A1253" s="112">
        <v>38890</v>
      </c>
      <c r="B1253" s="1">
        <f t="shared" si="19"/>
        <v>25</v>
      </c>
    </row>
    <row r="1254" spans="1:2">
      <c r="A1254" s="112">
        <v>38891</v>
      </c>
      <c r="B1254" s="1">
        <f t="shared" si="19"/>
        <v>26</v>
      </c>
    </row>
    <row r="1255" spans="1:2">
      <c r="A1255" s="112">
        <v>38892</v>
      </c>
      <c r="B1255" s="1">
        <f t="shared" si="19"/>
        <v>27</v>
      </c>
    </row>
    <row r="1256" spans="1:2">
      <c r="A1256" s="112">
        <v>38893</v>
      </c>
      <c r="B1256" s="1">
        <f t="shared" si="19"/>
        <v>28</v>
      </c>
    </row>
    <row r="1257" spans="1:2">
      <c r="A1257" s="112">
        <v>38894</v>
      </c>
      <c r="B1257" s="1">
        <f t="shared" si="19"/>
        <v>0</v>
      </c>
    </row>
    <row r="1258" spans="1:2">
      <c r="A1258" s="112">
        <v>38895</v>
      </c>
      <c r="B1258" s="1">
        <f t="shared" si="19"/>
        <v>1</v>
      </c>
    </row>
    <row r="1259" spans="1:2">
      <c r="A1259" s="112">
        <v>38896</v>
      </c>
      <c r="B1259" s="1">
        <f t="shared" si="19"/>
        <v>2</v>
      </c>
    </row>
    <row r="1260" spans="1:2">
      <c r="A1260" s="112">
        <v>38897</v>
      </c>
      <c r="B1260" s="1">
        <f t="shared" si="19"/>
        <v>3</v>
      </c>
    </row>
    <row r="1261" spans="1:2">
      <c r="A1261" s="112">
        <v>38898</v>
      </c>
      <c r="B1261" s="1">
        <f t="shared" si="19"/>
        <v>4</v>
      </c>
    </row>
    <row r="1262" spans="1:2">
      <c r="A1262" s="112">
        <v>38899</v>
      </c>
      <c r="B1262" s="1">
        <f t="shared" si="19"/>
        <v>5</v>
      </c>
    </row>
    <row r="1263" spans="1:2">
      <c r="A1263" s="112">
        <v>38900</v>
      </c>
      <c r="B1263" s="1">
        <f t="shared" si="19"/>
        <v>6</v>
      </c>
    </row>
    <row r="1264" spans="1:2">
      <c r="A1264" s="112">
        <v>38901</v>
      </c>
      <c r="B1264" s="1">
        <f t="shared" si="19"/>
        <v>7</v>
      </c>
    </row>
    <row r="1265" spans="1:2">
      <c r="A1265" s="112">
        <v>38902</v>
      </c>
      <c r="B1265" s="1">
        <f t="shared" si="19"/>
        <v>8</v>
      </c>
    </row>
    <row r="1266" spans="1:2">
      <c r="A1266" s="112">
        <v>38903</v>
      </c>
      <c r="B1266" s="1">
        <f t="shared" si="19"/>
        <v>9</v>
      </c>
    </row>
    <row r="1267" spans="1:2">
      <c r="A1267" s="112">
        <v>38904</v>
      </c>
      <c r="B1267" s="1">
        <f t="shared" si="19"/>
        <v>10</v>
      </c>
    </row>
    <row r="1268" spans="1:2">
      <c r="A1268" s="112">
        <v>38905</v>
      </c>
      <c r="B1268" s="1">
        <f t="shared" si="19"/>
        <v>11</v>
      </c>
    </row>
    <row r="1269" spans="1:2">
      <c r="A1269" s="112">
        <v>38906</v>
      </c>
      <c r="B1269" s="1">
        <f t="shared" si="19"/>
        <v>12</v>
      </c>
    </row>
    <row r="1270" spans="1:2">
      <c r="A1270" s="112">
        <v>38907</v>
      </c>
      <c r="B1270" s="1">
        <f t="shared" si="19"/>
        <v>13</v>
      </c>
    </row>
    <row r="1271" spans="1:2">
      <c r="A1271" s="112">
        <v>38908</v>
      </c>
      <c r="B1271" s="1">
        <f t="shared" si="19"/>
        <v>14</v>
      </c>
    </row>
    <row r="1272" spans="1:2">
      <c r="A1272" s="112">
        <v>38909</v>
      </c>
      <c r="B1272" s="1">
        <f t="shared" si="19"/>
        <v>15</v>
      </c>
    </row>
    <row r="1273" spans="1:2">
      <c r="A1273" s="112">
        <v>38910</v>
      </c>
      <c r="B1273" s="1">
        <f t="shared" si="19"/>
        <v>16</v>
      </c>
    </row>
    <row r="1274" spans="1:2">
      <c r="A1274" s="112">
        <v>38911</v>
      </c>
      <c r="B1274" s="1">
        <f t="shared" si="19"/>
        <v>17</v>
      </c>
    </row>
    <row r="1275" spans="1:2">
      <c r="A1275" s="112">
        <v>38912</v>
      </c>
      <c r="B1275" s="1">
        <f t="shared" si="19"/>
        <v>18</v>
      </c>
    </row>
    <row r="1276" spans="1:2">
      <c r="A1276" s="112">
        <v>38913</v>
      </c>
      <c r="B1276" s="1">
        <f t="shared" si="19"/>
        <v>19</v>
      </c>
    </row>
    <row r="1277" spans="1:2">
      <c r="A1277" s="112">
        <v>38914</v>
      </c>
      <c r="B1277" s="1">
        <f t="shared" si="19"/>
        <v>20</v>
      </c>
    </row>
    <row r="1278" spans="1:2">
      <c r="A1278" s="112">
        <v>38915</v>
      </c>
      <c r="B1278" s="1">
        <f t="shared" si="19"/>
        <v>21</v>
      </c>
    </row>
    <row r="1279" spans="1:2">
      <c r="A1279" s="112">
        <v>38916</v>
      </c>
      <c r="B1279" s="1">
        <f t="shared" si="19"/>
        <v>22</v>
      </c>
    </row>
    <row r="1280" spans="1:2">
      <c r="A1280" s="112">
        <v>38917</v>
      </c>
      <c r="B1280" s="1">
        <f t="shared" si="19"/>
        <v>23</v>
      </c>
    </row>
    <row r="1281" spans="1:2">
      <c r="A1281" s="112">
        <v>38918</v>
      </c>
      <c r="B1281" s="1">
        <f t="shared" si="19"/>
        <v>24</v>
      </c>
    </row>
    <row r="1282" spans="1:2">
      <c r="A1282" s="112">
        <v>38919</v>
      </c>
      <c r="B1282" s="1">
        <f t="shared" si="19"/>
        <v>25</v>
      </c>
    </row>
    <row r="1283" spans="1:2">
      <c r="A1283" s="112">
        <v>38920</v>
      </c>
      <c r="B1283" s="1">
        <f t="shared" ref="B1283:B1346" si="20">INT(MOD($G$2+A1283-$F$2,29.53))</f>
        <v>26</v>
      </c>
    </row>
    <row r="1284" spans="1:2">
      <c r="A1284" s="112">
        <v>38921</v>
      </c>
      <c r="B1284" s="1">
        <f t="shared" si="20"/>
        <v>27</v>
      </c>
    </row>
    <row r="1285" spans="1:2">
      <c r="A1285" s="112">
        <v>38922</v>
      </c>
      <c r="B1285" s="1">
        <f t="shared" si="20"/>
        <v>28</v>
      </c>
    </row>
    <row r="1286" spans="1:2">
      <c r="A1286" s="112">
        <v>38923</v>
      </c>
      <c r="B1286" s="1">
        <f t="shared" si="20"/>
        <v>29</v>
      </c>
    </row>
    <row r="1287" spans="1:2">
      <c r="A1287" s="112">
        <v>38924</v>
      </c>
      <c r="B1287" s="1">
        <f t="shared" si="20"/>
        <v>0</v>
      </c>
    </row>
    <row r="1288" spans="1:2">
      <c r="A1288" s="112">
        <v>38925</v>
      </c>
      <c r="B1288" s="1">
        <f t="shared" si="20"/>
        <v>1</v>
      </c>
    </row>
    <row r="1289" spans="1:2">
      <c r="A1289" s="112">
        <v>38926</v>
      </c>
      <c r="B1289" s="1">
        <f t="shared" si="20"/>
        <v>2</v>
      </c>
    </row>
    <row r="1290" spans="1:2">
      <c r="A1290" s="112">
        <v>38927</v>
      </c>
      <c r="B1290" s="1">
        <f t="shared" si="20"/>
        <v>3</v>
      </c>
    </row>
    <row r="1291" spans="1:2">
      <c r="A1291" s="112">
        <v>38928</v>
      </c>
      <c r="B1291" s="1">
        <f t="shared" si="20"/>
        <v>4</v>
      </c>
    </row>
    <row r="1292" spans="1:2">
      <c r="A1292" s="112">
        <v>38929</v>
      </c>
      <c r="B1292" s="1">
        <f t="shared" si="20"/>
        <v>5</v>
      </c>
    </row>
    <row r="1293" spans="1:2">
      <c r="A1293" s="112">
        <v>38930</v>
      </c>
      <c r="B1293" s="1">
        <f t="shared" si="20"/>
        <v>6</v>
      </c>
    </row>
    <row r="1294" spans="1:2">
      <c r="A1294" s="112">
        <v>38931</v>
      </c>
      <c r="B1294" s="1">
        <f t="shared" si="20"/>
        <v>7</v>
      </c>
    </row>
    <row r="1295" spans="1:2">
      <c r="A1295" s="112">
        <v>38932</v>
      </c>
      <c r="B1295" s="1">
        <f t="shared" si="20"/>
        <v>8</v>
      </c>
    </row>
    <row r="1296" spans="1:2">
      <c r="A1296" s="112">
        <v>38933</v>
      </c>
      <c r="B1296" s="1">
        <f t="shared" si="20"/>
        <v>9</v>
      </c>
    </row>
    <row r="1297" spans="1:2">
      <c r="A1297" s="112">
        <v>38934</v>
      </c>
      <c r="B1297" s="1">
        <f t="shared" si="20"/>
        <v>10</v>
      </c>
    </row>
    <row r="1298" spans="1:2">
      <c r="A1298" s="112">
        <v>38935</v>
      </c>
      <c r="B1298" s="1">
        <f t="shared" si="20"/>
        <v>11</v>
      </c>
    </row>
    <row r="1299" spans="1:2">
      <c r="A1299" s="112">
        <v>38936</v>
      </c>
      <c r="B1299" s="1">
        <f t="shared" si="20"/>
        <v>12</v>
      </c>
    </row>
    <row r="1300" spans="1:2">
      <c r="A1300" s="112">
        <v>38937</v>
      </c>
      <c r="B1300" s="1">
        <f t="shared" si="20"/>
        <v>13</v>
      </c>
    </row>
    <row r="1301" spans="1:2">
      <c r="A1301" s="112">
        <v>38938</v>
      </c>
      <c r="B1301" s="1">
        <f t="shared" si="20"/>
        <v>14</v>
      </c>
    </row>
    <row r="1302" spans="1:2">
      <c r="A1302" s="112">
        <v>38939</v>
      </c>
      <c r="B1302" s="1">
        <f t="shared" si="20"/>
        <v>15</v>
      </c>
    </row>
    <row r="1303" spans="1:2">
      <c r="A1303" s="112">
        <v>38940</v>
      </c>
      <c r="B1303" s="1">
        <f t="shared" si="20"/>
        <v>16</v>
      </c>
    </row>
    <row r="1304" spans="1:2">
      <c r="A1304" s="112">
        <v>38941</v>
      </c>
      <c r="B1304" s="1">
        <f t="shared" si="20"/>
        <v>17</v>
      </c>
    </row>
    <row r="1305" spans="1:2">
      <c r="A1305" s="112">
        <v>38942</v>
      </c>
      <c r="B1305" s="1">
        <f t="shared" si="20"/>
        <v>18</v>
      </c>
    </row>
    <row r="1306" spans="1:2">
      <c r="A1306" s="112">
        <v>38943</v>
      </c>
      <c r="B1306" s="1">
        <f t="shared" si="20"/>
        <v>19</v>
      </c>
    </row>
    <row r="1307" spans="1:2">
      <c r="A1307" s="112">
        <v>38944</v>
      </c>
      <c r="B1307" s="1">
        <f t="shared" si="20"/>
        <v>20</v>
      </c>
    </row>
    <row r="1308" spans="1:2">
      <c r="A1308" s="112">
        <v>38945</v>
      </c>
      <c r="B1308" s="1">
        <f t="shared" si="20"/>
        <v>21</v>
      </c>
    </row>
    <row r="1309" spans="1:2">
      <c r="A1309" s="112">
        <v>38946</v>
      </c>
      <c r="B1309" s="1">
        <f t="shared" si="20"/>
        <v>22</v>
      </c>
    </row>
    <row r="1310" spans="1:2">
      <c r="A1310" s="112">
        <v>38947</v>
      </c>
      <c r="B1310" s="1">
        <f t="shared" si="20"/>
        <v>23</v>
      </c>
    </row>
    <row r="1311" spans="1:2">
      <c r="A1311" s="112">
        <v>38948</v>
      </c>
      <c r="B1311" s="1">
        <f t="shared" si="20"/>
        <v>24</v>
      </c>
    </row>
    <row r="1312" spans="1:2">
      <c r="A1312" s="112">
        <v>38949</v>
      </c>
      <c r="B1312" s="1">
        <f t="shared" si="20"/>
        <v>25</v>
      </c>
    </row>
    <row r="1313" spans="1:2">
      <c r="A1313" s="112">
        <v>38950</v>
      </c>
      <c r="B1313" s="1">
        <f t="shared" si="20"/>
        <v>26</v>
      </c>
    </row>
    <row r="1314" spans="1:2">
      <c r="A1314" s="112">
        <v>38951</v>
      </c>
      <c r="B1314" s="1">
        <f t="shared" si="20"/>
        <v>27</v>
      </c>
    </row>
    <row r="1315" spans="1:2">
      <c r="A1315" s="112">
        <v>38952</v>
      </c>
      <c r="B1315" s="1">
        <f t="shared" si="20"/>
        <v>28</v>
      </c>
    </row>
    <row r="1316" spans="1:2">
      <c r="A1316" s="112">
        <v>38953</v>
      </c>
      <c r="B1316" s="1">
        <f t="shared" si="20"/>
        <v>0</v>
      </c>
    </row>
    <row r="1317" spans="1:2">
      <c r="A1317" s="112">
        <v>38954</v>
      </c>
      <c r="B1317" s="1">
        <f t="shared" si="20"/>
        <v>1</v>
      </c>
    </row>
    <row r="1318" spans="1:2">
      <c r="A1318" s="112">
        <v>38955</v>
      </c>
      <c r="B1318" s="1">
        <f t="shared" si="20"/>
        <v>2</v>
      </c>
    </row>
    <row r="1319" spans="1:2">
      <c r="A1319" s="112">
        <v>38956</v>
      </c>
      <c r="B1319" s="1">
        <f t="shared" si="20"/>
        <v>3</v>
      </c>
    </row>
    <row r="1320" spans="1:2">
      <c r="A1320" s="112">
        <v>38957</v>
      </c>
      <c r="B1320" s="1">
        <f t="shared" si="20"/>
        <v>4</v>
      </c>
    </row>
    <row r="1321" spans="1:2">
      <c r="A1321" s="112">
        <v>38958</v>
      </c>
      <c r="B1321" s="1">
        <f t="shared" si="20"/>
        <v>5</v>
      </c>
    </row>
    <row r="1322" spans="1:2">
      <c r="A1322" s="112">
        <v>38959</v>
      </c>
      <c r="B1322" s="1">
        <f t="shared" si="20"/>
        <v>6</v>
      </c>
    </row>
    <row r="1323" spans="1:2">
      <c r="A1323" s="112">
        <v>38960</v>
      </c>
      <c r="B1323" s="1">
        <f t="shared" si="20"/>
        <v>7</v>
      </c>
    </row>
    <row r="1324" spans="1:2">
      <c r="A1324" s="112">
        <v>38961</v>
      </c>
      <c r="B1324" s="1">
        <f t="shared" si="20"/>
        <v>8</v>
      </c>
    </row>
    <row r="1325" spans="1:2">
      <c r="A1325" s="112">
        <v>38962</v>
      </c>
      <c r="B1325" s="1">
        <f t="shared" si="20"/>
        <v>9</v>
      </c>
    </row>
    <row r="1326" spans="1:2">
      <c r="A1326" s="112">
        <v>38963</v>
      </c>
      <c r="B1326" s="1">
        <f t="shared" si="20"/>
        <v>10</v>
      </c>
    </row>
    <row r="1327" spans="1:2">
      <c r="A1327" s="112">
        <v>38964</v>
      </c>
      <c r="B1327" s="1">
        <f t="shared" si="20"/>
        <v>11</v>
      </c>
    </row>
    <row r="1328" spans="1:2">
      <c r="A1328" s="112">
        <v>38965</v>
      </c>
      <c r="B1328" s="1">
        <f t="shared" si="20"/>
        <v>12</v>
      </c>
    </row>
    <row r="1329" spans="1:2">
      <c r="A1329" s="112">
        <v>38966</v>
      </c>
      <c r="B1329" s="1">
        <f t="shared" si="20"/>
        <v>13</v>
      </c>
    </row>
    <row r="1330" spans="1:2">
      <c r="A1330" s="112">
        <v>38967</v>
      </c>
      <c r="B1330" s="1">
        <f t="shared" si="20"/>
        <v>14</v>
      </c>
    </row>
    <row r="1331" spans="1:2">
      <c r="A1331" s="112">
        <v>38968</v>
      </c>
      <c r="B1331" s="1">
        <f t="shared" si="20"/>
        <v>15</v>
      </c>
    </row>
    <row r="1332" spans="1:2">
      <c r="A1332" s="112">
        <v>38969</v>
      </c>
      <c r="B1332" s="1">
        <f t="shared" si="20"/>
        <v>16</v>
      </c>
    </row>
    <row r="1333" spans="1:2">
      <c r="A1333" s="112">
        <v>38970</v>
      </c>
      <c r="B1333" s="1">
        <f t="shared" si="20"/>
        <v>17</v>
      </c>
    </row>
    <row r="1334" spans="1:2">
      <c r="A1334" s="112">
        <v>38971</v>
      </c>
      <c r="B1334" s="1">
        <f t="shared" si="20"/>
        <v>18</v>
      </c>
    </row>
    <row r="1335" spans="1:2">
      <c r="A1335" s="112">
        <v>38972</v>
      </c>
      <c r="B1335" s="1">
        <f t="shared" si="20"/>
        <v>19</v>
      </c>
    </row>
    <row r="1336" spans="1:2">
      <c r="A1336" s="112">
        <v>38973</v>
      </c>
      <c r="B1336" s="1">
        <f t="shared" si="20"/>
        <v>20</v>
      </c>
    </row>
    <row r="1337" spans="1:2">
      <c r="A1337" s="112">
        <v>38974</v>
      </c>
      <c r="B1337" s="1">
        <f t="shared" si="20"/>
        <v>21</v>
      </c>
    </row>
    <row r="1338" spans="1:2">
      <c r="A1338" s="112">
        <v>38975</v>
      </c>
      <c r="B1338" s="1">
        <f t="shared" si="20"/>
        <v>22</v>
      </c>
    </row>
    <row r="1339" spans="1:2">
      <c r="A1339" s="112">
        <v>38976</v>
      </c>
      <c r="B1339" s="1">
        <f t="shared" si="20"/>
        <v>23</v>
      </c>
    </row>
    <row r="1340" spans="1:2">
      <c r="A1340" s="112">
        <v>38977</v>
      </c>
      <c r="B1340" s="1">
        <f t="shared" si="20"/>
        <v>24</v>
      </c>
    </row>
    <row r="1341" spans="1:2">
      <c r="A1341" s="112">
        <v>38978</v>
      </c>
      <c r="B1341" s="1">
        <f t="shared" si="20"/>
        <v>25</v>
      </c>
    </row>
    <row r="1342" spans="1:2">
      <c r="A1342" s="112">
        <v>38979</v>
      </c>
      <c r="B1342" s="1">
        <f t="shared" si="20"/>
        <v>26</v>
      </c>
    </row>
    <row r="1343" spans="1:2">
      <c r="A1343" s="112">
        <v>38980</v>
      </c>
      <c r="B1343" s="1">
        <f t="shared" si="20"/>
        <v>27</v>
      </c>
    </row>
    <row r="1344" spans="1:2">
      <c r="A1344" s="112">
        <v>38981</v>
      </c>
      <c r="B1344" s="1">
        <f t="shared" si="20"/>
        <v>28</v>
      </c>
    </row>
    <row r="1345" spans="1:2">
      <c r="A1345" s="112">
        <v>38982</v>
      </c>
      <c r="B1345" s="1">
        <f t="shared" si="20"/>
        <v>29</v>
      </c>
    </row>
    <row r="1346" spans="1:2">
      <c r="A1346" s="112">
        <v>38983</v>
      </c>
      <c r="B1346" s="1">
        <f t="shared" si="20"/>
        <v>0</v>
      </c>
    </row>
    <row r="1347" spans="1:2">
      <c r="A1347" s="112">
        <v>38984</v>
      </c>
      <c r="B1347" s="1">
        <f t="shared" ref="B1347:B1410" si="21">INT(MOD($G$2+A1347-$F$2,29.53))</f>
        <v>1</v>
      </c>
    </row>
    <row r="1348" spans="1:2">
      <c r="A1348" s="112">
        <v>38985</v>
      </c>
      <c r="B1348" s="1">
        <f t="shared" si="21"/>
        <v>2</v>
      </c>
    </row>
    <row r="1349" spans="1:2">
      <c r="A1349" s="112">
        <v>38986</v>
      </c>
      <c r="B1349" s="1">
        <f t="shared" si="21"/>
        <v>3</v>
      </c>
    </row>
    <row r="1350" spans="1:2">
      <c r="A1350" s="112">
        <v>38987</v>
      </c>
      <c r="B1350" s="1">
        <f t="shared" si="21"/>
        <v>4</v>
      </c>
    </row>
    <row r="1351" spans="1:2">
      <c r="A1351" s="112">
        <v>38988</v>
      </c>
      <c r="B1351" s="1">
        <f t="shared" si="21"/>
        <v>5</v>
      </c>
    </row>
    <row r="1352" spans="1:2">
      <c r="A1352" s="112">
        <v>38989</v>
      </c>
      <c r="B1352" s="1">
        <f t="shared" si="21"/>
        <v>6</v>
      </c>
    </row>
    <row r="1353" spans="1:2">
      <c r="A1353" s="112">
        <v>38990</v>
      </c>
      <c r="B1353" s="1">
        <f t="shared" si="21"/>
        <v>7</v>
      </c>
    </row>
    <row r="1354" spans="1:2">
      <c r="A1354" s="112">
        <v>38991</v>
      </c>
      <c r="B1354" s="1">
        <f t="shared" si="21"/>
        <v>8</v>
      </c>
    </row>
    <row r="1355" spans="1:2">
      <c r="A1355" s="112">
        <v>38992</v>
      </c>
      <c r="B1355" s="1">
        <f t="shared" si="21"/>
        <v>9</v>
      </c>
    </row>
    <row r="1356" spans="1:2">
      <c r="A1356" s="112">
        <v>38993</v>
      </c>
      <c r="B1356" s="1">
        <f t="shared" si="21"/>
        <v>10</v>
      </c>
    </row>
    <row r="1357" spans="1:2">
      <c r="A1357" s="112">
        <v>38994</v>
      </c>
      <c r="B1357" s="1">
        <f t="shared" si="21"/>
        <v>11</v>
      </c>
    </row>
    <row r="1358" spans="1:2">
      <c r="A1358" s="112">
        <v>38995</v>
      </c>
      <c r="B1358" s="1">
        <f t="shared" si="21"/>
        <v>12</v>
      </c>
    </row>
    <row r="1359" spans="1:2">
      <c r="A1359" s="112">
        <v>38996</v>
      </c>
      <c r="B1359" s="1">
        <f t="shared" si="21"/>
        <v>13</v>
      </c>
    </row>
    <row r="1360" spans="1:2">
      <c r="A1360" s="112">
        <v>38997</v>
      </c>
      <c r="B1360" s="1">
        <f t="shared" si="21"/>
        <v>14</v>
      </c>
    </row>
    <row r="1361" spans="1:2">
      <c r="A1361" s="112">
        <v>38998</v>
      </c>
      <c r="B1361" s="1">
        <f t="shared" si="21"/>
        <v>15</v>
      </c>
    </row>
    <row r="1362" spans="1:2">
      <c r="A1362" s="112">
        <v>38999</v>
      </c>
      <c r="B1362" s="1">
        <f t="shared" si="21"/>
        <v>16</v>
      </c>
    </row>
    <row r="1363" spans="1:2">
      <c r="A1363" s="112">
        <v>39000</v>
      </c>
      <c r="B1363" s="1">
        <f t="shared" si="21"/>
        <v>17</v>
      </c>
    </row>
    <row r="1364" spans="1:2">
      <c r="A1364" s="112">
        <v>39001</v>
      </c>
      <c r="B1364" s="1">
        <f t="shared" si="21"/>
        <v>18</v>
      </c>
    </row>
    <row r="1365" spans="1:2">
      <c r="A1365" s="112">
        <v>39002</v>
      </c>
      <c r="B1365" s="1">
        <f t="shared" si="21"/>
        <v>19</v>
      </c>
    </row>
    <row r="1366" spans="1:2">
      <c r="A1366" s="112">
        <v>39003</v>
      </c>
      <c r="B1366" s="1">
        <f t="shared" si="21"/>
        <v>20</v>
      </c>
    </row>
    <row r="1367" spans="1:2">
      <c r="A1367" s="112">
        <v>39004</v>
      </c>
      <c r="B1367" s="1">
        <f t="shared" si="21"/>
        <v>21</v>
      </c>
    </row>
    <row r="1368" spans="1:2">
      <c r="A1368" s="112">
        <v>39005</v>
      </c>
      <c r="B1368" s="1">
        <f t="shared" si="21"/>
        <v>22</v>
      </c>
    </row>
    <row r="1369" spans="1:2">
      <c r="A1369" s="112">
        <v>39006</v>
      </c>
      <c r="B1369" s="1">
        <f t="shared" si="21"/>
        <v>23</v>
      </c>
    </row>
    <row r="1370" spans="1:2">
      <c r="A1370" s="112">
        <v>39007</v>
      </c>
      <c r="B1370" s="1">
        <f t="shared" si="21"/>
        <v>24</v>
      </c>
    </row>
    <row r="1371" spans="1:2">
      <c r="A1371" s="112">
        <v>39008</v>
      </c>
      <c r="B1371" s="1">
        <f t="shared" si="21"/>
        <v>25</v>
      </c>
    </row>
    <row r="1372" spans="1:2">
      <c r="A1372" s="112">
        <v>39009</v>
      </c>
      <c r="B1372" s="1">
        <f t="shared" si="21"/>
        <v>26</v>
      </c>
    </row>
    <row r="1373" spans="1:2">
      <c r="A1373" s="112">
        <v>39010</v>
      </c>
      <c r="B1373" s="1">
        <f t="shared" si="21"/>
        <v>27</v>
      </c>
    </row>
    <row r="1374" spans="1:2">
      <c r="A1374" s="112">
        <v>39011</v>
      </c>
      <c r="B1374" s="1">
        <f t="shared" si="21"/>
        <v>28</v>
      </c>
    </row>
    <row r="1375" spans="1:2">
      <c r="A1375" s="112">
        <v>39012</v>
      </c>
      <c r="B1375" s="1">
        <f t="shared" si="21"/>
        <v>0</v>
      </c>
    </row>
    <row r="1376" spans="1:2">
      <c r="A1376" s="112">
        <v>39013</v>
      </c>
      <c r="B1376" s="1">
        <f t="shared" si="21"/>
        <v>1</v>
      </c>
    </row>
    <row r="1377" spans="1:2">
      <c r="A1377" s="112">
        <v>39014</v>
      </c>
      <c r="B1377" s="1">
        <f t="shared" si="21"/>
        <v>2</v>
      </c>
    </row>
    <row r="1378" spans="1:2">
      <c r="A1378" s="112">
        <v>39015</v>
      </c>
      <c r="B1378" s="1">
        <f t="shared" si="21"/>
        <v>3</v>
      </c>
    </row>
    <row r="1379" spans="1:2">
      <c r="A1379" s="112">
        <v>39016</v>
      </c>
      <c r="B1379" s="1">
        <f t="shared" si="21"/>
        <v>4</v>
      </c>
    </row>
    <row r="1380" spans="1:2">
      <c r="A1380" s="112">
        <v>39017</v>
      </c>
      <c r="B1380" s="1">
        <f t="shared" si="21"/>
        <v>5</v>
      </c>
    </row>
    <row r="1381" spans="1:2">
      <c r="A1381" s="112">
        <v>39018</v>
      </c>
      <c r="B1381" s="1">
        <f t="shared" si="21"/>
        <v>6</v>
      </c>
    </row>
    <row r="1382" spans="1:2">
      <c r="A1382" s="112">
        <v>39019</v>
      </c>
      <c r="B1382" s="1">
        <f t="shared" si="21"/>
        <v>7</v>
      </c>
    </row>
    <row r="1383" spans="1:2">
      <c r="A1383" s="112">
        <v>39020</v>
      </c>
      <c r="B1383" s="1">
        <f t="shared" si="21"/>
        <v>8</v>
      </c>
    </row>
    <row r="1384" spans="1:2">
      <c r="A1384" s="112">
        <v>39021</v>
      </c>
      <c r="B1384" s="1">
        <f t="shared" si="21"/>
        <v>9</v>
      </c>
    </row>
    <row r="1385" spans="1:2">
      <c r="A1385" s="112">
        <v>39022</v>
      </c>
      <c r="B1385" s="1">
        <f t="shared" si="21"/>
        <v>10</v>
      </c>
    </row>
    <row r="1386" spans="1:2">
      <c r="A1386" s="112">
        <v>39023</v>
      </c>
      <c r="B1386" s="1">
        <f t="shared" si="21"/>
        <v>11</v>
      </c>
    </row>
    <row r="1387" spans="1:2">
      <c r="A1387" s="112">
        <v>39024</v>
      </c>
      <c r="B1387" s="1">
        <f t="shared" si="21"/>
        <v>12</v>
      </c>
    </row>
    <row r="1388" spans="1:2">
      <c r="A1388" s="112">
        <v>39025</v>
      </c>
      <c r="B1388" s="1">
        <f t="shared" si="21"/>
        <v>13</v>
      </c>
    </row>
    <row r="1389" spans="1:2">
      <c r="A1389" s="112">
        <v>39026</v>
      </c>
      <c r="B1389" s="1">
        <f t="shared" si="21"/>
        <v>14</v>
      </c>
    </row>
    <row r="1390" spans="1:2">
      <c r="A1390" s="112">
        <v>39027</v>
      </c>
      <c r="B1390" s="1">
        <f t="shared" si="21"/>
        <v>15</v>
      </c>
    </row>
    <row r="1391" spans="1:2">
      <c r="A1391" s="112">
        <v>39028</v>
      </c>
      <c r="B1391" s="1">
        <f t="shared" si="21"/>
        <v>16</v>
      </c>
    </row>
    <row r="1392" spans="1:2">
      <c r="A1392" s="112">
        <v>39029</v>
      </c>
      <c r="B1392" s="1">
        <f t="shared" si="21"/>
        <v>17</v>
      </c>
    </row>
    <row r="1393" spans="1:2">
      <c r="A1393" s="112">
        <v>39030</v>
      </c>
      <c r="B1393" s="1">
        <f t="shared" si="21"/>
        <v>18</v>
      </c>
    </row>
    <row r="1394" spans="1:2">
      <c r="A1394" s="112">
        <v>39031</v>
      </c>
      <c r="B1394" s="1">
        <f t="shared" si="21"/>
        <v>19</v>
      </c>
    </row>
    <row r="1395" spans="1:2">
      <c r="A1395" s="112">
        <v>39032</v>
      </c>
      <c r="B1395" s="1">
        <f t="shared" si="21"/>
        <v>20</v>
      </c>
    </row>
    <row r="1396" spans="1:2">
      <c r="A1396" s="112">
        <v>39033</v>
      </c>
      <c r="B1396" s="1">
        <f t="shared" si="21"/>
        <v>21</v>
      </c>
    </row>
    <row r="1397" spans="1:2">
      <c r="A1397" s="112">
        <v>39034</v>
      </c>
      <c r="B1397" s="1">
        <f t="shared" si="21"/>
        <v>22</v>
      </c>
    </row>
    <row r="1398" spans="1:2">
      <c r="A1398" s="112">
        <v>39035</v>
      </c>
      <c r="B1398" s="1">
        <f t="shared" si="21"/>
        <v>23</v>
      </c>
    </row>
    <row r="1399" spans="1:2">
      <c r="A1399" s="112">
        <v>39036</v>
      </c>
      <c r="B1399" s="1">
        <f t="shared" si="21"/>
        <v>24</v>
      </c>
    </row>
    <row r="1400" spans="1:2">
      <c r="A1400" s="112">
        <v>39037</v>
      </c>
      <c r="B1400" s="1">
        <f t="shared" si="21"/>
        <v>25</v>
      </c>
    </row>
    <row r="1401" spans="1:2">
      <c r="A1401" s="112">
        <v>39038</v>
      </c>
      <c r="B1401" s="1">
        <f t="shared" si="21"/>
        <v>26</v>
      </c>
    </row>
    <row r="1402" spans="1:2">
      <c r="A1402" s="112">
        <v>39039</v>
      </c>
      <c r="B1402" s="1">
        <f t="shared" si="21"/>
        <v>27</v>
      </c>
    </row>
    <row r="1403" spans="1:2">
      <c r="A1403" s="112">
        <v>39040</v>
      </c>
      <c r="B1403" s="1">
        <f t="shared" si="21"/>
        <v>28</v>
      </c>
    </row>
    <row r="1404" spans="1:2">
      <c r="A1404" s="112">
        <v>39041</v>
      </c>
      <c r="B1404" s="1">
        <f t="shared" si="21"/>
        <v>29</v>
      </c>
    </row>
    <row r="1405" spans="1:2">
      <c r="A1405" s="112">
        <v>39042</v>
      </c>
      <c r="B1405" s="1">
        <f t="shared" si="21"/>
        <v>0</v>
      </c>
    </row>
    <row r="1406" spans="1:2">
      <c r="A1406" s="112">
        <v>39043</v>
      </c>
      <c r="B1406" s="1">
        <f t="shared" si="21"/>
        <v>1</v>
      </c>
    </row>
    <row r="1407" spans="1:2">
      <c r="A1407" s="112">
        <v>39044</v>
      </c>
      <c r="B1407" s="1">
        <f t="shared" si="21"/>
        <v>2</v>
      </c>
    </row>
    <row r="1408" spans="1:2">
      <c r="A1408" s="112">
        <v>39045</v>
      </c>
      <c r="B1408" s="1">
        <f t="shared" si="21"/>
        <v>3</v>
      </c>
    </row>
    <row r="1409" spans="1:2">
      <c r="A1409" s="112">
        <v>39046</v>
      </c>
      <c r="B1409" s="1">
        <f t="shared" si="21"/>
        <v>4</v>
      </c>
    </row>
    <row r="1410" spans="1:2">
      <c r="A1410" s="112">
        <v>39047</v>
      </c>
      <c r="B1410" s="1">
        <f t="shared" si="21"/>
        <v>5</v>
      </c>
    </row>
    <row r="1411" spans="1:2">
      <c r="A1411" s="112">
        <v>39048</v>
      </c>
      <c r="B1411" s="1">
        <f t="shared" ref="B1411:B1474" si="22">INT(MOD($G$2+A1411-$F$2,29.53))</f>
        <v>6</v>
      </c>
    </row>
    <row r="1412" spans="1:2">
      <c r="A1412" s="112">
        <v>39049</v>
      </c>
      <c r="B1412" s="1">
        <f t="shared" si="22"/>
        <v>7</v>
      </c>
    </row>
    <row r="1413" spans="1:2">
      <c r="A1413" s="112">
        <v>39050</v>
      </c>
      <c r="B1413" s="1">
        <f t="shared" si="22"/>
        <v>8</v>
      </c>
    </row>
    <row r="1414" spans="1:2">
      <c r="A1414" s="112">
        <v>39051</v>
      </c>
      <c r="B1414" s="1">
        <f t="shared" si="22"/>
        <v>9</v>
      </c>
    </row>
    <row r="1415" spans="1:2">
      <c r="A1415" s="112">
        <v>39052</v>
      </c>
      <c r="B1415" s="1">
        <f t="shared" si="22"/>
        <v>10</v>
      </c>
    </row>
    <row r="1416" spans="1:2">
      <c r="A1416" s="112">
        <v>39053</v>
      </c>
      <c r="B1416" s="1">
        <f t="shared" si="22"/>
        <v>11</v>
      </c>
    </row>
    <row r="1417" spans="1:2">
      <c r="A1417" s="112">
        <v>39054</v>
      </c>
      <c r="B1417" s="1">
        <f t="shared" si="22"/>
        <v>12</v>
      </c>
    </row>
    <row r="1418" spans="1:2">
      <c r="A1418" s="112">
        <v>39055</v>
      </c>
      <c r="B1418" s="1">
        <f t="shared" si="22"/>
        <v>13</v>
      </c>
    </row>
    <row r="1419" spans="1:2">
      <c r="A1419" s="112">
        <v>39056</v>
      </c>
      <c r="B1419" s="1">
        <f t="shared" si="22"/>
        <v>14</v>
      </c>
    </row>
    <row r="1420" spans="1:2">
      <c r="A1420" s="112">
        <v>39057</v>
      </c>
      <c r="B1420" s="1">
        <f t="shared" si="22"/>
        <v>15</v>
      </c>
    </row>
    <row r="1421" spans="1:2">
      <c r="A1421" s="112">
        <v>39058</v>
      </c>
      <c r="B1421" s="1">
        <f t="shared" si="22"/>
        <v>16</v>
      </c>
    </row>
    <row r="1422" spans="1:2">
      <c r="A1422" s="112">
        <v>39059</v>
      </c>
      <c r="B1422" s="1">
        <f t="shared" si="22"/>
        <v>17</v>
      </c>
    </row>
    <row r="1423" spans="1:2">
      <c r="A1423" s="112">
        <v>39060</v>
      </c>
      <c r="B1423" s="1">
        <f t="shared" si="22"/>
        <v>18</v>
      </c>
    </row>
    <row r="1424" spans="1:2">
      <c r="A1424" s="112">
        <v>39061</v>
      </c>
      <c r="B1424" s="1">
        <f t="shared" si="22"/>
        <v>19</v>
      </c>
    </row>
    <row r="1425" spans="1:2">
      <c r="A1425" s="112">
        <v>39062</v>
      </c>
      <c r="B1425" s="1">
        <f t="shared" si="22"/>
        <v>20</v>
      </c>
    </row>
    <row r="1426" spans="1:2">
      <c r="A1426" s="112">
        <v>39063</v>
      </c>
      <c r="B1426" s="1">
        <f t="shared" si="22"/>
        <v>21</v>
      </c>
    </row>
    <row r="1427" spans="1:2">
      <c r="A1427" s="112">
        <v>39064</v>
      </c>
      <c r="B1427" s="1">
        <f t="shared" si="22"/>
        <v>22</v>
      </c>
    </row>
    <row r="1428" spans="1:2">
      <c r="A1428" s="112">
        <v>39065</v>
      </c>
      <c r="B1428" s="1">
        <f t="shared" si="22"/>
        <v>23</v>
      </c>
    </row>
    <row r="1429" spans="1:2">
      <c r="A1429" s="112">
        <v>39066</v>
      </c>
      <c r="B1429" s="1">
        <f t="shared" si="22"/>
        <v>24</v>
      </c>
    </row>
    <row r="1430" spans="1:2">
      <c r="A1430" s="112">
        <v>39067</v>
      </c>
      <c r="B1430" s="1">
        <f t="shared" si="22"/>
        <v>25</v>
      </c>
    </row>
    <row r="1431" spans="1:2">
      <c r="A1431" s="112">
        <v>39068</v>
      </c>
      <c r="B1431" s="1">
        <f t="shared" si="22"/>
        <v>26</v>
      </c>
    </row>
    <row r="1432" spans="1:2">
      <c r="A1432" s="112">
        <v>39069</v>
      </c>
      <c r="B1432" s="1">
        <f t="shared" si="22"/>
        <v>27</v>
      </c>
    </row>
    <row r="1433" spans="1:2">
      <c r="A1433" s="112">
        <v>39070</v>
      </c>
      <c r="B1433" s="1">
        <f t="shared" si="22"/>
        <v>28</v>
      </c>
    </row>
    <row r="1434" spans="1:2">
      <c r="A1434" s="112">
        <v>39071</v>
      </c>
      <c r="B1434" s="1">
        <f t="shared" si="22"/>
        <v>0</v>
      </c>
    </row>
    <row r="1435" spans="1:2">
      <c r="A1435" s="112">
        <v>39072</v>
      </c>
      <c r="B1435" s="1">
        <f t="shared" si="22"/>
        <v>1</v>
      </c>
    </row>
    <row r="1436" spans="1:2">
      <c r="A1436" s="112">
        <v>39073</v>
      </c>
      <c r="B1436" s="1">
        <f t="shared" si="22"/>
        <v>2</v>
      </c>
    </row>
    <row r="1437" spans="1:2">
      <c r="A1437" s="112">
        <v>39074</v>
      </c>
      <c r="B1437" s="1">
        <f t="shared" si="22"/>
        <v>3</v>
      </c>
    </row>
    <row r="1438" spans="1:2">
      <c r="A1438" s="112">
        <v>39075</v>
      </c>
      <c r="B1438" s="1">
        <f t="shared" si="22"/>
        <v>4</v>
      </c>
    </row>
    <row r="1439" spans="1:2">
      <c r="A1439" s="112">
        <v>39076</v>
      </c>
      <c r="B1439" s="1">
        <f t="shared" si="22"/>
        <v>5</v>
      </c>
    </row>
    <row r="1440" spans="1:2">
      <c r="A1440" s="112">
        <v>39077</v>
      </c>
      <c r="B1440" s="1">
        <f t="shared" si="22"/>
        <v>6</v>
      </c>
    </row>
    <row r="1441" spans="1:2">
      <c r="A1441" s="112">
        <v>39078</v>
      </c>
      <c r="B1441" s="1">
        <f t="shared" si="22"/>
        <v>7</v>
      </c>
    </row>
    <row r="1442" spans="1:2">
      <c r="A1442" s="112">
        <v>39079</v>
      </c>
      <c r="B1442" s="1">
        <f t="shared" si="22"/>
        <v>8</v>
      </c>
    </row>
    <row r="1443" spans="1:2">
      <c r="A1443" s="112">
        <v>39080</v>
      </c>
      <c r="B1443" s="1">
        <f t="shared" si="22"/>
        <v>9</v>
      </c>
    </row>
    <row r="1444" spans="1:2">
      <c r="A1444" s="112">
        <v>39081</v>
      </c>
      <c r="B1444" s="1">
        <f t="shared" si="22"/>
        <v>10</v>
      </c>
    </row>
    <row r="1445" spans="1:2">
      <c r="A1445" s="112">
        <v>39082</v>
      </c>
      <c r="B1445" s="1">
        <f t="shared" si="22"/>
        <v>11</v>
      </c>
    </row>
    <row r="1446" spans="1:2">
      <c r="A1446" s="112">
        <v>39083</v>
      </c>
      <c r="B1446" s="1">
        <f t="shared" si="22"/>
        <v>12</v>
      </c>
    </row>
    <row r="1447" spans="1:2">
      <c r="A1447" s="112">
        <v>39084</v>
      </c>
      <c r="B1447" s="1">
        <f t="shared" si="22"/>
        <v>13</v>
      </c>
    </row>
    <row r="1448" spans="1:2">
      <c r="A1448" s="112">
        <v>39085</v>
      </c>
      <c r="B1448" s="1">
        <f t="shared" si="22"/>
        <v>14</v>
      </c>
    </row>
    <row r="1449" spans="1:2">
      <c r="A1449" s="112">
        <v>39086</v>
      </c>
      <c r="B1449" s="1">
        <f t="shared" si="22"/>
        <v>15</v>
      </c>
    </row>
    <row r="1450" spans="1:2">
      <c r="A1450" s="112">
        <v>39087</v>
      </c>
      <c r="B1450" s="1">
        <f t="shared" si="22"/>
        <v>16</v>
      </c>
    </row>
    <row r="1451" spans="1:2">
      <c r="A1451" s="112">
        <v>39088</v>
      </c>
      <c r="B1451" s="1">
        <f t="shared" si="22"/>
        <v>17</v>
      </c>
    </row>
    <row r="1452" spans="1:2">
      <c r="A1452" s="112">
        <v>39089</v>
      </c>
      <c r="B1452" s="1">
        <f t="shared" si="22"/>
        <v>18</v>
      </c>
    </row>
    <row r="1453" spans="1:2">
      <c r="A1453" s="112">
        <v>39090</v>
      </c>
      <c r="B1453" s="1">
        <f t="shared" si="22"/>
        <v>19</v>
      </c>
    </row>
    <row r="1454" spans="1:2">
      <c r="A1454" s="112">
        <v>39091</v>
      </c>
      <c r="B1454" s="1">
        <f t="shared" si="22"/>
        <v>20</v>
      </c>
    </row>
    <row r="1455" spans="1:2">
      <c r="A1455" s="112">
        <v>39092</v>
      </c>
      <c r="B1455" s="1">
        <f t="shared" si="22"/>
        <v>21</v>
      </c>
    </row>
    <row r="1456" spans="1:2">
      <c r="A1456" s="112">
        <v>39093</v>
      </c>
      <c r="B1456" s="1">
        <f t="shared" si="22"/>
        <v>22</v>
      </c>
    </row>
    <row r="1457" spans="1:2">
      <c r="A1457" s="112">
        <v>39094</v>
      </c>
      <c r="B1457" s="1">
        <f t="shared" si="22"/>
        <v>23</v>
      </c>
    </row>
    <row r="1458" spans="1:2">
      <c r="A1458" s="112">
        <v>39095</v>
      </c>
      <c r="B1458" s="1">
        <f t="shared" si="22"/>
        <v>24</v>
      </c>
    </row>
    <row r="1459" spans="1:2">
      <c r="A1459" s="112">
        <v>39096</v>
      </c>
      <c r="B1459" s="1">
        <f t="shared" si="22"/>
        <v>25</v>
      </c>
    </row>
    <row r="1460" spans="1:2">
      <c r="A1460" s="112">
        <v>39097</v>
      </c>
      <c r="B1460" s="1">
        <f t="shared" si="22"/>
        <v>26</v>
      </c>
    </row>
    <row r="1461" spans="1:2">
      <c r="A1461" s="112">
        <v>39098</v>
      </c>
      <c r="B1461" s="1">
        <f t="shared" si="22"/>
        <v>27</v>
      </c>
    </row>
    <row r="1462" spans="1:2">
      <c r="A1462" s="112">
        <v>39099</v>
      </c>
      <c r="B1462" s="1">
        <f t="shared" si="22"/>
        <v>28</v>
      </c>
    </row>
    <row r="1463" spans="1:2">
      <c r="A1463" s="112">
        <v>39100</v>
      </c>
      <c r="B1463" s="1">
        <f t="shared" si="22"/>
        <v>29</v>
      </c>
    </row>
    <row r="1464" spans="1:2">
      <c r="A1464" s="112">
        <v>39101</v>
      </c>
      <c r="B1464" s="1">
        <f t="shared" si="22"/>
        <v>0</v>
      </c>
    </row>
    <row r="1465" spans="1:2">
      <c r="A1465" s="112">
        <v>39102</v>
      </c>
      <c r="B1465" s="1">
        <f t="shared" si="22"/>
        <v>1</v>
      </c>
    </row>
    <row r="1466" spans="1:2">
      <c r="A1466" s="112">
        <v>39103</v>
      </c>
      <c r="B1466" s="1">
        <f t="shared" si="22"/>
        <v>2</v>
      </c>
    </row>
    <row r="1467" spans="1:2">
      <c r="A1467" s="112">
        <v>39104</v>
      </c>
      <c r="B1467" s="1">
        <f t="shared" si="22"/>
        <v>3</v>
      </c>
    </row>
    <row r="1468" spans="1:2">
      <c r="A1468" s="112">
        <v>39105</v>
      </c>
      <c r="B1468" s="1">
        <f t="shared" si="22"/>
        <v>4</v>
      </c>
    </row>
    <row r="1469" spans="1:2">
      <c r="A1469" s="112">
        <v>39106</v>
      </c>
      <c r="B1469" s="1">
        <f t="shared" si="22"/>
        <v>5</v>
      </c>
    </row>
    <row r="1470" spans="1:2">
      <c r="A1470" s="112">
        <v>39107</v>
      </c>
      <c r="B1470" s="1">
        <f t="shared" si="22"/>
        <v>6</v>
      </c>
    </row>
    <row r="1471" spans="1:2">
      <c r="A1471" s="112">
        <v>39108</v>
      </c>
      <c r="B1471" s="1">
        <f t="shared" si="22"/>
        <v>7</v>
      </c>
    </row>
    <row r="1472" spans="1:2">
      <c r="A1472" s="112">
        <v>39109</v>
      </c>
      <c r="B1472" s="1">
        <f t="shared" si="22"/>
        <v>8</v>
      </c>
    </row>
    <row r="1473" spans="1:2">
      <c r="A1473" s="112">
        <v>39110</v>
      </c>
      <c r="B1473" s="1">
        <f t="shared" si="22"/>
        <v>9</v>
      </c>
    </row>
    <row r="1474" spans="1:2">
      <c r="A1474" s="112">
        <v>39111</v>
      </c>
      <c r="B1474" s="1">
        <f t="shared" si="22"/>
        <v>10</v>
      </c>
    </row>
    <row r="1475" spans="1:2">
      <c r="A1475" s="112">
        <v>39112</v>
      </c>
      <c r="B1475" s="1">
        <f t="shared" ref="B1475:B1538" si="23">INT(MOD($G$2+A1475-$F$2,29.53))</f>
        <v>11</v>
      </c>
    </row>
    <row r="1476" spans="1:2">
      <c r="A1476" s="112">
        <v>39113</v>
      </c>
      <c r="B1476" s="1">
        <f t="shared" si="23"/>
        <v>12</v>
      </c>
    </row>
    <row r="1477" spans="1:2">
      <c r="A1477" s="112">
        <v>39114</v>
      </c>
      <c r="B1477" s="1">
        <f t="shared" si="23"/>
        <v>13</v>
      </c>
    </row>
    <row r="1478" spans="1:2">
      <c r="A1478" s="112">
        <v>39115</v>
      </c>
      <c r="B1478" s="1">
        <f t="shared" si="23"/>
        <v>14</v>
      </c>
    </row>
    <row r="1479" spans="1:2">
      <c r="A1479" s="112">
        <v>39116</v>
      </c>
      <c r="B1479" s="1">
        <f t="shared" si="23"/>
        <v>15</v>
      </c>
    </row>
    <row r="1480" spans="1:2">
      <c r="A1480" s="112">
        <v>39117</v>
      </c>
      <c r="B1480" s="1">
        <f t="shared" si="23"/>
        <v>16</v>
      </c>
    </row>
    <row r="1481" spans="1:2">
      <c r="A1481" s="112">
        <v>39118</v>
      </c>
      <c r="B1481" s="1">
        <f t="shared" si="23"/>
        <v>17</v>
      </c>
    </row>
    <row r="1482" spans="1:2">
      <c r="A1482" s="112">
        <v>39119</v>
      </c>
      <c r="B1482" s="1">
        <f t="shared" si="23"/>
        <v>18</v>
      </c>
    </row>
    <row r="1483" spans="1:2">
      <c r="A1483" s="112">
        <v>39120</v>
      </c>
      <c r="B1483" s="1">
        <f t="shared" si="23"/>
        <v>19</v>
      </c>
    </row>
    <row r="1484" spans="1:2">
      <c r="A1484" s="112">
        <v>39121</v>
      </c>
      <c r="B1484" s="1">
        <f t="shared" si="23"/>
        <v>20</v>
      </c>
    </row>
    <row r="1485" spans="1:2">
      <c r="A1485" s="112">
        <v>39122</v>
      </c>
      <c r="B1485" s="1">
        <f t="shared" si="23"/>
        <v>21</v>
      </c>
    </row>
    <row r="1486" spans="1:2">
      <c r="A1486" s="112">
        <v>39123</v>
      </c>
      <c r="B1486" s="1">
        <f t="shared" si="23"/>
        <v>22</v>
      </c>
    </row>
    <row r="1487" spans="1:2">
      <c r="A1487" s="112">
        <v>39124</v>
      </c>
      <c r="B1487" s="1">
        <f t="shared" si="23"/>
        <v>23</v>
      </c>
    </row>
    <row r="1488" spans="1:2">
      <c r="A1488" s="112">
        <v>39125</v>
      </c>
      <c r="B1488" s="1">
        <f t="shared" si="23"/>
        <v>24</v>
      </c>
    </row>
    <row r="1489" spans="1:2">
      <c r="A1489" s="112">
        <v>39126</v>
      </c>
      <c r="B1489" s="1">
        <f t="shared" si="23"/>
        <v>25</v>
      </c>
    </row>
    <row r="1490" spans="1:2">
      <c r="A1490" s="112">
        <v>39127</v>
      </c>
      <c r="B1490" s="1">
        <f t="shared" si="23"/>
        <v>26</v>
      </c>
    </row>
    <row r="1491" spans="1:2">
      <c r="A1491" s="112">
        <v>39128</v>
      </c>
      <c r="B1491" s="1">
        <f t="shared" si="23"/>
        <v>27</v>
      </c>
    </row>
    <row r="1492" spans="1:2">
      <c r="A1492" s="112">
        <v>39129</v>
      </c>
      <c r="B1492" s="1">
        <f t="shared" si="23"/>
        <v>28</v>
      </c>
    </row>
    <row r="1493" spans="1:2">
      <c r="A1493" s="112">
        <v>39130</v>
      </c>
      <c r="B1493" s="1">
        <f t="shared" si="23"/>
        <v>0</v>
      </c>
    </row>
    <row r="1494" spans="1:2">
      <c r="A1494" s="112">
        <v>39131</v>
      </c>
      <c r="B1494" s="1">
        <f t="shared" si="23"/>
        <v>1</v>
      </c>
    </row>
    <row r="1495" spans="1:2">
      <c r="A1495" s="112">
        <v>39132</v>
      </c>
      <c r="B1495" s="1">
        <f t="shared" si="23"/>
        <v>2</v>
      </c>
    </row>
    <row r="1496" spans="1:2">
      <c r="A1496" s="112">
        <v>39133</v>
      </c>
      <c r="B1496" s="1">
        <f t="shared" si="23"/>
        <v>3</v>
      </c>
    </row>
    <row r="1497" spans="1:2">
      <c r="A1497" s="112">
        <v>39134</v>
      </c>
      <c r="B1497" s="1">
        <f t="shared" si="23"/>
        <v>4</v>
      </c>
    </row>
    <row r="1498" spans="1:2">
      <c r="A1498" s="112">
        <v>39135</v>
      </c>
      <c r="B1498" s="1">
        <f t="shared" si="23"/>
        <v>5</v>
      </c>
    </row>
    <row r="1499" spans="1:2">
      <c r="A1499" s="112">
        <v>39136</v>
      </c>
      <c r="B1499" s="1">
        <f t="shared" si="23"/>
        <v>6</v>
      </c>
    </row>
    <row r="1500" spans="1:2">
      <c r="A1500" s="112">
        <v>39137</v>
      </c>
      <c r="B1500" s="1">
        <f t="shared" si="23"/>
        <v>7</v>
      </c>
    </row>
    <row r="1501" spans="1:2">
      <c r="A1501" s="112">
        <v>39138</v>
      </c>
      <c r="B1501" s="1">
        <f t="shared" si="23"/>
        <v>8</v>
      </c>
    </row>
    <row r="1502" spans="1:2">
      <c r="A1502" s="112">
        <v>39139</v>
      </c>
      <c r="B1502" s="1">
        <f t="shared" si="23"/>
        <v>9</v>
      </c>
    </row>
    <row r="1503" spans="1:2">
      <c r="A1503" s="112">
        <v>39140</v>
      </c>
      <c r="B1503" s="1">
        <f t="shared" si="23"/>
        <v>10</v>
      </c>
    </row>
    <row r="1504" spans="1:2">
      <c r="A1504" s="112">
        <v>39141</v>
      </c>
      <c r="B1504" s="1">
        <f t="shared" si="23"/>
        <v>11</v>
      </c>
    </row>
    <row r="1505" spans="1:2">
      <c r="A1505" s="112">
        <v>39142</v>
      </c>
      <c r="B1505" s="1">
        <f t="shared" si="23"/>
        <v>12</v>
      </c>
    </row>
    <row r="1506" spans="1:2">
      <c r="A1506" s="112">
        <v>39143</v>
      </c>
      <c r="B1506" s="1">
        <f t="shared" si="23"/>
        <v>13</v>
      </c>
    </row>
    <row r="1507" spans="1:2">
      <c r="A1507" s="112">
        <v>39144</v>
      </c>
      <c r="B1507" s="1">
        <f t="shared" si="23"/>
        <v>14</v>
      </c>
    </row>
    <row r="1508" spans="1:2">
      <c r="A1508" s="112">
        <v>39145</v>
      </c>
      <c r="B1508" s="1">
        <f t="shared" si="23"/>
        <v>15</v>
      </c>
    </row>
    <row r="1509" spans="1:2">
      <c r="A1509" s="112">
        <v>39146</v>
      </c>
      <c r="B1509" s="1">
        <f t="shared" si="23"/>
        <v>16</v>
      </c>
    </row>
    <row r="1510" spans="1:2">
      <c r="A1510" s="112">
        <v>39147</v>
      </c>
      <c r="B1510" s="1">
        <f t="shared" si="23"/>
        <v>17</v>
      </c>
    </row>
    <row r="1511" spans="1:2">
      <c r="A1511" s="112">
        <v>39148</v>
      </c>
      <c r="B1511" s="1">
        <f t="shared" si="23"/>
        <v>18</v>
      </c>
    </row>
    <row r="1512" spans="1:2">
      <c r="A1512" s="112">
        <v>39149</v>
      </c>
      <c r="B1512" s="1">
        <f t="shared" si="23"/>
        <v>19</v>
      </c>
    </row>
    <row r="1513" spans="1:2">
      <c r="A1513" s="112">
        <v>39150</v>
      </c>
      <c r="B1513" s="1">
        <f t="shared" si="23"/>
        <v>20</v>
      </c>
    </row>
    <row r="1514" spans="1:2">
      <c r="A1514" s="112">
        <v>39151</v>
      </c>
      <c r="B1514" s="1">
        <f t="shared" si="23"/>
        <v>21</v>
      </c>
    </row>
    <row r="1515" spans="1:2">
      <c r="A1515" s="112">
        <v>39152</v>
      </c>
      <c r="B1515" s="1">
        <f t="shared" si="23"/>
        <v>22</v>
      </c>
    </row>
    <row r="1516" spans="1:2">
      <c r="A1516" s="112">
        <v>39153</v>
      </c>
      <c r="B1516" s="1">
        <f t="shared" si="23"/>
        <v>23</v>
      </c>
    </row>
    <row r="1517" spans="1:2">
      <c r="A1517" s="112">
        <v>39154</v>
      </c>
      <c r="B1517" s="1">
        <f t="shared" si="23"/>
        <v>24</v>
      </c>
    </row>
    <row r="1518" spans="1:2">
      <c r="A1518" s="112">
        <v>39155</v>
      </c>
      <c r="B1518" s="1">
        <f t="shared" si="23"/>
        <v>25</v>
      </c>
    </row>
    <row r="1519" spans="1:2">
      <c r="A1519" s="112">
        <v>39156</v>
      </c>
      <c r="B1519" s="1">
        <f t="shared" si="23"/>
        <v>26</v>
      </c>
    </row>
    <row r="1520" spans="1:2">
      <c r="A1520" s="112">
        <v>39157</v>
      </c>
      <c r="B1520" s="1">
        <f t="shared" si="23"/>
        <v>27</v>
      </c>
    </row>
    <row r="1521" spans="1:2">
      <c r="A1521" s="112">
        <v>39158</v>
      </c>
      <c r="B1521" s="1">
        <f t="shared" si="23"/>
        <v>28</v>
      </c>
    </row>
    <row r="1522" spans="1:2">
      <c r="A1522" s="112">
        <v>39159</v>
      </c>
      <c r="B1522" s="1">
        <f t="shared" si="23"/>
        <v>29</v>
      </c>
    </row>
    <row r="1523" spans="1:2">
      <c r="A1523" s="112">
        <v>39160</v>
      </c>
      <c r="B1523" s="1">
        <f t="shared" si="23"/>
        <v>0</v>
      </c>
    </row>
    <row r="1524" spans="1:2">
      <c r="A1524" s="112">
        <v>39161</v>
      </c>
      <c r="B1524" s="1">
        <f t="shared" si="23"/>
        <v>1</v>
      </c>
    </row>
    <row r="1525" spans="1:2">
      <c r="A1525" s="112">
        <v>39162</v>
      </c>
      <c r="B1525" s="1">
        <f t="shared" si="23"/>
        <v>2</v>
      </c>
    </row>
    <row r="1526" spans="1:2">
      <c r="A1526" s="112">
        <v>39163</v>
      </c>
      <c r="B1526" s="1">
        <f t="shared" si="23"/>
        <v>3</v>
      </c>
    </row>
    <row r="1527" spans="1:2">
      <c r="A1527" s="112">
        <v>39164</v>
      </c>
      <c r="B1527" s="1">
        <f t="shared" si="23"/>
        <v>4</v>
      </c>
    </row>
    <row r="1528" spans="1:2">
      <c r="A1528" s="112">
        <v>39165</v>
      </c>
      <c r="B1528" s="1">
        <f t="shared" si="23"/>
        <v>5</v>
      </c>
    </row>
    <row r="1529" spans="1:2">
      <c r="A1529" s="112">
        <v>39166</v>
      </c>
      <c r="B1529" s="1">
        <f t="shared" si="23"/>
        <v>6</v>
      </c>
    </row>
    <row r="1530" spans="1:2">
      <c r="A1530" s="112">
        <v>39167</v>
      </c>
      <c r="B1530" s="1">
        <f t="shared" si="23"/>
        <v>7</v>
      </c>
    </row>
    <row r="1531" spans="1:2">
      <c r="A1531" s="112">
        <v>39168</v>
      </c>
      <c r="B1531" s="1">
        <f t="shared" si="23"/>
        <v>8</v>
      </c>
    </row>
    <row r="1532" spans="1:2">
      <c r="A1532" s="112">
        <v>39169</v>
      </c>
      <c r="B1532" s="1">
        <f t="shared" si="23"/>
        <v>9</v>
      </c>
    </row>
    <row r="1533" spans="1:2">
      <c r="A1533" s="112">
        <v>39170</v>
      </c>
      <c r="B1533" s="1">
        <f t="shared" si="23"/>
        <v>10</v>
      </c>
    </row>
    <row r="1534" spans="1:2">
      <c r="A1534" s="112">
        <v>39171</v>
      </c>
      <c r="B1534" s="1">
        <f t="shared" si="23"/>
        <v>11</v>
      </c>
    </row>
    <row r="1535" spans="1:2">
      <c r="A1535" s="112">
        <v>39172</v>
      </c>
      <c r="B1535" s="1">
        <f t="shared" si="23"/>
        <v>12</v>
      </c>
    </row>
    <row r="1536" spans="1:2">
      <c r="A1536" s="112">
        <v>39173</v>
      </c>
      <c r="B1536" s="1">
        <f t="shared" si="23"/>
        <v>13</v>
      </c>
    </row>
    <row r="1537" spans="1:2">
      <c r="A1537" s="112">
        <v>39174</v>
      </c>
      <c r="B1537" s="1">
        <f t="shared" si="23"/>
        <v>14</v>
      </c>
    </row>
    <row r="1538" spans="1:2">
      <c r="A1538" s="112">
        <v>39175</v>
      </c>
      <c r="B1538" s="1">
        <f t="shared" si="23"/>
        <v>15</v>
      </c>
    </row>
    <row r="1539" spans="1:2">
      <c r="A1539" s="112">
        <v>39176</v>
      </c>
      <c r="B1539" s="1">
        <f t="shared" ref="B1539:B1602" si="24">INT(MOD($G$2+A1539-$F$2,29.53))</f>
        <v>16</v>
      </c>
    </row>
    <row r="1540" spans="1:2">
      <c r="A1540" s="112">
        <v>39177</v>
      </c>
      <c r="B1540" s="1">
        <f t="shared" si="24"/>
        <v>17</v>
      </c>
    </row>
    <row r="1541" spans="1:2">
      <c r="A1541" s="112">
        <v>39178</v>
      </c>
      <c r="B1541" s="1">
        <f t="shared" si="24"/>
        <v>18</v>
      </c>
    </row>
    <row r="1542" spans="1:2">
      <c r="A1542" s="112">
        <v>39179</v>
      </c>
      <c r="B1542" s="1">
        <f t="shared" si="24"/>
        <v>19</v>
      </c>
    </row>
    <row r="1543" spans="1:2">
      <c r="A1543" s="112">
        <v>39180</v>
      </c>
      <c r="B1543" s="1">
        <f t="shared" si="24"/>
        <v>20</v>
      </c>
    </row>
    <row r="1544" spans="1:2">
      <c r="A1544" s="112">
        <v>39181</v>
      </c>
      <c r="B1544" s="1">
        <f t="shared" si="24"/>
        <v>21</v>
      </c>
    </row>
    <row r="1545" spans="1:2">
      <c r="A1545" s="112">
        <v>39182</v>
      </c>
      <c r="B1545" s="1">
        <f t="shared" si="24"/>
        <v>22</v>
      </c>
    </row>
    <row r="1546" spans="1:2">
      <c r="A1546" s="112">
        <v>39183</v>
      </c>
      <c r="B1546" s="1">
        <f t="shared" si="24"/>
        <v>23</v>
      </c>
    </row>
    <row r="1547" spans="1:2">
      <c r="A1547" s="112">
        <v>39184</v>
      </c>
      <c r="B1547" s="1">
        <f t="shared" si="24"/>
        <v>24</v>
      </c>
    </row>
    <row r="1548" spans="1:2">
      <c r="A1548" s="112">
        <v>39185</v>
      </c>
      <c r="B1548" s="1">
        <f t="shared" si="24"/>
        <v>25</v>
      </c>
    </row>
    <row r="1549" spans="1:2">
      <c r="A1549" s="112">
        <v>39186</v>
      </c>
      <c r="B1549" s="1">
        <f t="shared" si="24"/>
        <v>26</v>
      </c>
    </row>
    <row r="1550" spans="1:2">
      <c r="A1550" s="112">
        <v>39187</v>
      </c>
      <c r="B1550" s="1">
        <f t="shared" si="24"/>
        <v>27</v>
      </c>
    </row>
    <row r="1551" spans="1:2">
      <c r="A1551" s="112">
        <v>39188</v>
      </c>
      <c r="B1551" s="1">
        <f t="shared" si="24"/>
        <v>28</v>
      </c>
    </row>
    <row r="1552" spans="1:2">
      <c r="A1552" s="112">
        <v>39189</v>
      </c>
      <c r="B1552" s="1">
        <f t="shared" si="24"/>
        <v>0</v>
      </c>
    </row>
    <row r="1553" spans="1:2">
      <c r="A1553" s="112">
        <v>39190</v>
      </c>
      <c r="B1553" s="1">
        <f t="shared" si="24"/>
        <v>1</v>
      </c>
    </row>
    <row r="1554" spans="1:2">
      <c r="A1554" s="112">
        <v>39191</v>
      </c>
      <c r="B1554" s="1">
        <f t="shared" si="24"/>
        <v>2</v>
      </c>
    </row>
    <row r="1555" spans="1:2">
      <c r="A1555" s="112">
        <v>39192</v>
      </c>
      <c r="B1555" s="1">
        <f t="shared" si="24"/>
        <v>3</v>
      </c>
    </row>
    <row r="1556" spans="1:2">
      <c r="A1556" s="112">
        <v>39193</v>
      </c>
      <c r="B1556" s="1">
        <f t="shared" si="24"/>
        <v>4</v>
      </c>
    </row>
    <row r="1557" spans="1:2">
      <c r="A1557" s="112">
        <v>39194</v>
      </c>
      <c r="B1557" s="1">
        <f t="shared" si="24"/>
        <v>5</v>
      </c>
    </row>
    <row r="1558" spans="1:2">
      <c r="A1558" s="112">
        <v>39195</v>
      </c>
      <c r="B1558" s="1">
        <f t="shared" si="24"/>
        <v>6</v>
      </c>
    </row>
    <row r="1559" spans="1:2">
      <c r="A1559" s="112">
        <v>39196</v>
      </c>
      <c r="B1559" s="1">
        <f t="shared" si="24"/>
        <v>7</v>
      </c>
    </row>
    <row r="1560" spans="1:2">
      <c r="A1560" s="112">
        <v>39197</v>
      </c>
      <c r="B1560" s="1">
        <f t="shared" si="24"/>
        <v>8</v>
      </c>
    </row>
    <row r="1561" spans="1:2">
      <c r="A1561" s="112">
        <v>39198</v>
      </c>
      <c r="B1561" s="1">
        <f t="shared" si="24"/>
        <v>9</v>
      </c>
    </row>
    <row r="1562" spans="1:2">
      <c r="A1562" s="112">
        <v>39199</v>
      </c>
      <c r="B1562" s="1">
        <f t="shared" si="24"/>
        <v>10</v>
      </c>
    </row>
    <row r="1563" spans="1:2">
      <c r="A1563" s="112">
        <v>39200</v>
      </c>
      <c r="B1563" s="1">
        <f t="shared" si="24"/>
        <v>11</v>
      </c>
    </row>
    <row r="1564" spans="1:2">
      <c r="A1564" s="112">
        <v>39201</v>
      </c>
      <c r="B1564" s="1">
        <f t="shared" si="24"/>
        <v>12</v>
      </c>
    </row>
    <row r="1565" spans="1:2">
      <c r="A1565" s="112">
        <v>39202</v>
      </c>
      <c r="B1565" s="1">
        <f t="shared" si="24"/>
        <v>13</v>
      </c>
    </row>
    <row r="1566" spans="1:2">
      <c r="A1566" s="112">
        <v>39203</v>
      </c>
      <c r="B1566" s="1">
        <f t="shared" si="24"/>
        <v>14</v>
      </c>
    </row>
    <row r="1567" spans="1:2">
      <c r="A1567" s="112">
        <v>39204</v>
      </c>
      <c r="B1567" s="1">
        <f t="shared" si="24"/>
        <v>15</v>
      </c>
    </row>
    <row r="1568" spans="1:2">
      <c r="A1568" s="112">
        <v>39205</v>
      </c>
      <c r="B1568" s="1">
        <f t="shared" si="24"/>
        <v>16</v>
      </c>
    </row>
    <row r="1569" spans="1:2">
      <c r="A1569" s="112">
        <v>39206</v>
      </c>
      <c r="B1569" s="1">
        <f t="shared" si="24"/>
        <v>17</v>
      </c>
    </row>
    <row r="1570" spans="1:2">
      <c r="A1570" s="112">
        <v>39207</v>
      </c>
      <c r="B1570" s="1">
        <f t="shared" si="24"/>
        <v>18</v>
      </c>
    </row>
    <row r="1571" spans="1:2">
      <c r="A1571" s="112">
        <v>39208</v>
      </c>
      <c r="B1571" s="1">
        <f t="shared" si="24"/>
        <v>19</v>
      </c>
    </row>
    <row r="1572" spans="1:2">
      <c r="A1572" s="112">
        <v>39209</v>
      </c>
      <c r="B1572" s="1">
        <f t="shared" si="24"/>
        <v>20</v>
      </c>
    </row>
    <row r="1573" spans="1:2">
      <c r="A1573" s="112">
        <v>39210</v>
      </c>
      <c r="B1573" s="1">
        <f t="shared" si="24"/>
        <v>21</v>
      </c>
    </row>
    <row r="1574" spans="1:2">
      <c r="A1574" s="112">
        <v>39211</v>
      </c>
      <c r="B1574" s="1">
        <f t="shared" si="24"/>
        <v>22</v>
      </c>
    </row>
    <row r="1575" spans="1:2">
      <c r="A1575" s="112">
        <v>39212</v>
      </c>
      <c r="B1575" s="1">
        <f t="shared" si="24"/>
        <v>23</v>
      </c>
    </row>
    <row r="1576" spans="1:2">
      <c r="A1576" s="112">
        <v>39213</v>
      </c>
      <c r="B1576" s="1">
        <f t="shared" si="24"/>
        <v>24</v>
      </c>
    </row>
    <row r="1577" spans="1:2">
      <c r="A1577" s="112">
        <v>39214</v>
      </c>
      <c r="B1577" s="1">
        <f t="shared" si="24"/>
        <v>25</v>
      </c>
    </row>
    <row r="1578" spans="1:2">
      <c r="A1578" s="112">
        <v>39215</v>
      </c>
      <c r="B1578" s="1">
        <f t="shared" si="24"/>
        <v>26</v>
      </c>
    </row>
    <row r="1579" spans="1:2">
      <c r="A1579" s="112">
        <v>39216</v>
      </c>
      <c r="B1579" s="1">
        <f t="shared" si="24"/>
        <v>27</v>
      </c>
    </row>
    <row r="1580" spans="1:2">
      <c r="A1580" s="112">
        <v>39217</v>
      </c>
      <c r="B1580" s="1">
        <f t="shared" si="24"/>
        <v>28</v>
      </c>
    </row>
    <row r="1581" spans="1:2">
      <c r="A1581" s="112">
        <v>39218</v>
      </c>
      <c r="B1581" s="1">
        <f t="shared" si="24"/>
        <v>29</v>
      </c>
    </row>
    <row r="1582" spans="1:2">
      <c r="A1582" s="112">
        <v>39219</v>
      </c>
      <c r="B1582" s="1">
        <f t="shared" si="24"/>
        <v>0</v>
      </c>
    </row>
    <row r="1583" spans="1:2">
      <c r="A1583" s="112">
        <v>39220</v>
      </c>
      <c r="B1583" s="1">
        <f t="shared" si="24"/>
        <v>1</v>
      </c>
    </row>
    <row r="1584" spans="1:2">
      <c r="A1584" s="112">
        <v>39221</v>
      </c>
      <c r="B1584" s="1">
        <f t="shared" si="24"/>
        <v>2</v>
      </c>
    </row>
    <row r="1585" spans="1:2">
      <c r="A1585" s="112">
        <v>39222</v>
      </c>
      <c r="B1585" s="1">
        <f t="shared" si="24"/>
        <v>3</v>
      </c>
    </row>
    <row r="1586" spans="1:2">
      <c r="A1586" s="112">
        <v>39223</v>
      </c>
      <c r="B1586" s="1">
        <f t="shared" si="24"/>
        <v>4</v>
      </c>
    </row>
    <row r="1587" spans="1:2">
      <c r="A1587" s="112">
        <v>39224</v>
      </c>
      <c r="B1587" s="1">
        <f t="shared" si="24"/>
        <v>5</v>
      </c>
    </row>
    <row r="1588" spans="1:2">
      <c r="A1588" s="112">
        <v>39225</v>
      </c>
      <c r="B1588" s="1">
        <f t="shared" si="24"/>
        <v>6</v>
      </c>
    </row>
    <row r="1589" spans="1:2">
      <c r="A1589" s="112">
        <v>39226</v>
      </c>
      <c r="B1589" s="1">
        <f t="shared" si="24"/>
        <v>7</v>
      </c>
    </row>
    <row r="1590" spans="1:2">
      <c r="A1590" s="112">
        <v>39227</v>
      </c>
      <c r="B1590" s="1">
        <f t="shared" si="24"/>
        <v>8</v>
      </c>
    </row>
    <row r="1591" spans="1:2">
      <c r="A1591" s="112">
        <v>39228</v>
      </c>
      <c r="B1591" s="1">
        <f t="shared" si="24"/>
        <v>9</v>
      </c>
    </row>
    <row r="1592" spans="1:2">
      <c r="A1592" s="112">
        <v>39229</v>
      </c>
      <c r="B1592" s="1">
        <f t="shared" si="24"/>
        <v>10</v>
      </c>
    </row>
    <row r="1593" spans="1:2">
      <c r="A1593" s="112">
        <v>39230</v>
      </c>
      <c r="B1593" s="1">
        <f t="shared" si="24"/>
        <v>11</v>
      </c>
    </row>
    <row r="1594" spans="1:2">
      <c r="A1594" s="112">
        <v>39231</v>
      </c>
      <c r="B1594" s="1">
        <f t="shared" si="24"/>
        <v>12</v>
      </c>
    </row>
    <row r="1595" spans="1:2">
      <c r="A1595" s="112">
        <v>39232</v>
      </c>
      <c r="B1595" s="1">
        <f t="shared" si="24"/>
        <v>13</v>
      </c>
    </row>
    <row r="1596" spans="1:2">
      <c r="A1596" s="112">
        <v>39233</v>
      </c>
      <c r="B1596" s="1">
        <f t="shared" si="24"/>
        <v>14</v>
      </c>
    </row>
    <row r="1597" spans="1:2">
      <c r="A1597" s="112">
        <v>39234</v>
      </c>
      <c r="B1597" s="1">
        <f t="shared" si="24"/>
        <v>15</v>
      </c>
    </row>
    <row r="1598" spans="1:2">
      <c r="A1598" s="112">
        <v>39235</v>
      </c>
      <c r="B1598" s="1">
        <f t="shared" si="24"/>
        <v>16</v>
      </c>
    </row>
    <row r="1599" spans="1:2">
      <c r="A1599" s="112">
        <v>39236</v>
      </c>
      <c r="B1599" s="1">
        <f t="shared" si="24"/>
        <v>17</v>
      </c>
    </row>
    <row r="1600" spans="1:2">
      <c r="A1600" s="112">
        <v>39237</v>
      </c>
      <c r="B1600" s="1">
        <f t="shared" si="24"/>
        <v>18</v>
      </c>
    </row>
    <row r="1601" spans="1:2">
      <c r="A1601" s="112">
        <v>39238</v>
      </c>
      <c r="B1601" s="1">
        <f t="shared" si="24"/>
        <v>19</v>
      </c>
    </row>
    <row r="1602" spans="1:2">
      <c r="A1602" s="112">
        <v>39239</v>
      </c>
      <c r="B1602" s="1">
        <f t="shared" si="24"/>
        <v>20</v>
      </c>
    </row>
    <row r="1603" spans="1:2">
      <c r="A1603" s="112">
        <v>39240</v>
      </c>
      <c r="B1603" s="1">
        <f t="shared" ref="B1603:B1666" si="25">INT(MOD($G$2+A1603-$F$2,29.53))</f>
        <v>21</v>
      </c>
    </row>
    <row r="1604" spans="1:2">
      <c r="A1604" s="112">
        <v>39241</v>
      </c>
      <c r="B1604" s="1">
        <f t="shared" si="25"/>
        <v>22</v>
      </c>
    </row>
    <row r="1605" spans="1:2">
      <c r="A1605" s="112">
        <v>39242</v>
      </c>
      <c r="B1605" s="1">
        <f t="shared" si="25"/>
        <v>23</v>
      </c>
    </row>
    <row r="1606" spans="1:2">
      <c r="A1606" s="112">
        <v>39243</v>
      </c>
      <c r="B1606" s="1">
        <f t="shared" si="25"/>
        <v>24</v>
      </c>
    </row>
    <row r="1607" spans="1:2">
      <c r="A1607" s="112">
        <v>39244</v>
      </c>
      <c r="B1607" s="1">
        <f t="shared" si="25"/>
        <v>25</v>
      </c>
    </row>
    <row r="1608" spans="1:2">
      <c r="A1608" s="112">
        <v>39245</v>
      </c>
      <c r="B1608" s="1">
        <f t="shared" si="25"/>
        <v>26</v>
      </c>
    </row>
    <row r="1609" spans="1:2">
      <c r="A1609" s="112">
        <v>39246</v>
      </c>
      <c r="B1609" s="1">
        <f t="shared" si="25"/>
        <v>27</v>
      </c>
    </row>
    <row r="1610" spans="1:2">
      <c r="A1610" s="112">
        <v>39247</v>
      </c>
      <c r="B1610" s="1">
        <f t="shared" si="25"/>
        <v>28</v>
      </c>
    </row>
    <row r="1611" spans="1:2">
      <c r="A1611" s="112">
        <v>39248</v>
      </c>
      <c r="B1611" s="1">
        <f t="shared" si="25"/>
        <v>0</v>
      </c>
    </row>
    <row r="1612" spans="1:2">
      <c r="A1612" s="112">
        <v>39249</v>
      </c>
      <c r="B1612" s="1">
        <f t="shared" si="25"/>
        <v>1</v>
      </c>
    </row>
    <row r="1613" spans="1:2">
      <c r="A1613" s="112">
        <v>39250</v>
      </c>
      <c r="B1613" s="1">
        <f t="shared" si="25"/>
        <v>2</v>
      </c>
    </row>
    <row r="1614" spans="1:2">
      <c r="A1614" s="112">
        <v>39251</v>
      </c>
      <c r="B1614" s="1">
        <f t="shared" si="25"/>
        <v>3</v>
      </c>
    </row>
    <row r="1615" spans="1:2">
      <c r="A1615" s="112">
        <v>39252</v>
      </c>
      <c r="B1615" s="1">
        <f t="shared" si="25"/>
        <v>4</v>
      </c>
    </row>
    <row r="1616" spans="1:2">
      <c r="A1616" s="112">
        <v>39253</v>
      </c>
      <c r="B1616" s="1">
        <f t="shared" si="25"/>
        <v>5</v>
      </c>
    </row>
    <row r="1617" spans="1:2">
      <c r="A1617" s="112">
        <v>39254</v>
      </c>
      <c r="B1617" s="1">
        <f t="shared" si="25"/>
        <v>6</v>
      </c>
    </row>
    <row r="1618" spans="1:2">
      <c r="A1618" s="112">
        <v>39255</v>
      </c>
      <c r="B1618" s="1">
        <f t="shared" si="25"/>
        <v>7</v>
      </c>
    </row>
    <row r="1619" spans="1:2">
      <c r="A1619" s="112">
        <v>39256</v>
      </c>
      <c r="B1619" s="1">
        <f t="shared" si="25"/>
        <v>8</v>
      </c>
    </row>
    <row r="1620" spans="1:2">
      <c r="A1620" s="112">
        <v>39257</v>
      </c>
      <c r="B1620" s="1">
        <f t="shared" si="25"/>
        <v>9</v>
      </c>
    </row>
    <row r="1621" spans="1:2">
      <c r="A1621" s="112">
        <v>39258</v>
      </c>
      <c r="B1621" s="1">
        <f t="shared" si="25"/>
        <v>10</v>
      </c>
    </row>
    <row r="1622" spans="1:2">
      <c r="A1622" s="112">
        <v>39259</v>
      </c>
      <c r="B1622" s="1">
        <f t="shared" si="25"/>
        <v>11</v>
      </c>
    </row>
    <row r="1623" spans="1:2">
      <c r="A1623" s="112">
        <v>39260</v>
      </c>
      <c r="B1623" s="1">
        <f t="shared" si="25"/>
        <v>12</v>
      </c>
    </row>
    <row r="1624" spans="1:2">
      <c r="A1624" s="112">
        <v>39261</v>
      </c>
      <c r="B1624" s="1">
        <f t="shared" si="25"/>
        <v>13</v>
      </c>
    </row>
    <row r="1625" spans="1:2">
      <c r="A1625" s="112">
        <v>39262</v>
      </c>
      <c r="B1625" s="1">
        <f t="shared" si="25"/>
        <v>14</v>
      </c>
    </row>
    <row r="1626" spans="1:2">
      <c r="A1626" s="112">
        <v>39263</v>
      </c>
      <c r="B1626" s="1">
        <f t="shared" si="25"/>
        <v>15</v>
      </c>
    </row>
    <row r="1627" spans="1:2">
      <c r="A1627" s="112">
        <v>39264</v>
      </c>
      <c r="B1627" s="1">
        <f t="shared" si="25"/>
        <v>16</v>
      </c>
    </row>
    <row r="1628" spans="1:2">
      <c r="A1628" s="112">
        <v>39265</v>
      </c>
      <c r="B1628" s="1">
        <f t="shared" si="25"/>
        <v>17</v>
      </c>
    </row>
    <row r="1629" spans="1:2">
      <c r="A1629" s="112">
        <v>39266</v>
      </c>
      <c r="B1629" s="1">
        <f t="shared" si="25"/>
        <v>18</v>
      </c>
    </row>
    <row r="1630" spans="1:2">
      <c r="A1630" s="112">
        <v>39267</v>
      </c>
      <c r="B1630" s="1">
        <f t="shared" si="25"/>
        <v>19</v>
      </c>
    </row>
    <row r="1631" spans="1:2">
      <c r="A1631" s="112">
        <v>39268</v>
      </c>
      <c r="B1631" s="1">
        <f t="shared" si="25"/>
        <v>20</v>
      </c>
    </row>
    <row r="1632" spans="1:2">
      <c r="A1632" s="112">
        <v>39269</v>
      </c>
      <c r="B1632" s="1">
        <f t="shared" si="25"/>
        <v>21</v>
      </c>
    </row>
    <row r="1633" spans="1:2">
      <c r="A1633" s="112">
        <v>39270</v>
      </c>
      <c r="B1633" s="1">
        <f t="shared" si="25"/>
        <v>22</v>
      </c>
    </row>
    <row r="1634" spans="1:2">
      <c r="A1634" s="112">
        <v>39271</v>
      </c>
      <c r="B1634" s="1">
        <f t="shared" si="25"/>
        <v>23</v>
      </c>
    </row>
    <row r="1635" spans="1:2">
      <c r="A1635" s="112">
        <v>39272</v>
      </c>
      <c r="B1635" s="1">
        <f t="shared" si="25"/>
        <v>24</v>
      </c>
    </row>
    <row r="1636" spans="1:2">
      <c r="A1636" s="112">
        <v>39273</v>
      </c>
      <c r="B1636" s="1">
        <f t="shared" si="25"/>
        <v>25</v>
      </c>
    </row>
    <row r="1637" spans="1:2">
      <c r="A1637" s="112">
        <v>39274</v>
      </c>
      <c r="B1637" s="1">
        <f t="shared" si="25"/>
        <v>26</v>
      </c>
    </row>
    <row r="1638" spans="1:2">
      <c r="A1638" s="112">
        <v>39275</v>
      </c>
      <c r="B1638" s="1">
        <f t="shared" si="25"/>
        <v>27</v>
      </c>
    </row>
    <row r="1639" spans="1:2">
      <c r="A1639" s="112">
        <v>39276</v>
      </c>
      <c r="B1639" s="1">
        <f t="shared" si="25"/>
        <v>28</v>
      </c>
    </row>
    <row r="1640" spans="1:2">
      <c r="A1640" s="112">
        <v>39277</v>
      </c>
      <c r="B1640" s="1">
        <f t="shared" si="25"/>
        <v>29</v>
      </c>
    </row>
    <row r="1641" spans="1:2">
      <c r="A1641" s="112">
        <v>39278</v>
      </c>
      <c r="B1641" s="1">
        <f t="shared" si="25"/>
        <v>0</v>
      </c>
    </row>
    <row r="1642" spans="1:2">
      <c r="A1642" s="112">
        <v>39279</v>
      </c>
      <c r="B1642" s="1">
        <f t="shared" si="25"/>
        <v>1</v>
      </c>
    </row>
    <row r="1643" spans="1:2">
      <c r="A1643" s="112">
        <v>39280</v>
      </c>
      <c r="B1643" s="1">
        <f t="shared" si="25"/>
        <v>2</v>
      </c>
    </row>
    <row r="1644" spans="1:2">
      <c r="A1644" s="112">
        <v>39281</v>
      </c>
      <c r="B1644" s="1">
        <f t="shared" si="25"/>
        <v>3</v>
      </c>
    </row>
    <row r="1645" spans="1:2">
      <c r="A1645" s="112">
        <v>39282</v>
      </c>
      <c r="B1645" s="1">
        <f t="shared" si="25"/>
        <v>4</v>
      </c>
    </row>
    <row r="1646" spans="1:2">
      <c r="A1646" s="112">
        <v>39283</v>
      </c>
      <c r="B1646" s="1">
        <f t="shared" si="25"/>
        <v>5</v>
      </c>
    </row>
    <row r="1647" spans="1:2">
      <c r="A1647" s="112">
        <v>39284</v>
      </c>
      <c r="B1647" s="1">
        <f t="shared" si="25"/>
        <v>6</v>
      </c>
    </row>
    <row r="1648" spans="1:2">
      <c r="A1648" s="112">
        <v>39285</v>
      </c>
      <c r="B1648" s="1">
        <f t="shared" si="25"/>
        <v>7</v>
      </c>
    </row>
    <row r="1649" spans="1:2">
      <c r="A1649" s="112">
        <v>39286</v>
      </c>
      <c r="B1649" s="1">
        <f t="shared" si="25"/>
        <v>8</v>
      </c>
    </row>
    <row r="1650" spans="1:2">
      <c r="A1650" s="112">
        <v>39287</v>
      </c>
      <c r="B1650" s="1">
        <f t="shared" si="25"/>
        <v>9</v>
      </c>
    </row>
    <row r="1651" spans="1:2">
      <c r="A1651" s="112">
        <v>39288</v>
      </c>
      <c r="B1651" s="1">
        <f t="shared" si="25"/>
        <v>10</v>
      </c>
    </row>
    <row r="1652" spans="1:2">
      <c r="A1652" s="112">
        <v>39289</v>
      </c>
      <c r="B1652" s="1">
        <f t="shared" si="25"/>
        <v>11</v>
      </c>
    </row>
    <row r="1653" spans="1:2">
      <c r="A1653" s="112">
        <v>39290</v>
      </c>
      <c r="B1653" s="1">
        <f t="shared" si="25"/>
        <v>12</v>
      </c>
    </row>
    <row r="1654" spans="1:2">
      <c r="A1654" s="112">
        <v>39291</v>
      </c>
      <c r="B1654" s="1">
        <f t="shared" si="25"/>
        <v>13</v>
      </c>
    </row>
    <row r="1655" spans="1:2">
      <c r="A1655" s="112">
        <v>39292</v>
      </c>
      <c r="B1655" s="1">
        <f t="shared" si="25"/>
        <v>14</v>
      </c>
    </row>
    <row r="1656" spans="1:2">
      <c r="A1656" s="112">
        <v>39293</v>
      </c>
      <c r="B1656" s="1">
        <f t="shared" si="25"/>
        <v>15</v>
      </c>
    </row>
    <row r="1657" spans="1:2">
      <c r="A1657" s="112">
        <v>39294</v>
      </c>
      <c r="B1657" s="1">
        <f t="shared" si="25"/>
        <v>16</v>
      </c>
    </row>
    <row r="1658" spans="1:2">
      <c r="A1658" s="112">
        <v>39295</v>
      </c>
      <c r="B1658" s="1">
        <f t="shared" si="25"/>
        <v>17</v>
      </c>
    </row>
    <row r="1659" spans="1:2">
      <c r="A1659" s="112">
        <v>39296</v>
      </c>
      <c r="B1659" s="1">
        <f t="shared" si="25"/>
        <v>18</v>
      </c>
    </row>
    <row r="1660" spans="1:2">
      <c r="A1660" s="112">
        <v>39297</v>
      </c>
      <c r="B1660" s="1">
        <f t="shared" si="25"/>
        <v>19</v>
      </c>
    </row>
    <row r="1661" spans="1:2">
      <c r="A1661" s="112">
        <v>39298</v>
      </c>
      <c r="B1661" s="1">
        <f t="shared" si="25"/>
        <v>20</v>
      </c>
    </row>
    <row r="1662" spans="1:2">
      <c r="A1662" s="112">
        <v>39299</v>
      </c>
      <c r="B1662" s="1">
        <f t="shared" si="25"/>
        <v>21</v>
      </c>
    </row>
    <row r="1663" spans="1:2">
      <c r="A1663" s="112">
        <v>39300</v>
      </c>
      <c r="B1663" s="1">
        <f t="shared" si="25"/>
        <v>22</v>
      </c>
    </row>
    <row r="1664" spans="1:2">
      <c r="A1664" s="112">
        <v>39301</v>
      </c>
      <c r="B1664" s="1">
        <f t="shared" si="25"/>
        <v>23</v>
      </c>
    </row>
    <row r="1665" spans="1:2">
      <c r="A1665" s="112">
        <v>39302</v>
      </c>
      <c r="B1665" s="1">
        <f t="shared" si="25"/>
        <v>24</v>
      </c>
    </row>
    <row r="1666" spans="1:2">
      <c r="A1666" s="112">
        <v>39303</v>
      </c>
      <c r="B1666" s="1">
        <f t="shared" si="25"/>
        <v>25</v>
      </c>
    </row>
    <row r="1667" spans="1:2">
      <c r="A1667" s="112">
        <v>39304</v>
      </c>
      <c r="B1667" s="1">
        <f t="shared" ref="B1667:B1730" si="26">INT(MOD($G$2+A1667-$F$2,29.53))</f>
        <v>26</v>
      </c>
    </row>
    <row r="1668" spans="1:2">
      <c r="A1668" s="112">
        <v>39305</v>
      </c>
      <c r="B1668" s="1">
        <f t="shared" si="26"/>
        <v>27</v>
      </c>
    </row>
    <row r="1669" spans="1:2">
      <c r="A1669" s="112">
        <v>39306</v>
      </c>
      <c r="B1669" s="1">
        <f t="shared" si="26"/>
        <v>28</v>
      </c>
    </row>
    <row r="1670" spans="1:2">
      <c r="A1670" s="112">
        <v>39307</v>
      </c>
      <c r="B1670" s="1">
        <f t="shared" si="26"/>
        <v>29</v>
      </c>
    </row>
    <row r="1671" spans="1:2">
      <c r="A1671" s="112">
        <v>39308</v>
      </c>
      <c r="B1671" s="1">
        <f t="shared" si="26"/>
        <v>0</v>
      </c>
    </row>
    <row r="1672" spans="1:2">
      <c r="A1672" s="112">
        <v>39309</v>
      </c>
      <c r="B1672" s="1">
        <f t="shared" si="26"/>
        <v>1</v>
      </c>
    </row>
    <row r="1673" spans="1:2">
      <c r="A1673" s="112">
        <v>39310</v>
      </c>
      <c r="B1673" s="1">
        <f t="shared" si="26"/>
        <v>2</v>
      </c>
    </row>
    <row r="1674" spans="1:2">
      <c r="A1674" s="112">
        <v>39311</v>
      </c>
      <c r="B1674" s="1">
        <f t="shared" si="26"/>
        <v>3</v>
      </c>
    </row>
    <row r="1675" spans="1:2">
      <c r="A1675" s="112">
        <v>39312</v>
      </c>
      <c r="B1675" s="1">
        <f t="shared" si="26"/>
        <v>4</v>
      </c>
    </row>
    <row r="1676" spans="1:2">
      <c r="A1676" s="112">
        <v>39313</v>
      </c>
      <c r="B1676" s="1">
        <f t="shared" si="26"/>
        <v>5</v>
      </c>
    </row>
    <row r="1677" spans="1:2">
      <c r="A1677" s="112">
        <v>39314</v>
      </c>
      <c r="B1677" s="1">
        <f t="shared" si="26"/>
        <v>6</v>
      </c>
    </row>
    <row r="1678" spans="1:2">
      <c r="A1678" s="112">
        <v>39315</v>
      </c>
      <c r="B1678" s="1">
        <f t="shared" si="26"/>
        <v>7</v>
      </c>
    </row>
    <row r="1679" spans="1:2">
      <c r="A1679" s="112">
        <v>39316</v>
      </c>
      <c r="B1679" s="1">
        <f t="shared" si="26"/>
        <v>8</v>
      </c>
    </row>
    <row r="1680" spans="1:2">
      <c r="A1680" s="112">
        <v>39317</v>
      </c>
      <c r="B1680" s="1">
        <f t="shared" si="26"/>
        <v>9</v>
      </c>
    </row>
    <row r="1681" spans="1:2">
      <c r="A1681" s="112">
        <v>39318</v>
      </c>
      <c r="B1681" s="1">
        <f t="shared" si="26"/>
        <v>10</v>
      </c>
    </row>
    <row r="1682" spans="1:2">
      <c r="A1682" s="112">
        <v>39319</v>
      </c>
      <c r="B1682" s="1">
        <f t="shared" si="26"/>
        <v>11</v>
      </c>
    </row>
    <row r="1683" spans="1:2">
      <c r="A1683" s="112">
        <v>39320</v>
      </c>
      <c r="B1683" s="1">
        <f t="shared" si="26"/>
        <v>12</v>
      </c>
    </row>
    <row r="1684" spans="1:2">
      <c r="A1684" s="112">
        <v>39321</v>
      </c>
      <c r="B1684" s="1">
        <f t="shared" si="26"/>
        <v>13</v>
      </c>
    </row>
    <row r="1685" spans="1:2">
      <c r="A1685" s="112">
        <v>39322</v>
      </c>
      <c r="B1685" s="1">
        <f t="shared" si="26"/>
        <v>14</v>
      </c>
    </row>
    <row r="1686" spans="1:2">
      <c r="A1686" s="112">
        <v>39323</v>
      </c>
      <c r="B1686" s="1">
        <f t="shared" si="26"/>
        <v>15</v>
      </c>
    </row>
    <row r="1687" spans="1:2">
      <c r="A1687" s="112">
        <v>39324</v>
      </c>
      <c r="B1687" s="1">
        <f t="shared" si="26"/>
        <v>16</v>
      </c>
    </row>
    <row r="1688" spans="1:2">
      <c r="A1688" s="112">
        <v>39325</v>
      </c>
      <c r="B1688" s="1">
        <f t="shared" si="26"/>
        <v>17</v>
      </c>
    </row>
    <row r="1689" spans="1:2">
      <c r="A1689" s="112">
        <v>39326</v>
      </c>
      <c r="B1689" s="1">
        <f t="shared" si="26"/>
        <v>18</v>
      </c>
    </row>
    <row r="1690" spans="1:2">
      <c r="A1690" s="112">
        <v>39327</v>
      </c>
      <c r="B1690" s="1">
        <f t="shared" si="26"/>
        <v>19</v>
      </c>
    </row>
    <row r="1691" spans="1:2">
      <c r="A1691" s="112">
        <v>39328</v>
      </c>
      <c r="B1691" s="1">
        <f t="shared" si="26"/>
        <v>20</v>
      </c>
    </row>
    <row r="1692" spans="1:2">
      <c r="A1692" s="112">
        <v>39329</v>
      </c>
      <c r="B1692" s="1">
        <f t="shared" si="26"/>
        <v>21</v>
      </c>
    </row>
    <row r="1693" spans="1:2">
      <c r="A1693" s="112">
        <v>39330</v>
      </c>
      <c r="B1693" s="1">
        <f t="shared" si="26"/>
        <v>22</v>
      </c>
    </row>
    <row r="1694" spans="1:2">
      <c r="A1694" s="112">
        <v>39331</v>
      </c>
      <c r="B1694" s="1">
        <f t="shared" si="26"/>
        <v>23</v>
      </c>
    </row>
    <row r="1695" spans="1:2">
      <c r="A1695" s="112">
        <v>39332</v>
      </c>
      <c r="B1695" s="1">
        <f t="shared" si="26"/>
        <v>24</v>
      </c>
    </row>
    <row r="1696" spans="1:2">
      <c r="A1696" s="112">
        <v>39333</v>
      </c>
      <c r="B1696" s="1">
        <f t="shared" si="26"/>
        <v>25</v>
      </c>
    </row>
    <row r="1697" spans="1:2">
      <c r="A1697" s="112">
        <v>39334</v>
      </c>
      <c r="B1697" s="1">
        <f t="shared" si="26"/>
        <v>26</v>
      </c>
    </row>
    <row r="1698" spans="1:2">
      <c r="A1698" s="112">
        <v>39335</v>
      </c>
      <c r="B1698" s="1">
        <f t="shared" si="26"/>
        <v>27</v>
      </c>
    </row>
    <row r="1699" spans="1:2">
      <c r="A1699" s="112">
        <v>39336</v>
      </c>
      <c r="B1699" s="1">
        <f t="shared" si="26"/>
        <v>28</v>
      </c>
    </row>
    <row r="1700" spans="1:2">
      <c r="A1700" s="112">
        <v>39337</v>
      </c>
      <c r="B1700" s="1">
        <f t="shared" si="26"/>
        <v>0</v>
      </c>
    </row>
    <row r="1701" spans="1:2">
      <c r="A1701" s="112">
        <v>39338</v>
      </c>
      <c r="B1701" s="1">
        <f t="shared" si="26"/>
        <v>1</v>
      </c>
    </row>
    <row r="1702" spans="1:2">
      <c r="A1702" s="112">
        <v>39339</v>
      </c>
      <c r="B1702" s="1">
        <f t="shared" si="26"/>
        <v>2</v>
      </c>
    </row>
    <row r="1703" spans="1:2">
      <c r="A1703" s="112">
        <v>39340</v>
      </c>
      <c r="B1703" s="1">
        <f t="shared" si="26"/>
        <v>3</v>
      </c>
    </row>
    <row r="1704" spans="1:2">
      <c r="A1704" s="112">
        <v>39341</v>
      </c>
      <c r="B1704" s="1">
        <f t="shared" si="26"/>
        <v>4</v>
      </c>
    </row>
    <row r="1705" spans="1:2">
      <c r="A1705" s="112">
        <v>39342</v>
      </c>
      <c r="B1705" s="1">
        <f t="shared" si="26"/>
        <v>5</v>
      </c>
    </row>
    <row r="1706" spans="1:2">
      <c r="A1706" s="112">
        <v>39343</v>
      </c>
      <c r="B1706" s="1">
        <f t="shared" si="26"/>
        <v>6</v>
      </c>
    </row>
    <row r="1707" spans="1:2">
      <c r="A1707" s="112">
        <v>39344</v>
      </c>
      <c r="B1707" s="1">
        <f t="shared" si="26"/>
        <v>7</v>
      </c>
    </row>
    <row r="1708" spans="1:2">
      <c r="A1708" s="112">
        <v>39345</v>
      </c>
      <c r="B1708" s="1">
        <f t="shared" si="26"/>
        <v>8</v>
      </c>
    </row>
    <row r="1709" spans="1:2">
      <c r="A1709" s="112">
        <v>39346</v>
      </c>
      <c r="B1709" s="1">
        <f t="shared" si="26"/>
        <v>9</v>
      </c>
    </row>
    <row r="1710" spans="1:2">
      <c r="A1710" s="112">
        <v>39347</v>
      </c>
      <c r="B1710" s="1">
        <f t="shared" si="26"/>
        <v>10</v>
      </c>
    </row>
    <row r="1711" spans="1:2">
      <c r="A1711" s="112">
        <v>39348</v>
      </c>
      <c r="B1711" s="1">
        <f t="shared" si="26"/>
        <v>11</v>
      </c>
    </row>
    <row r="1712" spans="1:2">
      <c r="A1712" s="112">
        <v>39349</v>
      </c>
      <c r="B1712" s="1">
        <f t="shared" si="26"/>
        <v>12</v>
      </c>
    </row>
    <row r="1713" spans="1:2">
      <c r="A1713" s="112">
        <v>39350</v>
      </c>
      <c r="B1713" s="1">
        <f t="shared" si="26"/>
        <v>13</v>
      </c>
    </row>
    <row r="1714" spans="1:2">
      <c r="A1714" s="112">
        <v>39351</v>
      </c>
      <c r="B1714" s="1">
        <f t="shared" si="26"/>
        <v>14</v>
      </c>
    </row>
    <row r="1715" spans="1:2">
      <c r="A1715" s="112">
        <v>39352</v>
      </c>
      <c r="B1715" s="1">
        <f t="shared" si="26"/>
        <v>15</v>
      </c>
    </row>
    <row r="1716" spans="1:2">
      <c r="A1716" s="112">
        <v>39353</v>
      </c>
      <c r="B1716" s="1">
        <f t="shared" si="26"/>
        <v>16</v>
      </c>
    </row>
    <row r="1717" spans="1:2">
      <c r="A1717" s="112">
        <v>39354</v>
      </c>
      <c r="B1717" s="1">
        <f t="shared" si="26"/>
        <v>17</v>
      </c>
    </row>
    <row r="1718" spans="1:2">
      <c r="A1718" s="112">
        <v>39355</v>
      </c>
      <c r="B1718" s="1">
        <f t="shared" si="26"/>
        <v>18</v>
      </c>
    </row>
    <row r="1719" spans="1:2">
      <c r="A1719" s="112">
        <v>39356</v>
      </c>
      <c r="B1719" s="1">
        <f t="shared" si="26"/>
        <v>19</v>
      </c>
    </row>
    <row r="1720" spans="1:2">
      <c r="A1720" s="112">
        <v>39357</v>
      </c>
      <c r="B1720" s="1">
        <f t="shared" si="26"/>
        <v>20</v>
      </c>
    </row>
    <row r="1721" spans="1:2">
      <c r="A1721" s="112">
        <v>39358</v>
      </c>
      <c r="B1721" s="1">
        <f t="shared" si="26"/>
        <v>21</v>
      </c>
    </row>
    <row r="1722" spans="1:2">
      <c r="A1722" s="112">
        <v>39359</v>
      </c>
      <c r="B1722" s="1">
        <f t="shared" si="26"/>
        <v>22</v>
      </c>
    </row>
    <row r="1723" spans="1:2">
      <c r="A1723" s="112">
        <v>39360</v>
      </c>
      <c r="B1723" s="1">
        <f t="shared" si="26"/>
        <v>23</v>
      </c>
    </row>
    <row r="1724" spans="1:2">
      <c r="A1724" s="112">
        <v>39361</v>
      </c>
      <c r="B1724" s="1">
        <f t="shared" si="26"/>
        <v>24</v>
      </c>
    </row>
    <row r="1725" spans="1:2">
      <c r="A1725" s="112">
        <v>39362</v>
      </c>
      <c r="B1725" s="1">
        <f t="shared" si="26"/>
        <v>25</v>
      </c>
    </row>
    <row r="1726" spans="1:2">
      <c r="A1726" s="112">
        <v>39363</v>
      </c>
      <c r="B1726" s="1">
        <f t="shared" si="26"/>
        <v>26</v>
      </c>
    </row>
    <row r="1727" spans="1:2">
      <c r="A1727" s="112">
        <v>39364</v>
      </c>
      <c r="B1727" s="1">
        <f t="shared" si="26"/>
        <v>27</v>
      </c>
    </row>
    <row r="1728" spans="1:2">
      <c r="A1728" s="112">
        <v>39365</v>
      </c>
      <c r="B1728" s="1">
        <f t="shared" si="26"/>
        <v>28</v>
      </c>
    </row>
    <row r="1729" spans="1:2">
      <c r="A1729" s="112">
        <v>39366</v>
      </c>
      <c r="B1729" s="1">
        <f t="shared" si="26"/>
        <v>29</v>
      </c>
    </row>
    <row r="1730" spans="1:2">
      <c r="A1730" s="112">
        <v>39367</v>
      </c>
      <c r="B1730" s="1">
        <f t="shared" si="26"/>
        <v>0</v>
      </c>
    </row>
    <row r="1731" spans="1:2">
      <c r="A1731" s="112">
        <v>39368</v>
      </c>
      <c r="B1731" s="1">
        <f t="shared" ref="B1731:B1794" si="27">INT(MOD($G$2+A1731-$F$2,29.53))</f>
        <v>1</v>
      </c>
    </row>
    <row r="1732" spans="1:2">
      <c r="A1732" s="112">
        <v>39369</v>
      </c>
      <c r="B1732" s="1">
        <f t="shared" si="27"/>
        <v>2</v>
      </c>
    </row>
    <row r="1733" spans="1:2">
      <c r="A1733" s="112">
        <v>39370</v>
      </c>
      <c r="B1733" s="1">
        <f t="shared" si="27"/>
        <v>3</v>
      </c>
    </row>
    <row r="1734" spans="1:2">
      <c r="A1734" s="112">
        <v>39371</v>
      </c>
      <c r="B1734" s="1">
        <f t="shared" si="27"/>
        <v>4</v>
      </c>
    </row>
    <row r="1735" spans="1:2">
      <c r="A1735" s="112">
        <v>39372</v>
      </c>
      <c r="B1735" s="1">
        <f t="shared" si="27"/>
        <v>5</v>
      </c>
    </row>
    <row r="1736" spans="1:2">
      <c r="A1736" s="112">
        <v>39373</v>
      </c>
      <c r="B1736" s="1">
        <f t="shared" si="27"/>
        <v>6</v>
      </c>
    </row>
    <row r="1737" spans="1:2">
      <c r="A1737" s="112">
        <v>39374</v>
      </c>
      <c r="B1737" s="1">
        <f t="shared" si="27"/>
        <v>7</v>
      </c>
    </row>
    <row r="1738" spans="1:2">
      <c r="A1738" s="112">
        <v>39375</v>
      </c>
      <c r="B1738" s="1">
        <f t="shared" si="27"/>
        <v>8</v>
      </c>
    </row>
    <row r="1739" spans="1:2">
      <c r="A1739" s="112">
        <v>39376</v>
      </c>
      <c r="B1739" s="1">
        <f t="shared" si="27"/>
        <v>9</v>
      </c>
    </row>
    <row r="1740" spans="1:2">
      <c r="A1740" s="112">
        <v>39377</v>
      </c>
      <c r="B1740" s="1">
        <f t="shared" si="27"/>
        <v>10</v>
      </c>
    </row>
    <row r="1741" spans="1:2">
      <c r="A1741" s="112">
        <v>39378</v>
      </c>
      <c r="B1741" s="1">
        <f t="shared" si="27"/>
        <v>11</v>
      </c>
    </row>
    <row r="1742" spans="1:2">
      <c r="A1742" s="112">
        <v>39379</v>
      </c>
      <c r="B1742" s="1">
        <f t="shared" si="27"/>
        <v>12</v>
      </c>
    </row>
    <row r="1743" spans="1:2">
      <c r="A1743" s="112">
        <v>39380</v>
      </c>
      <c r="B1743" s="1">
        <f t="shared" si="27"/>
        <v>13</v>
      </c>
    </row>
    <row r="1744" spans="1:2">
      <c r="A1744" s="112">
        <v>39381</v>
      </c>
      <c r="B1744" s="1">
        <f t="shared" si="27"/>
        <v>14</v>
      </c>
    </row>
    <row r="1745" spans="1:2">
      <c r="A1745" s="112">
        <v>39382</v>
      </c>
      <c r="B1745" s="1">
        <f t="shared" si="27"/>
        <v>15</v>
      </c>
    </row>
    <row r="1746" spans="1:2">
      <c r="A1746" s="112">
        <v>39383</v>
      </c>
      <c r="B1746" s="1">
        <f t="shared" si="27"/>
        <v>16</v>
      </c>
    </row>
    <row r="1747" spans="1:2">
      <c r="A1747" s="112">
        <v>39384</v>
      </c>
      <c r="B1747" s="1">
        <f t="shared" si="27"/>
        <v>17</v>
      </c>
    </row>
    <row r="1748" spans="1:2">
      <c r="A1748" s="112">
        <v>39385</v>
      </c>
      <c r="B1748" s="1">
        <f t="shared" si="27"/>
        <v>18</v>
      </c>
    </row>
    <row r="1749" spans="1:2">
      <c r="A1749" s="112">
        <v>39386</v>
      </c>
      <c r="B1749" s="1">
        <f t="shared" si="27"/>
        <v>19</v>
      </c>
    </row>
    <row r="1750" spans="1:2">
      <c r="A1750" s="112">
        <v>39387</v>
      </c>
      <c r="B1750" s="1">
        <f t="shared" si="27"/>
        <v>20</v>
      </c>
    </row>
    <row r="1751" spans="1:2">
      <c r="A1751" s="112">
        <v>39388</v>
      </c>
      <c r="B1751" s="1">
        <f t="shared" si="27"/>
        <v>21</v>
      </c>
    </row>
    <row r="1752" spans="1:2">
      <c r="A1752" s="112">
        <v>39389</v>
      </c>
      <c r="B1752" s="1">
        <f t="shared" si="27"/>
        <v>22</v>
      </c>
    </row>
    <row r="1753" spans="1:2">
      <c r="A1753" s="112">
        <v>39390</v>
      </c>
      <c r="B1753" s="1">
        <f t="shared" si="27"/>
        <v>23</v>
      </c>
    </row>
    <row r="1754" spans="1:2">
      <c r="A1754" s="112">
        <v>39391</v>
      </c>
      <c r="B1754" s="1">
        <f t="shared" si="27"/>
        <v>24</v>
      </c>
    </row>
    <row r="1755" spans="1:2">
      <c r="A1755" s="112">
        <v>39392</v>
      </c>
      <c r="B1755" s="1">
        <f t="shared" si="27"/>
        <v>25</v>
      </c>
    </row>
    <row r="1756" spans="1:2">
      <c r="A1756" s="112">
        <v>39393</v>
      </c>
      <c r="B1756" s="1">
        <f t="shared" si="27"/>
        <v>26</v>
      </c>
    </row>
    <row r="1757" spans="1:2">
      <c r="A1757" s="112">
        <v>39394</v>
      </c>
      <c r="B1757" s="1">
        <f t="shared" si="27"/>
        <v>27</v>
      </c>
    </row>
    <row r="1758" spans="1:2">
      <c r="A1758" s="112">
        <v>39395</v>
      </c>
      <c r="B1758" s="1">
        <f t="shared" si="27"/>
        <v>28</v>
      </c>
    </row>
    <row r="1759" spans="1:2">
      <c r="A1759" s="112">
        <v>39396</v>
      </c>
      <c r="B1759" s="1">
        <f t="shared" si="27"/>
        <v>0</v>
      </c>
    </row>
    <row r="1760" spans="1:2">
      <c r="A1760" s="112">
        <v>39397</v>
      </c>
      <c r="B1760" s="1">
        <f t="shared" si="27"/>
        <v>1</v>
      </c>
    </row>
    <row r="1761" spans="1:2">
      <c r="A1761" s="112">
        <v>39398</v>
      </c>
      <c r="B1761" s="1">
        <f t="shared" si="27"/>
        <v>2</v>
      </c>
    </row>
    <row r="1762" spans="1:2">
      <c r="A1762" s="112">
        <v>39399</v>
      </c>
      <c r="B1762" s="1">
        <f t="shared" si="27"/>
        <v>3</v>
      </c>
    </row>
    <row r="1763" spans="1:2">
      <c r="A1763" s="112">
        <v>39400</v>
      </c>
      <c r="B1763" s="1">
        <f t="shared" si="27"/>
        <v>4</v>
      </c>
    </row>
    <row r="1764" spans="1:2">
      <c r="A1764" s="112">
        <v>39401</v>
      </c>
      <c r="B1764" s="1">
        <f t="shared" si="27"/>
        <v>5</v>
      </c>
    </row>
    <row r="1765" spans="1:2">
      <c r="A1765" s="112">
        <v>39402</v>
      </c>
      <c r="B1765" s="1">
        <f t="shared" si="27"/>
        <v>6</v>
      </c>
    </row>
    <row r="1766" spans="1:2">
      <c r="A1766" s="112">
        <v>39403</v>
      </c>
      <c r="B1766" s="1">
        <f t="shared" si="27"/>
        <v>7</v>
      </c>
    </row>
    <row r="1767" spans="1:2">
      <c r="A1767" s="112">
        <v>39404</v>
      </c>
      <c r="B1767" s="1">
        <f t="shared" si="27"/>
        <v>8</v>
      </c>
    </row>
    <row r="1768" spans="1:2">
      <c r="A1768" s="112">
        <v>39405</v>
      </c>
      <c r="B1768" s="1">
        <f t="shared" si="27"/>
        <v>9</v>
      </c>
    </row>
    <row r="1769" spans="1:2">
      <c r="A1769" s="112">
        <v>39406</v>
      </c>
      <c r="B1769" s="1">
        <f t="shared" si="27"/>
        <v>10</v>
      </c>
    </row>
    <row r="1770" spans="1:2">
      <c r="A1770" s="112">
        <v>39407</v>
      </c>
      <c r="B1770" s="1">
        <f t="shared" si="27"/>
        <v>11</v>
      </c>
    </row>
    <row r="1771" spans="1:2">
      <c r="A1771" s="112">
        <v>39408</v>
      </c>
      <c r="B1771" s="1">
        <f t="shared" si="27"/>
        <v>12</v>
      </c>
    </row>
    <row r="1772" spans="1:2">
      <c r="A1772" s="112">
        <v>39409</v>
      </c>
      <c r="B1772" s="1">
        <f t="shared" si="27"/>
        <v>13</v>
      </c>
    </row>
    <row r="1773" spans="1:2">
      <c r="A1773" s="112">
        <v>39410</v>
      </c>
      <c r="B1773" s="1">
        <f t="shared" si="27"/>
        <v>14</v>
      </c>
    </row>
    <row r="1774" spans="1:2">
      <c r="A1774" s="112">
        <v>39411</v>
      </c>
      <c r="B1774" s="1">
        <f t="shared" si="27"/>
        <v>15</v>
      </c>
    </row>
    <row r="1775" spans="1:2">
      <c r="A1775" s="112">
        <v>39412</v>
      </c>
      <c r="B1775" s="1">
        <f t="shared" si="27"/>
        <v>16</v>
      </c>
    </row>
    <row r="1776" spans="1:2">
      <c r="A1776" s="112">
        <v>39413</v>
      </c>
      <c r="B1776" s="1">
        <f t="shared" si="27"/>
        <v>17</v>
      </c>
    </row>
    <row r="1777" spans="1:2">
      <c r="A1777" s="112">
        <v>39414</v>
      </c>
      <c r="B1777" s="1">
        <f t="shared" si="27"/>
        <v>18</v>
      </c>
    </row>
    <row r="1778" spans="1:2">
      <c r="A1778" s="112">
        <v>39415</v>
      </c>
      <c r="B1778" s="1">
        <f t="shared" si="27"/>
        <v>19</v>
      </c>
    </row>
    <row r="1779" spans="1:2">
      <c r="A1779" s="112">
        <v>39416</v>
      </c>
      <c r="B1779" s="1">
        <f t="shared" si="27"/>
        <v>20</v>
      </c>
    </row>
    <row r="1780" spans="1:2">
      <c r="A1780" s="112">
        <v>39417</v>
      </c>
      <c r="B1780" s="1">
        <f t="shared" si="27"/>
        <v>21</v>
      </c>
    </row>
    <row r="1781" spans="1:2">
      <c r="A1781" s="112">
        <v>39418</v>
      </c>
      <c r="B1781" s="1">
        <f t="shared" si="27"/>
        <v>22</v>
      </c>
    </row>
    <row r="1782" spans="1:2">
      <c r="A1782" s="112">
        <v>39419</v>
      </c>
      <c r="B1782" s="1">
        <f t="shared" si="27"/>
        <v>23</v>
      </c>
    </row>
    <row r="1783" spans="1:2">
      <c r="A1783" s="112">
        <v>39420</v>
      </c>
      <c r="B1783" s="1">
        <f t="shared" si="27"/>
        <v>24</v>
      </c>
    </row>
    <row r="1784" spans="1:2">
      <c r="A1784" s="112">
        <v>39421</v>
      </c>
      <c r="B1784" s="1">
        <f t="shared" si="27"/>
        <v>25</v>
      </c>
    </row>
    <row r="1785" spans="1:2">
      <c r="A1785" s="112">
        <v>39422</v>
      </c>
      <c r="B1785" s="1">
        <f t="shared" si="27"/>
        <v>26</v>
      </c>
    </row>
    <row r="1786" spans="1:2">
      <c r="A1786" s="112">
        <v>39423</v>
      </c>
      <c r="B1786" s="1">
        <f t="shared" si="27"/>
        <v>27</v>
      </c>
    </row>
    <row r="1787" spans="1:2">
      <c r="A1787" s="112">
        <v>39424</v>
      </c>
      <c r="B1787" s="1">
        <f t="shared" si="27"/>
        <v>28</v>
      </c>
    </row>
    <row r="1788" spans="1:2">
      <c r="A1788" s="112">
        <v>39425</v>
      </c>
      <c r="B1788" s="1">
        <f t="shared" si="27"/>
        <v>29</v>
      </c>
    </row>
    <row r="1789" spans="1:2">
      <c r="A1789" s="112">
        <v>39426</v>
      </c>
      <c r="B1789" s="1">
        <f t="shared" si="27"/>
        <v>0</v>
      </c>
    </row>
    <row r="1790" spans="1:2">
      <c r="A1790" s="112">
        <v>39427</v>
      </c>
      <c r="B1790" s="1">
        <f t="shared" si="27"/>
        <v>1</v>
      </c>
    </row>
    <row r="1791" spans="1:2">
      <c r="A1791" s="112">
        <v>39428</v>
      </c>
      <c r="B1791" s="1">
        <f t="shared" si="27"/>
        <v>2</v>
      </c>
    </row>
    <row r="1792" spans="1:2">
      <c r="A1792" s="112">
        <v>39429</v>
      </c>
      <c r="B1792" s="1">
        <f t="shared" si="27"/>
        <v>3</v>
      </c>
    </row>
    <row r="1793" spans="1:2">
      <c r="A1793" s="112">
        <v>39430</v>
      </c>
      <c r="B1793" s="1">
        <f t="shared" si="27"/>
        <v>4</v>
      </c>
    </row>
    <row r="1794" spans="1:2">
      <c r="A1794" s="112">
        <v>39431</v>
      </c>
      <c r="B1794" s="1">
        <f t="shared" si="27"/>
        <v>5</v>
      </c>
    </row>
    <row r="1795" spans="1:2">
      <c r="A1795" s="112">
        <v>39432</v>
      </c>
      <c r="B1795" s="1">
        <f t="shared" ref="B1795:B1858" si="28">INT(MOD($G$2+A1795-$F$2,29.53))</f>
        <v>6</v>
      </c>
    </row>
    <row r="1796" spans="1:2">
      <c r="A1796" s="112">
        <v>39433</v>
      </c>
      <c r="B1796" s="1">
        <f t="shared" si="28"/>
        <v>7</v>
      </c>
    </row>
    <row r="1797" spans="1:2">
      <c r="A1797" s="112">
        <v>39434</v>
      </c>
      <c r="B1797" s="1">
        <f t="shared" si="28"/>
        <v>8</v>
      </c>
    </row>
    <row r="1798" spans="1:2">
      <c r="A1798" s="112">
        <v>39435</v>
      </c>
      <c r="B1798" s="1">
        <f t="shared" si="28"/>
        <v>9</v>
      </c>
    </row>
    <row r="1799" spans="1:2">
      <c r="A1799" s="112">
        <v>39436</v>
      </c>
      <c r="B1799" s="1">
        <f t="shared" si="28"/>
        <v>10</v>
      </c>
    </row>
    <row r="1800" spans="1:2">
      <c r="A1800" s="112">
        <v>39437</v>
      </c>
      <c r="B1800" s="1">
        <f t="shared" si="28"/>
        <v>11</v>
      </c>
    </row>
    <row r="1801" spans="1:2">
      <c r="A1801" s="112">
        <v>39438</v>
      </c>
      <c r="B1801" s="1">
        <f t="shared" si="28"/>
        <v>12</v>
      </c>
    </row>
    <row r="1802" spans="1:2">
      <c r="A1802" s="112">
        <v>39439</v>
      </c>
      <c r="B1802" s="1">
        <f t="shared" si="28"/>
        <v>13</v>
      </c>
    </row>
    <row r="1803" spans="1:2">
      <c r="A1803" s="112">
        <v>39440</v>
      </c>
      <c r="B1803" s="1">
        <f t="shared" si="28"/>
        <v>14</v>
      </c>
    </row>
    <row r="1804" spans="1:2">
      <c r="A1804" s="112">
        <v>39441</v>
      </c>
      <c r="B1804" s="1">
        <f t="shared" si="28"/>
        <v>15</v>
      </c>
    </row>
    <row r="1805" spans="1:2">
      <c r="A1805" s="112">
        <v>39442</v>
      </c>
      <c r="B1805" s="1">
        <f t="shared" si="28"/>
        <v>16</v>
      </c>
    </row>
    <row r="1806" spans="1:2">
      <c r="A1806" s="112">
        <v>39443</v>
      </c>
      <c r="B1806" s="1">
        <f t="shared" si="28"/>
        <v>17</v>
      </c>
    </row>
    <row r="1807" spans="1:2">
      <c r="A1807" s="112">
        <v>39444</v>
      </c>
      <c r="B1807" s="1">
        <f t="shared" si="28"/>
        <v>18</v>
      </c>
    </row>
    <row r="1808" spans="1:2">
      <c r="A1808" s="112">
        <v>39445</v>
      </c>
      <c r="B1808" s="1">
        <f t="shared" si="28"/>
        <v>19</v>
      </c>
    </row>
    <row r="1809" spans="1:2">
      <c r="A1809" s="112">
        <v>39446</v>
      </c>
      <c r="B1809" s="1">
        <f t="shared" si="28"/>
        <v>20</v>
      </c>
    </row>
    <row r="1810" spans="1:2">
      <c r="A1810" s="112">
        <v>39447</v>
      </c>
      <c r="B1810" s="1">
        <f t="shared" si="28"/>
        <v>21</v>
      </c>
    </row>
    <row r="1811" spans="1:2">
      <c r="A1811" s="112">
        <v>39448</v>
      </c>
      <c r="B1811" s="1">
        <f t="shared" si="28"/>
        <v>22</v>
      </c>
    </row>
    <row r="1812" spans="1:2">
      <c r="A1812" s="112">
        <v>39449</v>
      </c>
      <c r="B1812" s="1">
        <f t="shared" si="28"/>
        <v>23</v>
      </c>
    </row>
    <row r="1813" spans="1:2">
      <c r="A1813" s="112">
        <v>39450</v>
      </c>
      <c r="B1813" s="1">
        <f t="shared" si="28"/>
        <v>24</v>
      </c>
    </row>
    <row r="1814" spans="1:2">
      <c r="A1814" s="112">
        <v>39451</v>
      </c>
      <c r="B1814" s="1">
        <f t="shared" si="28"/>
        <v>25</v>
      </c>
    </row>
    <row r="1815" spans="1:2">
      <c r="A1815" s="112">
        <v>39452</v>
      </c>
      <c r="B1815" s="1">
        <f t="shared" si="28"/>
        <v>26</v>
      </c>
    </row>
    <row r="1816" spans="1:2">
      <c r="A1816" s="112">
        <v>39453</v>
      </c>
      <c r="B1816" s="1">
        <f t="shared" si="28"/>
        <v>27</v>
      </c>
    </row>
    <row r="1817" spans="1:2">
      <c r="A1817" s="112">
        <v>39454</v>
      </c>
      <c r="B1817" s="1">
        <f t="shared" si="28"/>
        <v>28</v>
      </c>
    </row>
    <row r="1818" spans="1:2">
      <c r="A1818" s="112">
        <v>39455</v>
      </c>
      <c r="B1818" s="1">
        <f t="shared" si="28"/>
        <v>0</v>
      </c>
    </row>
    <row r="1819" spans="1:2">
      <c r="A1819" s="112">
        <v>39456</v>
      </c>
      <c r="B1819" s="1">
        <f t="shared" si="28"/>
        <v>1</v>
      </c>
    </row>
    <row r="1820" spans="1:2">
      <c r="A1820" s="112">
        <v>39457</v>
      </c>
      <c r="B1820" s="1">
        <f t="shared" si="28"/>
        <v>2</v>
      </c>
    </row>
    <row r="1821" spans="1:2">
      <c r="A1821" s="112">
        <v>39458</v>
      </c>
      <c r="B1821" s="1">
        <f t="shared" si="28"/>
        <v>3</v>
      </c>
    </row>
    <row r="1822" spans="1:2">
      <c r="A1822" s="112">
        <v>39459</v>
      </c>
      <c r="B1822" s="1">
        <f t="shared" si="28"/>
        <v>4</v>
      </c>
    </row>
    <row r="1823" spans="1:2">
      <c r="A1823" s="112">
        <v>39460</v>
      </c>
      <c r="B1823" s="1">
        <f t="shared" si="28"/>
        <v>5</v>
      </c>
    </row>
    <row r="1824" spans="1:2">
      <c r="A1824" s="112">
        <v>39461</v>
      </c>
      <c r="B1824" s="1">
        <f t="shared" si="28"/>
        <v>6</v>
      </c>
    </row>
    <row r="1825" spans="1:2">
      <c r="A1825" s="112">
        <v>39462</v>
      </c>
      <c r="B1825" s="1">
        <f t="shared" si="28"/>
        <v>7</v>
      </c>
    </row>
    <row r="1826" spans="1:2">
      <c r="A1826" s="112">
        <v>39463</v>
      </c>
      <c r="B1826" s="1">
        <f t="shared" si="28"/>
        <v>8</v>
      </c>
    </row>
    <row r="1827" spans="1:2">
      <c r="A1827" s="112">
        <v>39464</v>
      </c>
      <c r="B1827" s="1">
        <f t="shared" si="28"/>
        <v>9</v>
      </c>
    </row>
    <row r="1828" spans="1:2">
      <c r="A1828" s="112">
        <v>39465</v>
      </c>
      <c r="B1828" s="1">
        <f t="shared" si="28"/>
        <v>10</v>
      </c>
    </row>
    <row r="1829" spans="1:2">
      <c r="A1829" s="112">
        <v>39466</v>
      </c>
      <c r="B1829" s="1">
        <f t="shared" si="28"/>
        <v>11</v>
      </c>
    </row>
    <row r="1830" spans="1:2">
      <c r="A1830" s="112">
        <v>39467</v>
      </c>
      <c r="B1830" s="1">
        <f t="shared" si="28"/>
        <v>12</v>
      </c>
    </row>
    <row r="1831" spans="1:2">
      <c r="A1831" s="112">
        <v>39468</v>
      </c>
      <c r="B1831" s="1">
        <f t="shared" si="28"/>
        <v>13</v>
      </c>
    </row>
    <row r="1832" spans="1:2">
      <c r="A1832" s="112">
        <v>39469</v>
      </c>
      <c r="B1832" s="1">
        <f t="shared" si="28"/>
        <v>14</v>
      </c>
    </row>
    <row r="1833" spans="1:2">
      <c r="A1833" s="112">
        <v>39470</v>
      </c>
      <c r="B1833" s="1">
        <f t="shared" si="28"/>
        <v>15</v>
      </c>
    </row>
    <row r="1834" spans="1:2">
      <c r="A1834" s="112">
        <v>39471</v>
      </c>
      <c r="B1834" s="1">
        <f t="shared" si="28"/>
        <v>16</v>
      </c>
    </row>
    <row r="1835" spans="1:2">
      <c r="A1835" s="112">
        <v>39472</v>
      </c>
      <c r="B1835" s="1">
        <f t="shared" si="28"/>
        <v>17</v>
      </c>
    </row>
    <row r="1836" spans="1:2">
      <c r="A1836" s="112">
        <v>39473</v>
      </c>
      <c r="B1836" s="1">
        <f t="shared" si="28"/>
        <v>18</v>
      </c>
    </row>
    <row r="1837" spans="1:2">
      <c r="A1837" s="112">
        <v>39474</v>
      </c>
      <c r="B1837" s="1">
        <f t="shared" si="28"/>
        <v>19</v>
      </c>
    </row>
    <row r="1838" spans="1:2">
      <c r="A1838" s="112">
        <v>39475</v>
      </c>
      <c r="B1838" s="1">
        <f t="shared" si="28"/>
        <v>20</v>
      </c>
    </row>
    <row r="1839" spans="1:2">
      <c r="A1839" s="112">
        <v>39476</v>
      </c>
      <c r="B1839" s="1">
        <f t="shared" si="28"/>
        <v>21</v>
      </c>
    </row>
    <row r="1840" spans="1:2">
      <c r="A1840" s="112">
        <v>39477</v>
      </c>
      <c r="B1840" s="1">
        <f t="shared" si="28"/>
        <v>22</v>
      </c>
    </row>
    <row r="1841" spans="1:2">
      <c r="A1841" s="112">
        <v>39478</v>
      </c>
      <c r="B1841" s="1">
        <f t="shared" si="28"/>
        <v>23</v>
      </c>
    </row>
    <row r="1842" spans="1:2">
      <c r="A1842" s="112">
        <v>39479</v>
      </c>
      <c r="B1842" s="1">
        <f t="shared" si="28"/>
        <v>24</v>
      </c>
    </row>
    <row r="1843" spans="1:2">
      <c r="A1843" s="112">
        <v>39480</v>
      </c>
      <c r="B1843" s="1">
        <f t="shared" si="28"/>
        <v>25</v>
      </c>
    </row>
    <row r="1844" spans="1:2">
      <c r="A1844" s="112">
        <v>39481</v>
      </c>
      <c r="B1844" s="1">
        <f t="shared" si="28"/>
        <v>26</v>
      </c>
    </row>
    <row r="1845" spans="1:2">
      <c r="A1845" s="112">
        <v>39482</v>
      </c>
      <c r="B1845" s="1">
        <f t="shared" si="28"/>
        <v>27</v>
      </c>
    </row>
    <row r="1846" spans="1:2">
      <c r="A1846" s="112">
        <v>39483</v>
      </c>
      <c r="B1846" s="1">
        <f t="shared" si="28"/>
        <v>28</v>
      </c>
    </row>
    <row r="1847" spans="1:2">
      <c r="A1847" s="112">
        <v>39484</v>
      </c>
      <c r="B1847" s="1">
        <f t="shared" si="28"/>
        <v>29</v>
      </c>
    </row>
    <row r="1848" spans="1:2">
      <c r="A1848" s="112">
        <v>39485</v>
      </c>
      <c r="B1848" s="1">
        <f t="shared" si="28"/>
        <v>0</v>
      </c>
    </row>
    <row r="1849" spans="1:2">
      <c r="A1849" s="112">
        <v>39486</v>
      </c>
      <c r="B1849" s="1">
        <f t="shared" si="28"/>
        <v>1</v>
      </c>
    </row>
    <row r="1850" spans="1:2">
      <c r="A1850" s="112">
        <v>39487</v>
      </c>
      <c r="B1850" s="1">
        <f t="shared" si="28"/>
        <v>2</v>
      </c>
    </row>
    <row r="1851" spans="1:2">
      <c r="A1851" s="112">
        <v>39488</v>
      </c>
      <c r="B1851" s="1">
        <f t="shared" si="28"/>
        <v>3</v>
      </c>
    </row>
    <row r="1852" spans="1:2">
      <c r="A1852" s="112">
        <v>39489</v>
      </c>
      <c r="B1852" s="1">
        <f t="shared" si="28"/>
        <v>4</v>
      </c>
    </row>
    <row r="1853" spans="1:2">
      <c r="A1853" s="112">
        <v>39490</v>
      </c>
      <c r="B1853" s="1">
        <f t="shared" si="28"/>
        <v>5</v>
      </c>
    </row>
    <row r="1854" spans="1:2">
      <c r="A1854" s="112">
        <v>39491</v>
      </c>
      <c r="B1854" s="1">
        <f t="shared" si="28"/>
        <v>6</v>
      </c>
    </row>
    <row r="1855" spans="1:2">
      <c r="A1855" s="112">
        <v>39492</v>
      </c>
      <c r="B1855" s="1">
        <f t="shared" si="28"/>
        <v>7</v>
      </c>
    </row>
    <row r="1856" spans="1:2">
      <c r="A1856" s="112">
        <v>39493</v>
      </c>
      <c r="B1856" s="1">
        <f t="shared" si="28"/>
        <v>8</v>
      </c>
    </row>
    <row r="1857" spans="1:2">
      <c r="A1857" s="112">
        <v>39494</v>
      </c>
      <c r="B1857" s="1">
        <f t="shared" si="28"/>
        <v>9</v>
      </c>
    </row>
    <row r="1858" spans="1:2">
      <c r="A1858" s="112">
        <v>39495</v>
      </c>
      <c r="B1858" s="1">
        <f t="shared" si="28"/>
        <v>10</v>
      </c>
    </row>
    <row r="1859" spans="1:2">
      <c r="A1859" s="112">
        <v>39496</v>
      </c>
      <c r="B1859" s="1">
        <f t="shared" ref="B1859:B1922" si="29">INT(MOD($G$2+A1859-$F$2,29.53))</f>
        <v>11</v>
      </c>
    </row>
    <row r="1860" spans="1:2">
      <c r="A1860" s="112">
        <v>39497</v>
      </c>
      <c r="B1860" s="1">
        <f t="shared" si="29"/>
        <v>12</v>
      </c>
    </row>
    <row r="1861" spans="1:2">
      <c r="A1861" s="112">
        <v>39498</v>
      </c>
      <c r="B1861" s="1">
        <f t="shared" si="29"/>
        <v>13</v>
      </c>
    </row>
    <row r="1862" spans="1:2">
      <c r="A1862" s="112">
        <v>39499</v>
      </c>
      <c r="B1862" s="1">
        <f t="shared" si="29"/>
        <v>14</v>
      </c>
    </row>
    <row r="1863" spans="1:2">
      <c r="A1863" s="112">
        <v>39500</v>
      </c>
      <c r="B1863" s="1">
        <f t="shared" si="29"/>
        <v>15</v>
      </c>
    </row>
    <row r="1864" spans="1:2">
      <c r="A1864" s="112">
        <v>39501</v>
      </c>
      <c r="B1864" s="1">
        <f t="shared" si="29"/>
        <v>16</v>
      </c>
    </row>
    <row r="1865" spans="1:2">
      <c r="A1865" s="112">
        <v>39502</v>
      </c>
      <c r="B1865" s="1">
        <f t="shared" si="29"/>
        <v>17</v>
      </c>
    </row>
    <row r="1866" spans="1:2">
      <c r="A1866" s="112">
        <v>39503</v>
      </c>
      <c r="B1866" s="1">
        <f t="shared" si="29"/>
        <v>18</v>
      </c>
    </row>
    <row r="1867" spans="1:2">
      <c r="A1867" s="112">
        <v>39504</v>
      </c>
      <c r="B1867" s="1">
        <f t="shared" si="29"/>
        <v>19</v>
      </c>
    </row>
    <row r="1868" spans="1:2">
      <c r="A1868" s="112">
        <v>39505</v>
      </c>
      <c r="B1868" s="1">
        <f t="shared" si="29"/>
        <v>20</v>
      </c>
    </row>
    <row r="1869" spans="1:2">
      <c r="A1869" s="112">
        <v>39506</v>
      </c>
      <c r="B1869" s="1">
        <f t="shared" si="29"/>
        <v>21</v>
      </c>
    </row>
    <row r="1870" spans="1:2">
      <c r="A1870" s="112">
        <v>39507</v>
      </c>
      <c r="B1870" s="1">
        <f t="shared" si="29"/>
        <v>22</v>
      </c>
    </row>
    <row r="1871" spans="1:2">
      <c r="A1871" s="112">
        <v>39508</v>
      </c>
      <c r="B1871" s="1">
        <f t="shared" si="29"/>
        <v>23</v>
      </c>
    </row>
    <row r="1872" spans="1:2">
      <c r="A1872" s="112">
        <v>39509</v>
      </c>
      <c r="B1872" s="1">
        <f t="shared" si="29"/>
        <v>24</v>
      </c>
    </row>
    <row r="1873" spans="1:2">
      <c r="A1873" s="112">
        <v>39510</v>
      </c>
      <c r="B1873" s="1">
        <f t="shared" si="29"/>
        <v>25</v>
      </c>
    </row>
    <row r="1874" spans="1:2">
      <c r="A1874" s="112">
        <v>39511</v>
      </c>
      <c r="B1874" s="1">
        <f t="shared" si="29"/>
        <v>26</v>
      </c>
    </row>
    <row r="1875" spans="1:2">
      <c r="A1875" s="112">
        <v>39512</v>
      </c>
      <c r="B1875" s="1">
        <f t="shared" si="29"/>
        <v>27</v>
      </c>
    </row>
    <row r="1876" spans="1:2">
      <c r="A1876" s="112">
        <v>39513</v>
      </c>
      <c r="B1876" s="1">
        <f t="shared" si="29"/>
        <v>28</v>
      </c>
    </row>
    <row r="1877" spans="1:2">
      <c r="A1877" s="112">
        <v>39514</v>
      </c>
      <c r="B1877" s="1">
        <f t="shared" si="29"/>
        <v>0</v>
      </c>
    </row>
    <row r="1878" spans="1:2">
      <c r="A1878" s="112">
        <v>39515</v>
      </c>
      <c r="B1878" s="1">
        <f t="shared" si="29"/>
        <v>1</v>
      </c>
    </row>
    <row r="1879" spans="1:2">
      <c r="A1879" s="112">
        <v>39516</v>
      </c>
      <c r="B1879" s="1">
        <f t="shared" si="29"/>
        <v>2</v>
      </c>
    </row>
    <row r="1880" spans="1:2">
      <c r="A1880" s="112">
        <v>39517</v>
      </c>
      <c r="B1880" s="1">
        <f t="shared" si="29"/>
        <v>3</v>
      </c>
    </row>
    <row r="1881" spans="1:2">
      <c r="A1881" s="112">
        <v>39518</v>
      </c>
      <c r="B1881" s="1">
        <f t="shared" si="29"/>
        <v>4</v>
      </c>
    </row>
    <row r="1882" spans="1:2">
      <c r="A1882" s="112">
        <v>39519</v>
      </c>
      <c r="B1882" s="1">
        <f t="shared" si="29"/>
        <v>5</v>
      </c>
    </row>
    <row r="1883" spans="1:2">
      <c r="A1883" s="112">
        <v>39520</v>
      </c>
      <c r="B1883" s="1">
        <f t="shared" si="29"/>
        <v>6</v>
      </c>
    </row>
    <row r="1884" spans="1:2">
      <c r="A1884" s="112">
        <v>39521</v>
      </c>
      <c r="B1884" s="1">
        <f t="shared" si="29"/>
        <v>7</v>
      </c>
    </row>
    <row r="1885" spans="1:2">
      <c r="A1885" s="112">
        <v>39522</v>
      </c>
      <c r="B1885" s="1">
        <f t="shared" si="29"/>
        <v>8</v>
      </c>
    </row>
    <row r="1886" spans="1:2">
      <c r="A1886" s="112">
        <v>39523</v>
      </c>
      <c r="B1886" s="1">
        <f t="shared" si="29"/>
        <v>9</v>
      </c>
    </row>
    <row r="1887" spans="1:2">
      <c r="A1887" s="112">
        <v>39524</v>
      </c>
      <c r="B1887" s="1">
        <f t="shared" si="29"/>
        <v>10</v>
      </c>
    </row>
    <row r="1888" spans="1:2">
      <c r="A1888" s="112">
        <v>39525</v>
      </c>
      <c r="B1888" s="1">
        <f t="shared" si="29"/>
        <v>11</v>
      </c>
    </row>
    <row r="1889" spans="1:2">
      <c r="A1889" s="112">
        <v>39526</v>
      </c>
      <c r="B1889" s="1">
        <f t="shared" si="29"/>
        <v>12</v>
      </c>
    </row>
    <row r="1890" spans="1:2">
      <c r="A1890" s="112">
        <v>39527</v>
      </c>
      <c r="B1890" s="1">
        <f t="shared" si="29"/>
        <v>13</v>
      </c>
    </row>
    <row r="1891" spans="1:2">
      <c r="A1891" s="112">
        <v>39528</v>
      </c>
      <c r="B1891" s="1">
        <f t="shared" si="29"/>
        <v>14</v>
      </c>
    </row>
    <row r="1892" spans="1:2">
      <c r="A1892" s="112">
        <v>39529</v>
      </c>
      <c r="B1892" s="1">
        <f t="shared" si="29"/>
        <v>15</v>
      </c>
    </row>
    <row r="1893" spans="1:2">
      <c r="A1893" s="112">
        <v>39530</v>
      </c>
      <c r="B1893" s="1">
        <f t="shared" si="29"/>
        <v>16</v>
      </c>
    </row>
    <row r="1894" spans="1:2">
      <c r="A1894" s="112">
        <v>39531</v>
      </c>
      <c r="B1894" s="1">
        <f t="shared" si="29"/>
        <v>17</v>
      </c>
    </row>
    <row r="1895" spans="1:2">
      <c r="A1895" s="112">
        <v>39532</v>
      </c>
      <c r="B1895" s="1">
        <f t="shared" si="29"/>
        <v>18</v>
      </c>
    </row>
    <row r="1896" spans="1:2">
      <c r="A1896" s="112">
        <v>39533</v>
      </c>
      <c r="B1896" s="1">
        <f t="shared" si="29"/>
        <v>19</v>
      </c>
    </row>
    <row r="1897" spans="1:2">
      <c r="A1897" s="112">
        <v>39534</v>
      </c>
      <c r="B1897" s="1">
        <f t="shared" si="29"/>
        <v>20</v>
      </c>
    </row>
    <row r="1898" spans="1:2">
      <c r="A1898" s="112">
        <v>39535</v>
      </c>
      <c r="B1898" s="1">
        <f t="shared" si="29"/>
        <v>21</v>
      </c>
    </row>
    <row r="1899" spans="1:2">
      <c r="A1899" s="112">
        <v>39536</v>
      </c>
      <c r="B1899" s="1">
        <f t="shared" si="29"/>
        <v>22</v>
      </c>
    </row>
    <row r="1900" spans="1:2">
      <c r="A1900" s="112">
        <v>39537</v>
      </c>
      <c r="B1900" s="1">
        <f t="shared" si="29"/>
        <v>23</v>
      </c>
    </row>
    <row r="1901" spans="1:2">
      <c r="A1901" s="112">
        <v>39538</v>
      </c>
      <c r="B1901" s="1">
        <f t="shared" si="29"/>
        <v>24</v>
      </c>
    </row>
    <row r="1902" spans="1:2">
      <c r="A1902" s="112">
        <v>39539</v>
      </c>
      <c r="B1902" s="1">
        <f t="shared" si="29"/>
        <v>25</v>
      </c>
    </row>
    <row r="1903" spans="1:2">
      <c r="A1903" s="112">
        <v>39540</v>
      </c>
      <c r="B1903" s="1">
        <f t="shared" si="29"/>
        <v>26</v>
      </c>
    </row>
    <row r="1904" spans="1:2">
      <c r="A1904" s="112">
        <v>39541</v>
      </c>
      <c r="B1904" s="1">
        <f t="shared" si="29"/>
        <v>27</v>
      </c>
    </row>
    <row r="1905" spans="1:2">
      <c r="A1905" s="112">
        <v>39542</v>
      </c>
      <c r="B1905" s="1">
        <f t="shared" si="29"/>
        <v>28</v>
      </c>
    </row>
    <row r="1906" spans="1:2">
      <c r="A1906" s="112">
        <v>39543</v>
      </c>
      <c r="B1906" s="1">
        <f t="shared" si="29"/>
        <v>29</v>
      </c>
    </row>
    <row r="1907" spans="1:2">
      <c r="A1907" s="112">
        <v>39544</v>
      </c>
      <c r="B1907" s="1">
        <f t="shared" si="29"/>
        <v>0</v>
      </c>
    </row>
    <row r="1908" spans="1:2">
      <c r="A1908" s="112">
        <v>39545</v>
      </c>
      <c r="B1908" s="1">
        <f t="shared" si="29"/>
        <v>1</v>
      </c>
    </row>
    <row r="1909" spans="1:2">
      <c r="A1909" s="112">
        <v>39546</v>
      </c>
      <c r="B1909" s="1">
        <f t="shared" si="29"/>
        <v>2</v>
      </c>
    </row>
    <row r="1910" spans="1:2">
      <c r="A1910" s="112">
        <v>39547</v>
      </c>
      <c r="B1910" s="1">
        <f t="shared" si="29"/>
        <v>3</v>
      </c>
    </row>
    <row r="1911" spans="1:2">
      <c r="A1911" s="112">
        <v>39548</v>
      </c>
      <c r="B1911" s="1">
        <f t="shared" si="29"/>
        <v>4</v>
      </c>
    </row>
    <row r="1912" spans="1:2">
      <c r="A1912" s="112">
        <v>39549</v>
      </c>
      <c r="B1912" s="1">
        <f t="shared" si="29"/>
        <v>5</v>
      </c>
    </row>
    <row r="1913" spans="1:2">
      <c r="A1913" s="112">
        <v>39550</v>
      </c>
      <c r="B1913" s="1">
        <f t="shared" si="29"/>
        <v>6</v>
      </c>
    </row>
    <row r="1914" spans="1:2">
      <c r="A1914" s="112">
        <v>39551</v>
      </c>
      <c r="B1914" s="1">
        <f t="shared" si="29"/>
        <v>7</v>
      </c>
    </row>
    <row r="1915" spans="1:2">
      <c r="A1915" s="112">
        <v>39552</v>
      </c>
      <c r="B1915" s="1">
        <f t="shared" si="29"/>
        <v>8</v>
      </c>
    </row>
    <row r="1916" spans="1:2">
      <c r="A1916" s="112">
        <v>39553</v>
      </c>
      <c r="B1916" s="1">
        <f t="shared" si="29"/>
        <v>9</v>
      </c>
    </row>
    <row r="1917" spans="1:2">
      <c r="A1917" s="112">
        <v>39554</v>
      </c>
      <c r="B1917" s="1">
        <f t="shared" si="29"/>
        <v>10</v>
      </c>
    </row>
    <row r="1918" spans="1:2">
      <c r="A1918" s="112">
        <v>39555</v>
      </c>
      <c r="B1918" s="1">
        <f t="shared" si="29"/>
        <v>11</v>
      </c>
    </row>
    <row r="1919" spans="1:2">
      <c r="A1919" s="112">
        <v>39556</v>
      </c>
      <c r="B1919" s="1">
        <f t="shared" si="29"/>
        <v>12</v>
      </c>
    </row>
    <row r="1920" spans="1:2">
      <c r="A1920" s="112">
        <v>39557</v>
      </c>
      <c r="B1920" s="1">
        <f t="shared" si="29"/>
        <v>13</v>
      </c>
    </row>
    <row r="1921" spans="1:2">
      <c r="A1921" s="112">
        <v>39558</v>
      </c>
      <c r="B1921" s="1">
        <f t="shared" si="29"/>
        <v>14</v>
      </c>
    </row>
    <row r="1922" spans="1:2">
      <c r="A1922" s="112">
        <v>39559</v>
      </c>
      <c r="B1922" s="1">
        <f t="shared" si="29"/>
        <v>15</v>
      </c>
    </row>
    <row r="1923" spans="1:2">
      <c r="A1923" s="112">
        <v>39560</v>
      </c>
      <c r="B1923" s="1">
        <f t="shared" ref="B1923:B1986" si="30">INT(MOD($G$2+A1923-$F$2,29.53))</f>
        <v>16</v>
      </c>
    </row>
    <row r="1924" spans="1:2">
      <c r="A1924" s="112">
        <v>39561</v>
      </c>
      <c r="B1924" s="1">
        <f t="shared" si="30"/>
        <v>17</v>
      </c>
    </row>
    <row r="1925" spans="1:2">
      <c r="A1925" s="112">
        <v>39562</v>
      </c>
      <c r="B1925" s="1">
        <f t="shared" si="30"/>
        <v>18</v>
      </c>
    </row>
    <row r="1926" spans="1:2">
      <c r="A1926" s="112">
        <v>39563</v>
      </c>
      <c r="B1926" s="1">
        <f t="shared" si="30"/>
        <v>19</v>
      </c>
    </row>
    <row r="1927" spans="1:2">
      <c r="A1927" s="112">
        <v>39564</v>
      </c>
      <c r="B1927" s="1">
        <f t="shared" si="30"/>
        <v>20</v>
      </c>
    </row>
    <row r="1928" spans="1:2">
      <c r="A1928" s="112">
        <v>39565</v>
      </c>
      <c r="B1928" s="1">
        <f t="shared" si="30"/>
        <v>21</v>
      </c>
    </row>
    <row r="1929" spans="1:2">
      <c r="A1929" s="112">
        <v>39566</v>
      </c>
      <c r="B1929" s="1">
        <f t="shared" si="30"/>
        <v>22</v>
      </c>
    </row>
    <row r="1930" spans="1:2">
      <c r="A1930" s="112">
        <v>39567</v>
      </c>
      <c r="B1930" s="1">
        <f t="shared" si="30"/>
        <v>23</v>
      </c>
    </row>
    <row r="1931" spans="1:2">
      <c r="A1931" s="112">
        <v>39568</v>
      </c>
      <c r="B1931" s="1">
        <f t="shared" si="30"/>
        <v>24</v>
      </c>
    </row>
    <row r="1932" spans="1:2">
      <c r="A1932" s="112">
        <v>39569</v>
      </c>
      <c r="B1932" s="1">
        <f t="shared" si="30"/>
        <v>25</v>
      </c>
    </row>
    <row r="1933" spans="1:2">
      <c r="A1933" s="112">
        <v>39570</v>
      </c>
      <c r="B1933" s="1">
        <f t="shared" si="30"/>
        <v>26</v>
      </c>
    </row>
    <row r="1934" spans="1:2">
      <c r="A1934" s="112">
        <v>39571</v>
      </c>
      <c r="B1934" s="1">
        <f t="shared" si="30"/>
        <v>27</v>
      </c>
    </row>
    <row r="1935" spans="1:2">
      <c r="A1935" s="112">
        <v>39572</v>
      </c>
      <c r="B1935" s="1">
        <f t="shared" si="30"/>
        <v>28</v>
      </c>
    </row>
    <row r="1936" spans="1:2">
      <c r="A1936" s="112">
        <v>39573</v>
      </c>
      <c r="B1936" s="1">
        <f t="shared" si="30"/>
        <v>0</v>
      </c>
    </row>
    <row r="1937" spans="1:2">
      <c r="A1937" s="112">
        <v>39574</v>
      </c>
      <c r="B1937" s="1">
        <f t="shared" si="30"/>
        <v>1</v>
      </c>
    </row>
    <row r="1938" spans="1:2">
      <c r="A1938" s="112">
        <v>39575</v>
      </c>
      <c r="B1938" s="1">
        <f t="shared" si="30"/>
        <v>2</v>
      </c>
    </row>
    <row r="1939" spans="1:2">
      <c r="A1939" s="112">
        <v>39576</v>
      </c>
      <c r="B1939" s="1">
        <f t="shared" si="30"/>
        <v>3</v>
      </c>
    </row>
    <row r="1940" spans="1:2">
      <c r="A1940" s="112">
        <v>39577</v>
      </c>
      <c r="B1940" s="1">
        <f t="shared" si="30"/>
        <v>4</v>
      </c>
    </row>
    <row r="1941" spans="1:2">
      <c r="A1941" s="112">
        <v>39578</v>
      </c>
      <c r="B1941" s="1">
        <f t="shared" si="30"/>
        <v>5</v>
      </c>
    </row>
    <row r="1942" spans="1:2">
      <c r="A1942" s="112">
        <v>39579</v>
      </c>
      <c r="B1942" s="1">
        <f t="shared" si="30"/>
        <v>6</v>
      </c>
    </row>
    <row r="1943" spans="1:2">
      <c r="A1943" s="112">
        <v>39580</v>
      </c>
      <c r="B1943" s="1">
        <f t="shared" si="30"/>
        <v>7</v>
      </c>
    </row>
    <row r="1944" spans="1:2">
      <c r="A1944" s="112">
        <v>39581</v>
      </c>
      <c r="B1944" s="1">
        <f t="shared" si="30"/>
        <v>8</v>
      </c>
    </row>
    <row r="1945" spans="1:2">
      <c r="A1945" s="112">
        <v>39582</v>
      </c>
      <c r="B1945" s="1">
        <f t="shared" si="30"/>
        <v>9</v>
      </c>
    </row>
    <row r="1946" spans="1:2">
      <c r="A1946" s="112">
        <v>39583</v>
      </c>
      <c r="B1946" s="1">
        <f t="shared" si="30"/>
        <v>10</v>
      </c>
    </row>
    <row r="1947" spans="1:2">
      <c r="A1947" s="112">
        <v>39584</v>
      </c>
      <c r="B1947" s="1">
        <f t="shared" si="30"/>
        <v>11</v>
      </c>
    </row>
    <row r="1948" spans="1:2">
      <c r="A1948" s="112">
        <v>39585</v>
      </c>
      <c r="B1948" s="1">
        <f t="shared" si="30"/>
        <v>12</v>
      </c>
    </row>
    <row r="1949" spans="1:2">
      <c r="A1949" s="112">
        <v>39586</v>
      </c>
      <c r="B1949" s="1">
        <f t="shared" si="30"/>
        <v>13</v>
      </c>
    </row>
    <row r="1950" spans="1:2">
      <c r="A1950" s="112">
        <v>39587</v>
      </c>
      <c r="B1950" s="1">
        <f t="shared" si="30"/>
        <v>14</v>
      </c>
    </row>
    <row r="1951" spans="1:2">
      <c r="A1951" s="112">
        <v>39588</v>
      </c>
      <c r="B1951" s="1">
        <f t="shared" si="30"/>
        <v>15</v>
      </c>
    </row>
    <row r="1952" spans="1:2">
      <c r="A1952" s="112">
        <v>39589</v>
      </c>
      <c r="B1952" s="1">
        <f t="shared" si="30"/>
        <v>16</v>
      </c>
    </row>
    <row r="1953" spans="1:2">
      <c r="A1953" s="112">
        <v>39590</v>
      </c>
      <c r="B1953" s="1">
        <f t="shared" si="30"/>
        <v>17</v>
      </c>
    </row>
    <row r="1954" spans="1:2">
      <c r="A1954" s="112">
        <v>39591</v>
      </c>
      <c r="B1954" s="1">
        <f t="shared" si="30"/>
        <v>18</v>
      </c>
    </row>
    <row r="1955" spans="1:2">
      <c r="A1955" s="112">
        <v>39592</v>
      </c>
      <c r="B1955" s="1">
        <f t="shared" si="30"/>
        <v>19</v>
      </c>
    </row>
    <row r="1956" spans="1:2">
      <c r="A1956" s="112">
        <v>39593</v>
      </c>
      <c r="B1956" s="1">
        <f t="shared" si="30"/>
        <v>20</v>
      </c>
    </row>
    <row r="1957" spans="1:2">
      <c r="A1957" s="112">
        <v>39594</v>
      </c>
      <c r="B1957" s="1">
        <f t="shared" si="30"/>
        <v>21</v>
      </c>
    </row>
    <row r="1958" spans="1:2">
      <c r="A1958" s="112">
        <v>39595</v>
      </c>
      <c r="B1958" s="1">
        <f t="shared" si="30"/>
        <v>22</v>
      </c>
    </row>
    <row r="1959" spans="1:2">
      <c r="A1959" s="112">
        <v>39596</v>
      </c>
      <c r="B1959" s="1">
        <f t="shared" si="30"/>
        <v>23</v>
      </c>
    </row>
    <row r="1960" spans="1:2">
      <c r="A1960" s="112">
        <v>39597</v>
      </c>
      <c r="B1960" s="1">
        <f t="shared" si="30"/>
        <v>24</v>
      </c>
    </row>
    <row r="1961" spans="1:2">
      <c r="A1961" s="112">
        <v>39598</v>
      </c>
      <c r="B1961" s="1">
        <f t="shared" si="30"/>
        <v>25</v>
      </c>
    </row>
    <row r="1962" spans="1:2">
      <c r="A1962" s="112">
        <v>39599</v>
      </c>
      <c r="B1962" s="1">
        <f t="shared" si="30"/>
        <v>26</v>
      </c>
    </row>
    <row r="1963" spans="1:2">
      <c r="A1963" s="112">
        <v>39600</v>
      </c>
      <c r="B1963" s="1">
        <f t="shared" si="30"/>
        <v>27</v>
      </c>
    </row>
    <row r="1964" spans="1:2">
      <c r="A1964" s="112">
        <v>39601</v>
      </c>
      <c r="B1964" s="1">
        <f t="shared" si="30"/>
        <v>28</v>
      </c>
    </row>
    <row r="1965" spans="1:2">
      <c r="A1965" s="112">
        <v>39602</v>
      </c>
      <c r="B1965" s="1">
        <f t="shared" si="30"/>
        <v>29</v>
      </c>
    </row>
    <row r="1966" spans="1:2">
      <c r="A1966" s="112">
        <v>39603</v>
      </c>
      <c r="B1966" s="1">
        <f t="shared" si="30"/>
        <v>0</v>
      </c>
    </row>
    <row r="1967" spans="1:2">
      <c r="A1967" s="112">
        <v>39604</v>
      </c>
      <c r="B1967" s="1">
        <f t="shared" si="30"/>
        <v>1</v>
      </c>
    </row>
    <row r="1968" spans="1:2">
      <c r="A1968" s="112">
        <v>39605</v>
      </c>
      <c r="B1968" s="1">
        <f t="shared" si="30"/>
        <v>2</v>
      </c>
    </row>
    <row r="1969" spans="1:2">
      <c r="A1969" s="112">
        <v>39606</v>
      </c>
      <c r="B1969" s="1">
        <f t="shared" si="30"/>
        <v>3</v>
      </c>
    </row>
    <row r="1970" spans="1:2">
      <c r="A1970" s="112">
        <v>39607</v>
      </c>
      <c r="B1970" s="1">
        <f t="shared" si="30"/>
        <v>4</v>
      </c>
    </row>
    <row r="1971" spans="1:2">
      <c r="A1971" s="112">
        <v>39608</v>
      </c>
      <c r="B1971" s="1">
        <f t="shared" si="30"/>
        <v>5</v>
      </c>
    </row>
    <row r="1972" spans="1:2">
      <c r="A1972" s="112">
        <v>39609</v>
      </c>
      <c r="B1972" s="1">
        <f t="shared" si="30"/>
        <v>6</v>
      </c>
    </row>
    <row r="1973" spans="1:2">
      <c r="A1973" s="112">
        <v>39610</v>
      </c>
      <c r="B1973" s="1">
        <f t="shared" si="30"/>
        <v>7</v>
      </c>
    </row>
    <row r="1974" spans="1:2">
      <c r="A1974" s="112">
        <v>39611</v>
      </c>
      <c r="B1974" s="1">
        <f t="shared" si="30"/>
        <v>8</v>
      </c>
    </row>
    <row r="1975" spans="1:2">
      <c r="A1975" s="112">
        <v>39612</v>
      </c>
      <c r="B1975" s="1">
        <f t="shared" si="30"/>
        <v>9</v>
      </c>
    </row>
    <row r="1976" spans="1:2">
      <c r="A1976" s="112">
        <v>39613</v>
      </c>
      <c r="B1976" s="1">
        <f t="shared" si="30"/>
        <v>10</v>
      </c>
    </row>
    <row r="1977" spans="1:2">
      <c r="A1977" s="112">
        <v>39614</v>
      </c>
      <c r="B1977" s="1">
        <f t="shared" si="30"/>
        <v>11</v>
      </c>
    </row>
    <row r="1978" spans="1:2">
      <c r="A1978" s="112">
        <v>39615</v>
      </c>
      <c r="B1978" s="1">
        <f t="shared" si="30"/>
        <v>12</v>
      </c>
    </row>
    <row r="1979" spans="1:2">
      <c r="A1979" s="112">
        <v>39616</v>
      </c>
      <c r="B1979" s="1">
        <f t="shared" si="30"/>
        <v>13</v>
      </c>
    </row>
    <row r="1980" spans="1:2">
      <c r="A1980" s="112">
        <v>39617</v>
      </c>
      <c r="B1980" s="1">
        <f t="shared" si="30"/>
        <v>14</v>
      </c>
    </row>
    <row r="1981" spans="1:2">
      <c r="A1981" s="112">
        <v>39618</v>
      </c>
      <c r="B1981" s="1">
        <f t="shared" si="30"/>
        <v>15</v>
      </c>
    </row>
    <row r="1982" spans="1:2">
      <c r="A1982" s="112">
        <v>39619</v>
      </c>
      <c r="B1982" s="1">
        <f t="shared" si="30"/>
        <v>16</v>
      </c>
    </row>
    <row r="1983" spans="1:2">
      <c r="A1983" s="112">
        <v>39620</v>
      </c>
      <c r="B1983" s="1">
        <f t="shared" si="30"/>
        <v>17</v>
      </c>
    </row>
    <row r="1984" spans="1:2">
      <c r="A1984" s="112">
        <v>39621</v>
      </c>
      <c r="B1984" s="1">
        <f t="shared" si="30"/>
        <v>18</v>
      </c>
    </row>
    <row r="1985" spans="1:2">
      <c r="A1985" s="112">
        <v>39622</v>
      </c>
      <c r="B1985" s="1">
        <f t="shared" si="30"/>
        <v>19</v>
      </c>
    </row>
    <row r="1986" spans="1:2">
      <c r="A1986" s="112">
        <v>39623</v>
      </c>
      <c r="B1986" s="1">
        <f t="shared" si="30"/>
        <v>20</v>
      </c>
    </row>
    <row r="1987" spans="1:2">
      <c r="A1987" s="112">
        <v>39624</v>
      </c>
      <c r="B1987" s="1">
        <f t="shared" ref="B1987:B2050" si="31">INT(MOD($G$2+A1987-$F$2,29.53))</f>
        <v>21</v>
      </c>
    </row>
    <row r="1988" spans="1:2">
      <c r="A1988" s="112">
        <v>39625</v>
      </c>
      <c r="B1988" s="1">
        <f t="shared" si="31"/>
        <v>22</v>
      </c>
    </row>
    <row r="1989" spans="1:2">
      <c r="A1989" s="112">
        <v>39626</v>
      </c>
      <c r="B1989" s="1">
        <f t="shared" si="31"/>
        <v>23</v>
      </c>
    </row>
    <row r="1990" spans="1:2">
      <c r="A1990" s="112">
        <v>39627</v>
      </c>
      <c r="B1990" s="1">
        <f t="shared" si="31"/>
        <v>24</v>
      </c>
    </row>
    <row r="1991" spans="1:2">
      <c r="A1991" s="112">
        <v>39628</v>
      </c>
      <c r="B1991" s="1">
        <f t="shared" si="31"/>
        <v>25</v>
      </c>
    </row>
    <row r="1992" spans="1:2">
      <c r="A1992" s="112">
        <v>39629</v>
      </c>
      <c r="B1992" s="1">
        <f t="shared" si="31"/>
        <v>26</v>
      </c>
    </row>
    <row r="1993" spans="1:2">
      <c r="A1993" s="112">
        <v>39630</v>
      </c>
      <c r="B1993" s="1">
        <f t="shared" si="31"/>
        <v>27</v>
      </c>
    </row>
    <row r="1994" spans="1:2">
      <c r="A1994" s="112">
        <v>39631</v>
      </c>
      <c r="B1994" s="1">
        <f t="shared" si="31"/>
        <v>28</v>
      </c>
    </row>
    <row r="1995" spans="1:2">
      <c r="A1995" s="112">
        <v>39632</v>
      </c>
      <c r="B1995" s="1">
        <f t="shared" si="31"/>
        <v>0</v>
      </c>
    </row>
    <row r="1996" spans="1:2">
      <c r="A1996" s="112">
        <v>39633</v>
      </c>
      <c r="B1996" s="1">
        <f t="shared" si="31"/>
        <v>1</v>
      </c>
    </row>
    <row r="1997" spans="1:2">
      <c r="A1997" s="112">
        <v>39634</v>
      </c>
      <c r="B1997" s="1">
        <f t="shared" si="31"/>
        <v>2</v>
      </c>
    </row>
    <row r="1998" spans="1:2">
      <c r="A1998" s="112">
        <v>39635</v>
      </c>
      <c r="B1998" s="1">
        <f t="shared" si="31"/>
        <v>3</v>
      </c>
    </row>
    <row r="1999" spans="1:2">
      <c r="A1999" s="112">
        <v>39636</v>
      </c>
      <c r="B1999" s="1">
        <f t="shared" si="31"/>
        <v>4</v>
      </c>
    </row>
    <row r="2000" spans="1:2">
      <c r="A2000" s="112">
        <v>39637</v>
      </c>
      <c r="B2000" s="1">
        <f t="shared" si="31"/>
        <v>5</v>
      </c>
    </row>
    <row r="2001" spans="1:2">
      <c r="A2001" s="112">
        <v>39638</v>
      </c>
      <c r="B2001" s="1">
        <f t="shared" si="31"/>
        <v>6</v>
      </c>
    </row>
    <row r="2002" spans="1:2">
      <c r="A2002" s="112">
        <v>39639</v>
      </c>
      <c r="B2002" s="1">
        <f t="shared" si="31"/>
        <v>7</v>
      </c>
    </row>
    <row r="2003" spans="1:2">
      <c r="A2003" s="112">
        <v>39640</v>
      </c>
      <c r="B2003" s="1">
        <f t="shared" si="31"/>
        <v>8</v>
      </c>
    </row>
    <row r="2004" spans="1:2">
      <c r="A2004" s="112">
        <v>39641</v>
      </c>
      <c r="B2004" s="1">
        <f t="shared" si="31"/>
        <v>9</v>
      </c>
    </row>
    <row r="2005" spans="1:2">
      <c r="A2005" s="112">
        <v>39642</v>
      </c>
      <c r="B2005" s="1">
        <f t="shared" si="31"/>
        <v>10</v>
      </c>
    </row>
    <row r="2006" spans="1:2">
      <c r="A2006" s="112">
        <v>39643</v>
      </c>
      <c r="B2006" s="1">
        <f t="shared" si="31"/>
        <v>11</v>
      </c>
    </row>
    <row r="2007" spans="1:2">
      <c r="A2007" s="112">
        <v>39644</v>
      </c>
      <c r="B2007" s="1">
        <f t="shared" si="31"/>
        <v>12</v>
      </c>
    </row>
    <row r="2008" spans="1:2">
      <c r="A2008" s="112">
        <v>39645</v>
      </c>
      <c r="B2008" s="1">
        <f t="shared" si="31"/>
        <v>13</v>
      </c>
    </row>
    <row r="2009" spans="1:2">
      <c r="A2009" s="112">
        <v>39646</v>
      </c>
      <c r="B2009" s="1">
        <f t="shared" si="31"/>
        <v>14</v>
      </c>
    </row>
    <row r="2010" spans="1:2">
      <c r="A2010" s="112">
        <v>39647</v>
      </c>
      <c r="B2010" s="1">
        <f t="shared" si="31"/>
        <v>15</v>
      </c>
    </row>
    <row r="2011" spans="1:2">
      <c r="A2011" s="112">
        <v>39648</v>
      </c>
      <c r="B2011" s="1">
        <f t="shared" si="31"/>
        <v>16</v>
      </c>
    </row>
    <row r="2012" spans="1:2">
      <c r="A2012" s="112">
        <v>39649</v>
      </c>
      <c r="B2012" s="1">
        <f t="shared" si="31"/>
        <v>17</v>
      </c>
    </row>
    <row r="2013" spans="1:2">
      <c r="A2013" s="112">
        <v>39650</v>
      </c>
      <c r="B2013" s="1">
        <f t="shared" si="31"/>
        <v>18</v>
      </c>
    </row>
    <row r="2014" spans="1:2">
      <c r="A2014" s="112">
        <v>39651</v>
      </c>
      <c r="B2014" s="1">
        <f t="shared" si="31"/>
        <v>19</v>
      </c>
    </row>
    <row r="2015" spans="1:2">
      <c r="A2015" s="112">
        <v>39652</v>
      </c>
      <c r="B2015" s="1">
        <f t="shared" si="31"/>
        <v>20</v>
      </c>
    </row>
    <row r="2016" spans="1:2">
      <c r="A2016" s="112">
        <v>39653</v>
      </c>
      <c r="B2016" s="1">
        <f t="shared" si="31"/>
        <v>21</v>
      </c>
    </row>
    <row r="2017" spans="1:2">
      <c r="A2017" s="112">
        <v>39654</v>
      </c>
      <c r="B2017" s="1">
        <f t="shared" si="31"/>
        <v>22</v>
      </c>
    </row>
    <row r="2018" spans="1:2">
      <c r="A2018" s="112">
        <v>39655</v>
      </c>
      <c r="B2018" s="1">
        <f t="shared" si="31"/>
        <v>23</v>
      </c>
    </row>
    <row r="2019" spans="1:2">
      <c r="A2019" s="112">
        <v>39656</v>
      </c>
      <c r="B2019" s="1">
        <f t="shared" si="31"/>
        <v>24</v>
      </c>
    </row>
    <row r="2020" spans="1:2">
      <c r="A2020" s="112">
        <v>39657</v>
      </c>
      <c r="B2020" s="1">
        <f t="shared" si="31"/>
        <v>25</v>
      </c>
    </row>
    <row r="2021" spans="1:2">
      <c r="A2021" s="112">
        <v>39658</v>
      </c>
      <c r="B2021" s="1">
        <f t="shared" si="31"/>
        <v>26</v>
      </c>
    </row>
    <row r="2022" spans="1:2">
      <c r="A2022" s="112">
        <v>39659</v>
      </c>
      <c r="B2022" s="1">
        <f t="shared" si="31"/>
        <v>27</v>
      </c>
    </row>
    <row r="2023" spans="1:2">
      <c r="A2023" s="112">
        <v>39660</v>
      </c>
      <c r="B2023" s="1">
        <f t="shared" si="31"/>
        <v>28</v>
      </c>
    </row>
    <row r="2024" spans="1:2">
      <c r="A2024" s="112">
        <v>39661</v>
      </c>
      <c r="B2024" s="1">
        <f t="shared" si="31"/>
        <v>29</v>
      </c>
    </row>
    <row r="2025" spans="1:2">
      <c r="A2025" s="112">
        <v>39662</v>
      </c>
      <c r="B2025" s="1">
        <f t="shared" si="31"/>
        <v>0</v>
      </c>
    </row>
    <row r="2026" spans="1:2">
      <c r="A2026" s="112">
        <v>39663</v>
      </c>
      <c r="B2026" s="1">
        <f t="shared" si="31"/>
        <v>1</v>
      </c>
    </row>
    <row r="2027" spans="1:2">
      <c r="A2027" s="112">
        <v>39664</v>
      </c>
      <c r="B2027" s="1">
        <f t="shared" si="31"/>
        <v>2</v>
      </c>
    </row>
    <row r="2028" spans="1:2">
      <c r="A2028" s="112">
        <v>39665</v>
      </c>
      <c r="B2028" s="1">
        <f t="shared" si="31"/>
        <v>3</v>
      </c>
    </row>
    <row r="2029" spans="1:2">
      <c r="A2029" s="112">
        <v>39666</v>
      </c>
      <c r="B2029" s="1">
        <f t="shared" si="31"/>
        <v>4</v>
      </c>
    </row>
    <row r="2030" spans="1:2">
      <c r="A2030" s="112">
        <v>39667</v>
      </c>
      <c r="B2030" s="1">
        <f t="shared" si="31"/>
        <v>5</v>
      </c>
    </row>
    <row r="2031" spans="1:2">
      <c r="A2031" s="112">
        <v>39668</v>
      </c>
      <c r="B2031" s="1">
        <f t="shared" si="31"/>
        <v>6</v>
      </c>
    </row>
    <row r="2032" spans="1:2">
      <c r="A2032" s="112">
        <v>39669</v>
      </c>
      <c r="B2032" s="1">
        <f t="shared" si="31"/>
        <v>7</v>
      </c>
    </row>
    <row r="2033" spans="1:2">
      <c r="A2033" s="112">
        <v>39670</v>
      </c>
      <c r="B2033" s="1">
        <f t="shared" si="31"/>
        <v>8</v>
      </c>
    </row>
    <row r="2034" spans="1:2">
      <c r="A2034" s="112">
        <v>39671</v>
      </c>
      <c r="B2034" s="1">
        <f t="shared" si="31"/>
        <v>9</v>
      </c>
    </row>
    <row r="2035" spans="1:2">
      <c r="A2035" s="112">
        <v>39672</v>
      </c>
      <c r="B2035" s="1">
        <f t="shared" si="31"/>
        <v>10</v>
      </c>
    </row>
    <row r="2036" spans="1:2">
      <c r="A2036" s="112">
        <v>39673</v>
      </c>
      <c r="B2036" s="1">
        <f t="shared" si="31"/>
        <v>11</v>
      </c>
    </row>
    <row r="2037" spans="1:2">
      <c r="A2037" s="112">
        <v>39674</v>
      </c>
      <c r="B2037" s="1">
        <f t="shared" si="31"/>
        <v>12</v>
      </c>
    </row>
    <row r="2038" spans="1:2">
      <c r="A2038" s="112">
        <v>39675</v>
      </c>
      <c r="B2038" s="1">
        <f t="shared" si="31"/>
        <v>13</v>
      </c>
    </row>
    <row r="2039" spans="1:2">
      <c r="A2039" s="112">
        <v>39676</v>
      </c>
      <c r="B2039" s="1">
        <f t="shared" si="31"/>
        <v>14</v>
      </c>
    </row>
    <row r="2040" spans="1:2">
      <c r="A2040" s="112">
        <v>39677</v>
      </c>
      <c r="B2040" s="1">
        <f t="shared" si="31"/>
        <v>15</v>
      </c>
    </row>
    <row r="2041" spans="1:2">
      <c r="A2041" s="112">
        <v>39678</v>
      </c>
      <c r="B2041" s="1">
        <f t="shared" si="31"/>
        <v>16</v>
      </c>
    </row>
    <row r="2042" spans="1:2">
      <c r="A2042" s="112">
        <v>39679</v>
      </c>
      <c r="B2042" s="1">
        <f t="shared" si="31"/>
        <v>17</v>
      </c>
    </row>
    <row r="2043" spans="1:2">
      <c r="A2043" s="112">
        <v>39680</v>
      </c>
      <c r="B2043" s="1">
        <f t="shared" si="31"/>
        <v>18</v>
      </c>
    </row>
    <row r="2044" spans="1:2">
      <c r="A2044" s="112">
        <v>39681</v>
      </c>
      <c r="B2044" s="1">
        <f t="shared" si="31"/>
        <v>19</v>
      </c>
    </row>
    <row r="2045" spans="1:2">
      <c r="A2045" s="112">
        <v>39682</v>
      </c>
      <c r="B2045" s="1">
        <f t="shared" si="31"/>
        <v>20</v>
      </c>
    </row>
    <row r="2046" spans="1:2">
      <c r="A2046" s="112">
        <v>39683</v>
      </c>
      <c r="B2046" s="1">
        <f t="shared" si="31"/>
        <v>21</v>
      </c>
    </row>
    <row r="2047" spans="1:2">
      <c r="A2047" s="112">
        <v>39684</v>
      </c>
      <c r="B2047" s="1">
        <f t="shared" si="31"/>
        <v>22</v>
      </c>
    </row>
    <row r="2048" spans="1:2">
      <c r="A2048" s="112">
        <v>39685</v>
      </c>
      <c r="B2048" s="1">
        <f t="shared" si="31"/>
        <v>23</v>
      </c>
    </row>
    <row r="2049" spans="1:2">
      <c r="A2049" s="112">
        <v>39686</v>
      </c>
      <c r="B2049" s="1">
        <f t="shared" si="31"/>
        <v>24</v>
      </c>
    </row>
    <row r="2050" spans="1:2">
      <c r="A2050" s="112">
        <v>39687</v>
      </c>
      <c r="B2050" s="1">
        <f t="shared" si="31"/>
        <v>25</v>
      </c>
    </row>
    <row r="2051" spans="1:2">
      <c r="A2051" s="112">
        <v>39688</v>
      </c>
      <c r="B2051" s="1">
        <f t="shared" ref="B2051:B2114" si="32">INT(MOD($G$2+A2051-$F$2,29.53))</f>
        <v>26</v>
      </c>
    </row>
    <row r="2052" spans="1:2">
      <c r="A2052" s="112">
        <v>39689</v>
      </c>
      <c r="B2052" s="1">
        <f t="shared" si="32"/>
        <v>27</v>
      </c>
    </row>
    <row r="2053" spans="1:2">
      <c r="A2053" s="112">
        <v>39690</v>
      </c>
      <c r="B2053" s="1">
        <f t="shared" si="32"/>
        <v>28</v>
      </c>
    </row>
    <row r="2054" spans="1:2">
      <c r="A2054" s="112">
        <v>39691</v>
      </c>
      <c r="B2054" s="1">
        <f t="shared" si="32"/>
        <v>0</v>
      </c>
    </row>
    <row r="2055" spans="1:2">
      <c r="A2055" s="112">
        <v>39692</v>
      </c>
      <c r="B2055" s="1">
        <f t="shared" si="32"/>
        <v>1</v>
      </c>
    </row>
    <row r="2056" spans="1:2">
      <c r="A2056" s="112">
        <v>39693</v>
      </c>
      <c r="B2056" s="1">
        <f t="shared" si="32"/>
        <v>2</v>
      </c>
    </row>
    <row r="2057" spans="1:2">
      <c r="A2057" s="112">
        <v>39694</v>
      </c>
      <c r="B2057" s="1">
        <f t="shared" si="32"/>
        <v>3</v>
      </c>
    </row>
    <row r="2058" spans="1:2">
      <c r="A2058" s="112">
        <v>39695</v>
      </c>
      <c r="B2058" s="1">
        <f t="shared" si="32"/>
        <v>4</v>
      </c>
    </row>
    <row r="2059" spans="1:2">
      <c r="A2059" s="112">
        <v>39696</v>
      </c>
      <c r="B2059" s="1">
        <f t="shared" si="32"/>
        <v>5</v>
      </c>
    </row>
    <row r="2060" spans="1:2">
      <c r="A2060" s="112">
        <v>39697</v>
      </c>
      <c r="B2060" s="1">
        <f t="shared" si="32"/>
        <v>6</v>
      </c>
    </row>
    <row r="2061" spans="1:2">
      <c r="A2061" s="112">
        <v>39698</v>
      </c>
      <c r="B2061" s="1">
        <f t="shared" si="32"/>
        <v>7</v>
      </c>
    </row>
    <row r="2062" spans="1:2">
      <c r="A2062" s="112">
        <v>39699</v>
      </c>
      <c r="B2062" s="1">
        <f t="shared" si="32"/>
        <v>8</v>
      </c>
    </row>
    <row r="2063" spans="1:2">
      <c r="A2063" s="112">
        <v>39700</v>
      </c>
      <c r="B2063" s="1">
        <f t="shared" si="32"/>
        <v>9</v>
      </c>
    </row>
    <row r="2064" spans="1:2">
      <c r="A2064" s="112">
        <v>39701</v>
      </c>
      <c r="B2064" s="1">
        <f t="shared" si="32"/>
        <v>10</v>
      </c>
    </row>
    <row r="2065" spans="1:2">
      <c r="A2065" s="112">
        <v>39702</v>
      </c>
      <c r="B2065" s="1">
        <f t="shared" si="32"/>
        <v>11</v>
      </c>
    </row>
    <row r="2066" spans="1:2">
      <c r="A2066" s="112">
        <v>39703</v>
      </c>
      <c r="B2066" s="1">
        <f t="shared" si="32"/>
        <v>12</v>
      </c>
    </row>
    <row r="2067" spans="1:2">
      <c r="A2067" s="112">
        <v>39704</v>
      </c>
      <c r="B2067" s="1">
        <f t="shared" si="32"/>
        <v>13</v>
      </c>
    </row>
    <row r="2068" spans="1:2">
      <c r="A2068" s="112">
        <v>39705</v>
      </c>
      <c r="B2068" s="1">
        <f t="shared" si="32"/>
        <v>14</v>
      </c>
    </row>
    <row r="2069" spans="1:2">
      <c r="A2069" s="112">
        <v>39706</v>
      </c>
      <c r="B2069" s="1">
        <f t="shared" si="32"/>
        <v>15</v>
      </c>
    </row>
    <row r="2070" spans="1:2">
      <c r="A2070" s="112">
        <v>39707</v>
      </c>
      <c r="B2070" s="1">
        <f t="shared" si="32"/>
        <v>16</v>
      </c>
    </row>
    <row r="2071" spans="1:2">
      <c r="A2071" s="112">
        <v>39708</v>
      </c>
      <c r="B2071" s="1">
        <f t="shared" si="32"/>
        <v>17</v>
      </c>
    </row>
    <row r="2072" spans="1:2">
      <c r="A2072" s="112">
        <v>39709</v>
      </c>
      <c r="B2072" s="1">
        <f t="shared" si="32"/>
        <v>18</v>
      </c>
    </row>
    <row r="2073" spans="1:2">
      <c r="A2073" s="112">
        <v>39710</v>
      </c>
      <c r="B2073" s="1">
        <f t="shared" si="32"/>
        <v>19</v>
      </c>
    </row>
    <row r="2074" spans="1:2">
      <c r="A2074" s="112">
        <v>39711</v>
      </c>
      <c r="B2074" s="1">
        <f t="shared" si="32"/>
        <v>20</v>
      </c>
    </row>
    <row r="2075" spans="1:2">
      <c r="A2075" s="112">
        <v>39712</v>
      </c>
      <c r="B2075" s="1">
        <f t="shared" si="32"/>
        <v>21</v>
      </c>
    </row>
    <row r="2076" spans="1:2">
      <c r="A2076" s="112">
        <v>39713</v>
      </c>
      <c r="B2076" s="1">
        <f t="shared" si="32"/>
        <v>22</v>
      </c>
    </row>
    <row r="2077" spans="1:2">
      <c r="A2077" s="112">
        <v>39714</v>
      </c>
      <c r="B2077" s="1">
        <f t="shared" si="32"/>
        <v>23</v>
      </c>
    </row>
    <row r="2078" spans="1:2">
      <c r="A2078" s="112">
        <v>39715</v>
      </c>
      <c r="B2078" s="1">
        <f t="shared" si="32"/>
        <v>24</v>
      </c>
    </row>
    <row r="2079" spans="1:2">
      <c r="A2079" s="112">
        <v>39716</v>
      </c>
      <c r="B2079" s="1">
        <f t="shared" si="32"/>
        <v>25</v>
      </c>
    </row>
    <row r="2080" spans="1:2">
      <c r="A2080" s="112">
        <v>39717</v>
      </c>
      <c r="B2080" s="1">
        <f t="shared" si="32"/>
        <v>26</v>
      </c>
    </row>
    <row r="2081" spans="1:2">
      <c r="A2081" s="112">
        <v>39718</v>
      </c>
      <c r="B2081" s="1">
        <f t="shared" si="32"/>
        <v>27</v>
      </c>
    </row>
    <row r="2082" spans="1:2">
      <c r="A2082" s="112">
        <v>39719</v>
      </c>
      <c r="B2082" s="1">
        <f t="shared" si="32"/>
        <v>28</v>
      </c>
    </row>
    <row r="2083" spans="1:2">
      <c r="A2083" s="112">
        <v>39720</v>
      </c>
      <c r="B2083" s="1">
        <f t="shared" si="32"/>
        <v>29</v>
      </c>
    </row>
    <row r="2084" spans="1:2">
      <c r="A2084" s="112">
        <v>39721</v>
      </c>
      <c r="B2084" s="1">
        <f t="shared" si="32"/>
        <v>0</v>
      </c>
    </row>
    <row r="2085" spans="1:2">
      <c r="A2085" s="112">
        <v>39722</v>
      </c>
      <c r="B2085" s="1">
        <f t="shared" si="32"/>
        <v>1</v>
      </c>
    </row>
    <row r="2086" spans="1:2">
      <c r="A2086" s="112">
        <v>39723</v>
      </c>
      <c r="B2086" s="1">
        <f t="shared" si="32"/>
        <v>2</v>
      </c>
    </row>
    <row r="2087" spans="1:2">
      <c r="A2087" s="112">
        <v>39724</v>
      </c>
      <c r="B2087" s="1">
        <f t="shared" si="32"/>
        <v>3</v>
      </c>
    </row>
    <row r="2088" spans="1:2">
      <c r="A2088" s="112">
        <v>39725</v>
      </c>
      <c r="B2088" s="1">
        <f t="shared" si="32"/>
        <v>4</v>
      </c>
    </row>
    <row r="2089" spans="1:2">
      <c r="A2089" s="112">
        <v>39726</v>
      </c>
      <c r="B2089" s="1">
        <f t="shared" si="32"/>
        <v>5</v>
      </c>
    </row>
    <row r="2090" spans="1:2">
      <c r="A2090" s="112">
        <v>39727</v>
      </c>
      <c r="B2090" s="1">
        <f t="shared" si="32"/>
        <v>6</v>
      </c>
    </row>
    <row r="2091" spans="1:2">
      <c r="A2091" s="112">
        <v>39728</v>
      </c>
      <c r="B2091" s="1">
        <f t="shared" si="32"/>
        <v>7</v>
      </c>
    </row>
    <row r="2092" spans="1:2">
      <c r="A2092" s="112">
        <v>39729</v>
      </c>
      <c r="B2092" s="1">
        <f t="shared" si="32"/>
        <v>8</v>
      </c>
    </row>
    <row r="2093" spans="1:2">
      <c r="A2093" s="112">
        <v>39730</v>
      </c>
      <c r="B2093" s="1">
        <f t="shared" si="32"/>
        <v>9</v>
      </c>
    </row>
    <row r="2094" spans="1:2">
      <c r="A2094" s="112">
        <v>39731</v>
      </c>
      <c r="B2094" s="1">
        <f t="shared" si="32"/>
        <v>10</v>
      </c>
    </row>
    <row r="2095" spans="1:2">
      <c r="A2095" s="112">
        <v>39732</v>
      </c>
      <c r="B2095" s="1">
        <f t="shared" si="32"/>
        <v>11</v>
      </c>
    </row>
    <row r="2096" spans="1:2">
      <c r="A2096" s="112">
        <v>39733</v>
      </c>
      <c r="B2096" s="1">
        <f t="shared" si="32"/>
        <v>12</v>
      </c>
    </row>
    <row r="2097" spans="1:2">
      <c r="A2097" s="112">
        <v>39734</v>
      </c>
      <c r="B2097" s="1">
        <f t="shared" si="32"/>
        <v>13</v>
      </c>
    </row>
    <row r="2098" spans="1:2">
      <c r="A2098" s="112">
        <v>39735</v>
      </c>
      <c r="B2098" s="1">
        <f t="shared" si="32"/>
        <v>14</v>
      </c>
    </row>
    <row r="2099" spans="1:2">
      <c r="A2099" s="112">
        <v>39736</v>
      </c>
      <c r="B2099" s="1">
        <f t="shared" si="32"/>
        <v>15</v>
      </c>
    </row>
    <row r="2100" spans="1:2">
      <c r="A2100" s="112">
        <v>39737</v>
      </c>
      <c r="B2100" s="1">
        <f t="shared" si="32"/>
        <v>16</v>
      </c>
    </row>
    <row r="2101" spans="1:2">
      <c r="A2101" s="112">
        <v>39738</v>
      </c>
      <c r="B2101" s="1">
        <f t="shared" si="32"/>
        <v>17</v>
      </c>
    </row>
    <row r="2102" spans="1:2">
      <c r="A2102" s="112">
        <v>39739</v>
      </c>
      <c r="B2102" s="1">
        <f t="shared" si="32"/>
        <v>18</v>
      </c>
    </row>
    <row r="2103" spans="1:2">
      <c r="A2103" s="112">
        <v>39740</v>
      </c>
      <c r="B2103" s="1">
        <f t="shared" si="32"/>
        <v>19</v>
      </c>
    </row>
    <row r="2104" spans="1:2">
      <c r="A2104" s="112">
        <v>39741</v>
      </c>
      <c r="B2104" s="1">
        <f t="shared" si="32"/>
        <v>20</v>
      </c>
    </row>
    <row r="2105" spans="1:2">
      <c r="A2105" s="112">
        <v>39742</v>
      </c>
      <c r="B2105" s="1">
        <f t="shared" si="32"/>
        <v>21</v>
      </c>
    </row>
    <row r="2106" spans="1:2">
      <c r="A2106" s="112">
        <v>39743</v>
      </c>
      <c r="B2106" s="1">
        <f t="shared" si="32"/>
        <v>22</v>
      </c>
    </row>
    <row r="2107" spans="1:2">
      <c r="A2107" s="112">
        <v>39744</v>
      </c>
      <c r="B2107" s="1">
        <f t="shared" si="32"/>
        <v>23</v>
      </c>
    </row>
    <row r="2108" spans="1:2">
      <c r="A2108" s="112">
        <v>39745</v>
      </c>
      <c r="B2108" s="1">
        <f t="shared" si="32"/>
        <v>24</v>
      </c>
    </row>
    <row r="2109" spans="1:2">
      <c r="A2109" s="112">
        <v>39746</v>
      </c>
      <c r="B2109" s="1">
        <f t="shared" si="32"/>
        <v>25</v>
      </c>
    </row>
    <row r="2110" spans="1:2">
      <c r="A2110" s="112">
        <v>39747</v>
      </c>
      <c r="B2110" s="1">
        <f t="shared" si="32"/>
        <v>26</v>
      </c>
    </row>
    <row r="2111" spans="1:2">
      <c r="A2111" s="112">
        <v>39748</v>
      </c>
      <c r="B2111" s="1">
        <f t="shared" si="32"/>
        <v>27</v>
      </c>
    </row>
    <row r="2112" spans="1:2">
      <c r="A2112" s="112">
        <v>39749</v>
      </c>
      <c r="B2112" s="1">
        <f t="shared" si="32"/>
        <v>28</v>
      </c>
    </row>
    <row r="2113" spans="1:2">
      <c r="A2113" s="112">
        <v>39750</v>
      </c>
      <c r="B2113" s="1">
        <f t="shared" si="32"/>
        <v>0</v>
      </c>
    </row>
    <row r="2114" spans="1:2">
      <c r="A2114" s="112">
        <v>39751</v>
      </c>
      <c r="B2114" s="1">
        <f t="shared" si="32"/>
        <v>1</v>
      </c>
    </row>
    <row r="2115" spans="1:2">
      <c r="A2115" s="112">
        <v>39752</v>
      </c>
      <c r="B2115" s="1">
        <f t="shared" ref="B2115:B2178" si="33">INT(MOD($G$2+A2115-$F$2,29.53))</f>
        <v>2</v>
      </c>
    </row>
    <row r="2116" spans="1:2">
      <c r="A2116" s="112">
        <v>39753</v>
      </c>
      <c r="B2116" s="1">
        <f t="shared" si="33"/>
        <v>3</v>
      </c>
    </row>
    <row r="2117" spans="1:2">
      <c r="A2117" s="112">
        <v>39754</v>
      </c>
      <c r="B2117" s="1">
        <f t="shared" si="33"/>
        <v>4</v>
      </c>
    </row>
    <row r="2118" spans="1:2">
      <c r="A2118" s="112">
        <v>39755</v>
      </c>
      <c r="B2118" s="1">
        <f t="shared" si="33"/>
        <v>5</v>
      </c>
    </row>
    <row r="2119" spans="1:2">
      <c r="A2119" s="112">
        <v>39756</v>
      </c>
      <c r="B2119" s="1">
        <f t="shared" si="33"/>
        <v>6</v>
      </c>
    </row>
    <row r="2120" spans="1:2">
      <c r="A2120" s="112">
        <v>39757</v>
      </c>
      <c r="B2120" s="1">
        <f t="shared" si="33"/>
        <v>7</v>
      </c>
    </row>
    <row r="2121" spans="1:2">
      <c r="A2121" s="112">
        <v>39758</v>
      </c>
      <c r="B2121" s="1">
        <f t="shared" si="33"/>
        <v>8</v>
      </c>
    </row>
    <row r="2122" spans="1:2">
      <c r="A2122" s="112">
        <v>39759</v>
      </c>
      <c r="B2122" s="1">
        <f t="shared" si="33"/>
        <v>9</v>
      </c>
    </row>
    <row r="2123" spans="1:2">
      <c r="A2123" s="112">
        <v>39760</v>
      </c>
      <c r="B2123" s="1">
        <f t="shared" si="33"/>
        <v>10</v>
      </c>
    </row>
    <row r="2124" spans="1:2">
      <c r="A2124" s="112">
        <v>39761</v>
      </c>
      <c r="B2124" s="1">
        <f t="shared" si="33"/>
        <v>11</v>
      </c>
    </row>
    <row r="2125" spans="1:2">
      <c r="A2125" s="112">
        <v>39762</v>
      </c>
      <c r="B2125" s="1">
        <f t="shared" si="33"/>
        <v>12</v>
      </c>
    </row>
    <row r="2126" spans="1:2">
      <c r="A2126" s="112">
        <v>39763</v>
      </c>
      <c r="B2126" s="1">
        <f t="shared" si="33"/>
        <v>13</v>
      </c>
    </row>
    <row r="2127" spans="1:2">
      <c r="A2127" s="112">
        <v>39764</v>
      </c>
      <c r="B2127" s="1">
        <f t="shared" si="33"/>
        <v>14</v>
      </c>
    </row>
    <row r="2128" spans="1:2">
      <c r="A2128" s="112">
        <v>39765</v>
      </c>
      <c r="B2128" s="1">
        <f t="shared" si="33"/>
        <v>15</v>
      </c>
    </row>
    <row r="2129" spans="1:2">
      <c r="A2129" s="112">
        <v>39766</v>
      </c>
      <c r="B2129" s="1">
        <f t="shared" si="33"/>
        <v>16</v>
      </c>
    </row>
    <row r="2130" spans="1:2">
      <c r="A2130" s="112">
        <v>39767</v>
      </c>
      <c r="B2130" s="1">
        <f t="shared" si="33"/>
        <v>17</v>
      </c>
    </row>
    <row r="2131" spans="1:2">
      <c r="A2131" s="112">
        <v>39768</v>
      </c>
      <c r="B2131" s="1">
        <f t="shared" si="33"/>
        <v>18</v>
      </c>
    </row>
    <row r="2132" spans="1:2">
      <c r="A2132" s="112">
        <v>39769</v>
      </c>
      <c r="B2132" s="1">
        <f t="shared" si="33"/>
        <v>19</v>
      </c>
    </row>
    <row r="2133" spans="1:2">
      <c r="A2133" s="112">
        <v>39770</v>
      </c>
      <c r="B2133" s="1">
        <f t="shared" si="33"/>
        <v>20</v>
      </c>
    </row>
    <row r="2134" spans="1:2">
      <c r="A2134" s="112">
        <v>39771</v>
      </c>
      <c r="B2134" s="1">
        <f t="shared" si="33"/>
        <v>21</v>
      </c>
    </row>
    <row r="2135" spans="1:2">
      <c r="A2135" s="112">
        <v>39772</v>
      </c>
      <c r="B2135" s="1">
        <f t="shared" si="33"/>
        <v>22</v>
      </c>
    </row>
    <row r="2136" spans="1:2">
      <c r="A2136" s="112">
        <v>39773</v>
      </c>
      <c r="B2136" s="1">
        <f t="shared" si="33"/>
        <v>23</v>
      </c>
    </row>
    <row r="2137" spans="1:2">
      <c r="A2137" s="112">
        <v>39774</v>
      </c>
      <c r="B2137" s="1">
        <f t="shared" si="33"/>
        <v>24</v>
      </c>
    </row>
    <row r="2138" spans="1:2">
      <c r="A2138" s="112">
        <v>39775</v>
      </c>
      <c r="B2138" s="1">
        <f t="shared" si="33"/>
        <v>25</v>
      </c>
    </row>
    <row r="2139" spans="1:2">
      <c r="A2139" s="112">
        <v>39776</v>
      </c>
      <c r="B2139" s="1">
        <f t="shared" si="33"/>
        <v>26</v>
      </c>
    </row>
    <row r="2140" spans="1:2">
      <c r="A2140" s="112">
        <v>39777</v>
      </c>
      <c r="B2140" s="1">
        <f t="shared" si="33"/>
        <v>27</v>
      </c>
    </row>
    <row r="2141" spans="1:2">
      <c r="A2141" s="112">
        <v>39778</v>
      </c>
      <c r="B2141" s="1">
        <f t="shared" si="33"/>
        <v>28</v>
      </c>
    </row>
    <row r="2142" spans="1:2">
      <c r="A2142" s="112">
        <v>39779</v>
      </c>
      <c r="B2142" s="1">
        <f t="shared" si="33"/>
        <v>29</v>
      </c>
    </row>
    <row r="2143" spans="1:2">
      <c r="A2143" s="112">
        <v>39780</v>
      </c>
      <c r="B2143" s="1">
        <f t="shared" si="33"/>
        <v>0</v>
      </c>
    </row>
    <row r="2144" spans="1:2">
      <c r="A2144" s="112">
        <v>39781</v>
      </c>
      <c r="B2144" s="1">
        <f t="shared" si="33"/>
        <v>1</v>
      </c>
    </row>
    <row r="2145" spans="1:2">
      <c r="A2145" s="112">
        <v>39782</v>
      </c>
      <c r="B2145" s="1">
        <f t="shared" si="33"/>
        <v>2</v>
      </c>
    </row>
    <row r="2146" spans="1:2">
      <c r="A2146" s="112">
        <v>39783</v>
      </c>
      <c r="B2146" s="1">
        <f t="shared" si="33"/>
        <v>3</v>
      </c>
    </row>
    <row r="2147" spans="1:2">
      <c r="A2147" s="112">
        <v>39784</v>
      </c>
      <c r="B2147" s="1">
        <f t="shared" si="33"/>
        <v>4</v>
      </c>
    </row>
    <row r="2148" spans="1:2">
      <c r="A2148" s="112">
        <v>39785</v>
      </c>
      <c r="B2148" s="1">
        <f t="shared" si="33"/>
        <v>5</v>
      </c>
    </row>
    <row r="2149" spans="1:2">
      <c r="A2149" s="112">
        <v>39786</v>
      </c>
      <c r="B2149" s="1">
        <f t="shared" si="33"/>
        <v>6</v>
      </c>
    </row>
    <row r="2150" spans="1:2">
      <c r="A2150" s="112">
        <v>39787</v>
      </c>
      <c r="B2150" s="1">
        <f t="shared" si="33"/>
        <v>7</v>
      </c>
    </row>
    <row r="2151" spans="1:2">
      <c r="A2151" s="112">
        <v>39788</v>
      </c>
      <c r="B2151" s="1">
        <f t="shared" si="33"/>
        <v>8</v>
      </c>
    </row>
    <row r="2152" spans="1:2">
      <c r="A2152" s="112">
        <v>39789</v>
      </c>
      <c r="B2152" s="1">
        <f t="shared" si="33"/>
        <v>9</v>
      </c>
    </row>
    <row r="2153" spans="1:2">
      <c r="A2153" s="112">
        <v>39790</v>
      </c>
      <c r="B2153" s="1">
        <f t="shared" si="33"/>
        <v>10</v>
      </c>
    </row>
    <row r="2154" spans="1:2">
      <c r="A2154" s="112">
        <v>39791</v>
      </c>
      <c r="B2154" s="1">
        <f t="shared" si="33"/>
        <v>11</v>
      </c>
    </row>
    <row r="2155" spans="1:2">
      <c r="A2155" s="112">
        <v>39792</v>
      </c>
      <c r="B2155" s="1">
        <f t="shared" si="33"/>
        <v>12</v>
      </c>
    </row>
    <row r="2156" spans="1:2">
      <c r="A2156" s="112">
        <v>39793</v>
      </c>
      <c r="B2156" s="1">
        <f t="shared" si="33"/>
        <v>13</v>
      </c>
    </row>
    <row r="2157" spans="1:2">
      <c r="A2157" s="112">
        <v>39794</v>
      </c>
      <c r="B2157" s="1">
        <f t="shared" si="33"/>
        <v>14</v>
      </c>
    </row>
    <row r="2158" spans="1:2">
      <c r="A2158" s="112">
        <v>39795</v>
      </c>
      <c r="B2158" s="1">
        <f t="shared" si="33"/>
        <v>15</v>
      </c>
    </row>
    <row r="2159" spans="1:2">
      <c r="A2159" s="112">
        <v>39796</v>
      </c>
      <c r="B2159" s="1">
        <f t="shared" si="33"/>
        <v>16</v>
      </c>
    </row>
    <row r="2160" spans="1:2">
      <c r="A2160" s="112">
        <v>39797</v>
      </c>
      <c r="B2160" s="1">
        <f t="shared" si="33"/>
        <v>17</v>
      </c>
    </row>
    <row r="2161" spans="1:2">
      <c r="A2161" s="112">
        <v>39798</v>
      </c>
      <c r="B2161" s="1">
        <f t="shared" si="33"/>
        <v>18</v>
      </c>
    </row>
    <row r="2162" spans="1:2">
      <c r="A2162" s="112">
        <v>39799</v>
      </c>
      <c r="B2162" s="1">
        <f t="shared" si="33"/>
        <v>19</v>
      </c>
    </row>
    <row r="2163" spans="1:2">
      <c r="A2163" s="112">
        <v>39800</v>
      </c>
      <c r="B2163" s="1">
        <f t="shared" si="33"/>
        <v>20</v>
      </c>
    </row>
    <row r="2164" spans="1:2">
      <c r="A2164" s="112">
        <v>39801</v>
      </c>
      <c r="B2164" s="1">
        <f t="shared" si="33"/>
        <v>21</v>
      </c>
    </row>
    <row r="2165" spans="1:2">
      <c r="A2165" s="112">
        <v>39802</v>
      </c>
      <c r="B2165" s="1">
        <f t="shared" si="33"/>
        <v>22</v>
      </c>
    </row>
    <row r="2166" spans="1:2">
      <c r="A2166" s="112">
        <v>39803</v>
      </c>
      <c r="B2166" s="1">
        <f t="shared" si="33"/>
        <v>23</v>
      </c>
    </row>
    <row r="2167" spans="1:2">
      <c r="A2167" s="112">
        <v>39804</v>
      </c>
      <c r="B2167" s="1">
        <f t="shared" si="33"/>
        <v>24</v>
      </c>
    </row>
    <row r="2168" spans="1:2">
      <c r="A2168" s="112">
        <v>39805</v>
      </c>
      <c r="B2168" s="1">
        <f t="shared" si="33"/>
        <v>25</v>
      </c>
    </row>
    <row r="2169" spans="1:2">
      <c r="A2169" s="112">
        <v>39806</v>
      </c>
      <c r="B2169" s="1">
        <f t="shared" si="33"/>
        <v>26</v>
      </c>
    </row>
    <row r="2170" spans="1:2">
      <c r="A2170" s="112">
        <v>39807</v>
      </c>
      <c r="B2170" s="1">
        <f t="shared" si="33"/>
        <v>27</v>
      </c>
    </row>
    <row r="2171" spans="1:2">
      <c r="A2171" s="112">
        <v>39808</v>
      </c>
      <c r="B2171" s="1">
        <f t="shared" si="33"/>
        <v>28</v>
      </c>
    </row>
    <row r="2172" spans="1:2">
      <c r="A2172" s="112">
        <v>39809</v>
      </c>
      <c r="B2172" s="1">
        <f t="shared" si="33"/>
        <v>29</v>
      </c>
    </row>
    <row r="2173" spans="1:2">
      <c r="A2173" s="112">
        <v>39810</v>
      </c>
      <c r="B2173" s="1">
        <f t="shared" si="33"/>
        <v>0</v>
      </c>
    </row>
    <row r="2174" spans="1:2">
      <c r="A2174" s="112">
        <v>39811</v>
      </c>
      <c r="B2174" s="1">
        <f t="shared" si="33"/>
        <v>1</v>
      </c>
    </row>
    <row r="2175" spans="1:2">
      <c r="A2175" s="112">
        <v>39812</v>
      </c>
      <c r="B2175" s="1">
        <f t="shared" si="33"/>
        <v>2</v>
      </c>
    </row>
    <row r="2176" spans="1:2">
      <c r="A2176" s="112">
        <v>39813</v>
      </c>
      <c r="B2176" s="1">
        <f t="shared" si="33"/>
        <v>3</v>
      </c>
    </row>
    <row r="2177" spans="1:2">
      <c r="A2177" s="112">
        <v>39814</v>
      </c>
      <c r="B2177" s="1">
        <f t="shared" si="33"/>
        <v>4</v>
      </c>
    </row>
    <row r="2178" spans="1:2">
      <c r="A2178" s="112">
        <v>39815</v>
      </c>
      <c r="B2178" s="1">
        <f t="shared" si="33"/>
        <v>5</v>
      </c>
    </row>
    <row r="2179" spans="1:2">
      <c r="A2179" s="112">
        <v>39816</v>
      </c>
      <c r="B2179" s="1">
        <f t="shared" ref="B2179:B2242" si="34">INT(MOD($G$2+A2179-$F$2,29.53))</f>
        <v>6</v>
      </c>
    </row>
    <row r="2180" spans="1:2">
      <c r="A2180" s="112">
        <v>39817</v>
      </c>
      <c r="B2180" s="1">
        <f t="shared" si="34"/>
        <v>7</v>
      </c>
    </row>
    <row r="2181" spans="1:2">
      <c r="A2181" s="112">
        <v>39818</v>
      </c>
      <c r="B2181" s="1">
        <f t="shared" si="34"/>
        <v>8</v>
      </c>
    </row>
    <row r="2182" spans="1:2">
      <c r="A2182" s="112">
        <v>39819</v>
      </c>
      <c r="B2182" s="1">
        <f t="shared" si="34"/>
        <v>9</v>
      </c>
    </row>
    <row r="2183" spans="1:2">
      <c r="A2183" s="112">
        <v>39820</v>
      </c>
      <c r="B2183" s="1">
        <f t="shared" si="34"/>
        <v>10</v>
      </c>
    </row>
    <row r="2184" spans="1:2">
      <c r="A2184" s="112">
        <v>39821</v>
      </c>
      <c r="B2184" s="1">
        <f t="shared" si="34"/>
        <v>11</v>
      </c>
    </row>
    <row r="2185" spans="1:2">
      <c r="A2185" s="112">
        <v>39822</v>
      </c>
      <c r="B2185" s="1">
        <f t="shared" si="34"/>
        <v>12</v>
      </c>
    </row>
    <row r="2186" spans="1:2">
      <c r="A2186" s="112">
        <v>39823</v>
      </c>
      <c r="B2186" s="1">
        <f t="shared" si="34"/>
        <v>13</v>
      </c>
    </row>
    <row r="2187" spans="1:2">
      <c r="A2187" s="112">
        <v>39824</v>
      </c>
      <c r="B2187" s="1">
        <f t="shared" si="34"/>
        <v>14</v>
      </c>
    </row>
    <row r="2188" spans="1:2">
      <c r="A2188" s="112">
        <v>39825</v>
      </c>
      <c r="B2188" s="1">
        <f t="shared" si="34"/>
        <v>15</v>
      </c>
    </row>
    <row r="2189" spans="1:2">
      <c r="A2189" s="112">
        <v>39826</v>
      </c>
      <c r="B2189" s="1">
        <f t="shared" si="34"/>
        <v>16</v>
      </c>
    </row>
    <row r="2190" spans="1:2">
      <c r="A2190" s="112">
        <v>39827</v>
      </c>
      <c r="B2190" s="1">
        <f t="shared" si="34"/>
        <v>17</v>
      </c>
    </row>
    <row r="2191" spans="1:2">
      <c r="A2191" s="112">
        <v>39828</v>
      </c>
      <c r="B2191" s="1">
        <f t="shared" si="34"/>
        <v>18</v>
      </c>
    </row>
    <row r="2192" spans="1:2">
      <c r="A2192" s="112">
        <v>39829</v>
      </c>
      <c r="B2192" s="1">
        <f t="shared" si="34"/>
        <v>19</v>
      </c>
    </row>
    <row r="2193" spans="1:2">
      <c r="A2193" s="112">
        <v>39830</v>
      </c>
      <c r="B2193" s="1">
        <f t="shared" si="34"/>
        <v>20</v>
      </c>
    </row>
    <row r="2194" spans="1:2">
      <c r="A2194" s="112">
        <v>39831</v>
      </c>
      <c r="B2194" s="1">
        <f t="shared" si="34"/>
        <v>21</v>
      </c>
    </row>
    <row r="2195" spans="1:2">
      <c r="A2195" s="112">
        <v>39832</v>
      </c>
      <c r="B2195" s="1">
        <f t="shared" si="34"/>
        <v>22</v>
      </c>
    </row>
    <row r="2196" spans="1:2">
      <c r="A2196" s="112">
        <v>39833</v>
      </c>
      <c r="B2196" s="1">
        <f t="shared" si="34"/>
        <v>23</v>
      </c>
    </row>
    <row r="2197" spans="1:2">
      <c r="A2197" s="112">
        <v>39834</v>
      </c>
      <c r="B2197" s="1">
        <f t="shared" si="34"/>
        <v>24</v>
      </c>
    </row>
    <row r="2198" spans="1:2">
      <c r="A2198" s="112">
        <v>39835</v>
      </c>
      <c r="B2198" s="1">
        <f t="shared" si="34"/>
        <v>25</v>
      </c>
    </row>
    <row r="2199" spans="1:2">
      <c r="A2199" s="112">
        <v>39836</v>
      </c>
      <c r="B2199" s="1">
        <f t="shared" si="34"/>
        <v>26</v>
      </c>
    </row>
    <row r="2200" spans="1:2">
      <c r="A2200" s="112">
        <v>39837</v>
      </c>
      <c r="B2200" s="1">
        <f t="shared" si="34"/>
        <v>27</v>
      </c>
    </row>
    <row r="2201" spans="1:2">
      <c r="A2201" s="112">
        <v>39838</v>
      </c>
      <c r="B2201" s="1">
        <f t="shared" si="34"/>
        <v>28</v>
      </c>
    </row>
    <row r="2202" spans="1:2">
      <c r="A2202" s="112">
        <v>39839</v>
      </c>
      <c r="B2202" s="1">
        <f t="shared" si="34"/>
        <v>0</v>
      </c>
    </row>
    <row r="2203" spans="1:2">
      <c r="A2203" s="112">
        <v>39840</v>
      </c>
      <c r="B2203" s="1">
        <f t="shared" si="34"/>
        <v>1</v>
      </c>
    </row>
    <row r="2204" spans="1:2">
      <c r="A2204" s="112">
        <v>39841</v>
      </c>
      <c r="B2204" s="1">
        <f t="shared" si="34"/>
        <v>2</v>
      </c>
    </row>
    <row r="2205" spans="1:2">
      <c r="A2205" s="112">
        <v>39842</v>
      </c>
      <c r="B2205" s="1">
        <f t="shared" si="34"/>
        <v>3</v>
      </c>
    </row>
    <row r="2206" spans="1:2">
      <c r="A2206" s="112">
        <v>39843</v>
      </c>
      <c r="B2206" s="1">
        <f t="shared" si="34"/>
        <v>4</v>
      </c>
    </row>
    <row r="2207" spans="1:2">
      <c r="A2207" s="112">
        <v>39844</v>
      </c>
      <c r="B2207" s="1">
        <f t="shared" si="34"/>
        <v>5</v>
      </c>
    </row>
    <row r="2208" spans="1:2">
      <c r="A2208" s="112">
        <v>39845</v>
      </c>
      <c r="B2208" s="1">
        <f t="shared" si="34"/>
        <v>6</v>
      </c>
    </row>
    <row r="2209" spans="1:2">
      <c r="A2209" s="112">
        <v>39846</v>
      </c>
      <c r="B2209" s="1">
        <f t="shared" si="34"/>
        <v>7</v>
      </c>
    </row>
    <row r="2210" spans="1:2">
      <c r="A2210" s="112">
        <v>39847</v>
      </c>
      <c r="B2210" s="1">
        <f t="shared" si="34"/>
        <v>8</v>
      </c>
    </row>
    <row r="2211" spans="1:2">
      <c r="A2211" s="112">
        <v>39848</v>
      </c>
      <c r="B2211" s="1">
        <f t="shared" si="34"/>
        <v>9</v>
      </c>
    </row>
    <row r="2212" spans="1:2">
      <c r="A2212" s="112">
        <v>39849</v>
      </c>
      <c r="B2212" s="1">
        <f t="shared" si="34"/>
        <v>10</v>
      </c>
    </row>
    <row r="2213" spans="1:2">
      <c r="A2213" s="112">
        <v>39850</v>
      </c>
      <c r="B2213" s="1">
        <f t="shared" si="34"/>
        <v>11</v>
      </c>
    </row>
    <row r="2214" spans="1:2">
      <c r="A2214" s="112">
        <v>39851</v>
      </c>
      <c r="B2214" s="1">
        <f t="shared" si="34"/>
        <v>12</v>
      </c>
    </row>
    <row r="2215" spans="1:2">
      <c r="A2215" s="112">
        <v>39852</v>
      </c>
      <c r="B2215" s="1">
        <f t="shared" si="34"/>
        <v>13</v>
      </c>
    </row>
    <row r="2216" spans="1:2">
      <c r="A2216" s="112">
        <v>39853</v>
      </c>
      <c r="B2216" s="1">
        <f t="shared" si="34"/>
        <v>14</v>
      </c>
    </row>
    <row r="2217" spans="1:2">
      <c r="A2217" s="112">
        <v>39854</v>
      </c>
      <c r="B2217" s="1">
        <f t="shared" si="34"/>
        <v>15</v>
      </c>
    </row>
    <row r="2218" spans="1:2">
      <c r="A2218" s="112">
        <v>39855</v>
      </c>
      <c r="B2218" s="1">
        <f t="shared" si="34"/>
        <v>16</v>
      </c>
    </row>
    <row r="2219" spans="1:2">
      <c r="A2219" s="112">
        <v>39856</v>
      </c>
      <c r="B2219" s="1">
        <f t="shared" si="34"/>
        <v>17</v>
      </c>
    </row>
    <row r="2220" spans="1:2">
      <c r="A2220" s="112">
        <v>39857</v>
      </c>
      <c r="B2220" s="1">
        <f t="shared" si="34"/>
        <v>18</v>
      </c>
    </row>
    <row r="2221" spans="1:2">
      <c r="A2221" s="112">
        <v>39858</v>
      </c>
      <c r="B2221" s="1">
        <f t="shared" si="34"/>
        <v>19</v>
      </c>
    </row>
    <row r="2222" spans="1:2">
      <c r="A2222" s="112">
        <v>39859</v>
      </c>
      <c r="B2222" s="1">
        <f t="shared" si="34"/>
        <v>20</v>
      </c>
    </row>
    <row r="2223" spans="1:2">
      <c r="A2223" s="112">
        <v>39860</v>
      </c>
      <c r="B2223" s="1">
        <f t="shared" si="34"/>
        <v>21</v>
      </c>
    </row>
    <row r="2224" spans="1:2">
      <c r="A2224" s="112">
        <v>39861</v>
      </c>
      <c r="B2224" s="1">
        <f t="shared" si="34"/>
        <v>22</v>
      </c>
    </row>
    <row r="2225" spans="1:2">
      <c r="A2225" s="112">
        <v>39862</v>
      </c>
      <c r="B2225" s="1">
        <f t="shared" si="34"/>
        <v>23</v>
      </c>
    </row>
    <row r="2226" spans="1:2">
      <c r="A2226" s="112">
        <v>39863</v>
      </c>
      <c r="B2226" s="1">
        <f t="shared" si="34"/>
        <v>24</v>
      </c>
    </row>
    <row r="2227" spans="1:2">
      <c r="A2227" s="112">
        <v>39864</v>
      </c>
      <c r="B2227" s="1">
        <f t="shared" si="34"/>
        <v>25</v>
      </c>
    </row>
    <row r="2228" spans="1:2">
      <c r="A2228" s="112">
        <v>39865</v>
      </c>
      <c r="B2228" s="1">
        <f t="shared" si="34"/>
        <v>26</v>
      </c>
    </row>
    <row r="2229" spans="1:2">
      <c r="A2229" s="112">
        <v>39866</v>
      </c>
      <c r="B2229" s="1">
        <f t="shared" si="34"/>
        <v>27</v>
      </c>
    </row>
    <row r="2230" spans="1:2">
      <c r="A2230" s="112">
        <v>39867</v>
      </c>
      <c r="B2230" s="1">
        <f t="shared" si="34"/>
        <v>28</v>
      </c>
    </row>
    <row r="2231" spans="1:2">
      <c r="A2231" s="112">
        <v>39868</v>
      </c>
      <c r="B2231" s="1">
        <f t="shared" si="34"/>
        <v>29</v>
      </c>
    </row>
    <row r="2232" spans="1:2">
      <c r="A2232" s="112">
        <v>39869</v>
      </c>
      <c r="B2232" s="1">
        <f t="shared" si="34"/>
        <v>0</v>
      </c>
    </row>
    <row r="2233" spans="1:2">
      <c r="A2233" s="112">
        <v>39870</v>
      </c>
      <c r="B2233" s="1">
        <f t="shared" si="34"/>
        <v>1</v>
      </c>
    </row>
    <row r="2234" spans="1:2">
      <c r="A2234" s="112">
        <v>39871</v>
      </c>
      <c r="B2234" s="1">
        <f t="shared" si="34"/>
        <v>2</v>
      </c>
    </row>
    <row r="2235" spans="1:2">
      <c r="A2235" s="112">
        <v>39872</v>
      </c>
      <c r="B2235" s="1">
        <f t="shared" si="34"/>
        <v>3</v>
      </c>
    </row>
    <row r="2236" spans="1:2">
      <c r="A2236" s="112">
        <v>39873</v>
      </c>
      <c r="B2236" s="1">
        <f t="shared" si="34"/>
        <v>4</v>
      </c>
    </row>
    <row r="2237" spans="1:2">
      <c r="A2237" s="112">
        <v>39874</v>
      </c>
      <c r="B2237" s="1">
        <f t="shared" si="34"/>
        <v>5</v>
      </c>
    </row>
    <row r="2238" spans="1:2">
      <c r="A2238" s="112">
        <v>39875</v>
      </c>
      <c r="B2238" s="1">
        <f t="shared" si="34"/>
        <v>6</v>
      </c>
    </row>
    <row r="2239" spans="1:2">
      <c r="A2239" s="112">
        <v>39876</v>
      </c>
      <c r="B2239" s="1">
        <f t="shared" si="34"/>
        <v>7</v>
      </c>
    </row>
    <row r="2240" spans="1:2">
      <c r="A2240" s="112">
        <v>39877</v>
      </c>
      <c r="B2240" s="1">
        <f t="shared" si="34"/>
        <v>8</v>
      </c>
    </row>
    <row r="2241" spans="1:2">
      <c r="A2241" s="112">
        <v>39878</v>
      </c>
      <c r="B2241" s="1">
        <f t="shared" si="34"/>
        <v>9</v>
      </c>
    </row>
    <row r="2242" spans="1:2">
      <c r="A2242" s="112">
        <v>39879</v>
      </c>
      <c r="B2242" s="1">
        <f t="shared" si="34"/>
        <v>10</v>
      </c>
    </row>
    <row r="2243" spans="1:2">
      <c r="A2243" s="112">
        <v>39880</v>
      </c>
      <c r="B2243" s="1">
        <f t="shared" ref="B2243:B2306" si="35">INT(MOD($G$2+A2243-$F$2,29.53))</f>
        <v>11</v>
      </c>
    </row>
    <row r="2244" spans="1:2">
      <c r="A2244" s="112">
        <v>39881</v>
      </c>
      <c r="B2244" s="1">
        <f t="shared" si="35"/>
        <v>12</v>
      </c>
    </row>
    <row r="2245" spans="1:2">
      <c r="A2245" s="112">
        <v>39882</v>
      </c>
      <c r="B2245" s="1">
        <f t="shared" si="35"/>
        <v>13</v>
      </c>
    </row>
    <row r="2246" spans="1:2">
      <c r="A2246" s="112">
        <v>39883</v>
      </c>
      <c r="B2246" s="1">
        <f t="shared" si="35"/>
        <v>14</v>
      </c>
    </row>
    <row r="2247" spans="1:2">
      <c r="A2247" s="112">
        <v>39884</v>
      </c>
      <c r="B2247" s="1">
        <f t="shared" si="35"/>
        <v>15</v>
      </c>
    </row>
    <row r="2248" spans="1:2">
      <c r="A2248" s="112">
        <v>39885</v>
      </c>
      <c r="B2248" s="1">
        <f t="shared" si="35"/>
        <v>16</v>
      </c>
    </row>
    <row r="2249" spans="1:2">
      <c r="A2249" s="112">
        <v>39886</v>
      </c>
      <c r="B2249" s="1">
        <f t="shared" si="35"/>
        <v>17</v>
      </c>
    </row>
    <row r="2250" spans="1:2">
      <c r="A2250" s="112">
        <v>39887</v>
      </c>
      <c r="B2250" s="1">
        <f t="shared" si="35"/>
        <v>18</v>
      </c>
    </row>
    <row r="2251" spans="1:2">
      <c r="A2251" s="112">
        <v>39888</v>
      </c>
      <c r="B2251" s="1">
        <f t="shared" si="35"/>
        <v>19</v>
      </c>
    </row>
    <row r="2252" spans="1:2">
      <c r="A2252" s="112">
        <v>39889</v>
      </c>
      <c r="B2252" s="1">
        <f t="shared" si="35"/>
        <v>20</v>
      </c>
    </row>
    <row r="2253" spans="1:2">
      <c r="A2253" s="112">
        <v>39890</v>
      </c>
      <c r="B2253" s="1">
        <f t="shared" si="35"/>
        <v>21</v>
      </c>
    </row>
    <row r="2254" spans="1:2">
      <c r="A2254" s="112">
        <v>39891</v>
      </c>
      <c r="B2254" s="1">
        <f t="shared" si="35"/>
        <v>22</v>
      </c>
    </row>
    <row r="2255" spans="1:2">
      <c r="A2255" s="112">
        <v>39892</v>
      </c>
      <c r="B2255" s="1">
        <f t="shared" si="35"/>
        <v>23</v>
      </c>
    </row>
    <row r="2256" spans="1:2">
      <c r="A2256" s="112">
        <v>39893</v>
      </c>
      <c r="B2256" s="1">
        <f t="shared" si="35"/>
        <v>24</v>
      </c>
    </row>
    <row r="2257" spans="1:2">
      <c r="A2257" s="112">
        <v>39894</v>
      </c>
      <c r="B2257" s="1">
        <f t="shared" si="35"/>
        <v>25</v>
      </c>
    </row>
    <row r="2258" spans="1:2">
      <c r="A2258" s="112">
        <v>39895</v>
      </c>
      <c r="B2258" s="1">
        <f t="shared" si="35"/>
        <v>26</v>
      </c>
    </row>
    <row r="2259" spans="1:2">
      <c r="A2259" s="112">
        <v>39896</v>
      </c>
      <c r="B2259" s="1">
        <f t="shared" si="35"/>
        <v>27</v>
      </c>
    </row>
    <row r="2260" spans="1:2">
      <c r="A2260" s="112">
        <v>39897</v>
      </c>
      <c r="B2260" s="1">
        <f t="shared" si="35"/>
        <v>28</v>
      </c>
    </row>
    <row r="2261" spans="1:2">
      <c r="A2261" s="112">
        <v>39898</v>
      </c>
      <c r="B2261" s="1">
        <f t="shared" si="35"/>
        <v>0</v>
      </c>
    </row>
    <row r="2262" spans="1:2">
      <c r="A2262" s="112">
        <v>39899</v>
      </c>
      <c r="B2262" s="1">
        <f t="shared" si="35"/>
        <v>1</v>
      </c>
    </row>
    <row r="2263" spans="1:2">
      <c r="A2263" s="112">
        <v>39900</v>
      </c>
      <c r="B2263" s="1">
        <f t="shared" si="35"/>
        <v>2</v>
      </c>
    </row>
    <row r="2264" spans="1:2">
      <c r="A2264" s="112">
        <v>39901</v>
      </c>
      <c r="B2264" s="1">
        <f t="shared" si="35"/>
        <v>3</v>
      </c>
    </row>
    <row r="2265" spans="1:2">
      <c r="A2265" s="112">
        <v>39902</v>
      </c>
      <c r="B2265" s="1">
        <f t="shared" si="35"/>
        <v>4</v>
      </c>
    </row>
    <row r="2266" spans="1:2">
      <c r="A2266" s="112">
        <v>39903</v>
      </c>
      <c r="B2266" s="1">
        <f t="shared" si="35"/>
        <v>5</v>
      </c>
    </row>
    <row r="2267" spans="1:2">
      <c r="A2267" s="112">
        <v>39904</v>
      </c>
      <c r="B2267" s="1">
        <f t="shared" si="35"/>
        <v>6</v>
      </c>
    </row>
    <row r="2268" spans="1:2">
      <c r="A2268" s="112">
        <v>39905</v>
      </c>
      <c r="B2268" s="1">
        <f t="shared" si="35"/>
        <v>7</v>
      </c>
    </row>
    <row r="2269" spans="1:2">
      <c r="A2269" s="112">
        <v>39906</v>
      </c>
      <c r="B2269" s="1">
        <f t="shared" si="35"/>
        <v>8</v>
      </c>
    </row>
    <row r="2270" spans="1:2">
      <c r="A2270" s="112">
        <v>39907</v>
      </c>
      <c r="B2270" s="1">
        <f t="shared" si="35"/>
        <v>9</v>
      </c>
    </row>
    <row r="2271" spans="1:2">
      <c r="A2271" s="112">
        <v>39908</v>
      </c>
      <c r="B2271" s="1">
        <f t="shared" si="35"/>
        <v>10</v>
      </c>
    </row>
    <row r="2272" spans="1:2">
      <c r="A2272" s="112">
        <v>39909</v>
      </c>
      <c r="B2272" s="1">
        <f t="shared" si="35"/>
        <v>11</v>
      </c>
    </row>
    <row r="2273" spans="1:2">
      <c r="A2273" s="112">
        <v>39910</v>
      </c>
      <c r="B2273" s="1">
        <f t="shared" si="35"/>
        <v>12</v>
      </c>
    </row>
    <row r="2274" spans="1:2">
      <c r="A2274" s="112">
        <v>39911</v>
      </c>
      <c r="B2274" s="1">
        <f t="shared" si="35"/>
        <v>13</v>
      </c>
    </row>
    <row r="2275" spans="1:2">
      <c r="A2275" s="112">
        <v>39912</v>
      </c>
      <c r="B2275" s="1">
        <f t="shared" si="35"/>
        <v>14</v>
      </c>
    </row>
    <row r="2276" spans="1:2">
      <c r="A2276" s="112">
        <v>39913</v>
      </c>
      <c r="B2276" s="1">
        <f t="shared" si="35"/>
        <v>15</v>
      </c>
    </row>
    <row r="2277" spans="1:2">
      <c r="A2277" s="112">
        <v>39914</v>
      </c>
      <c r="B2277" s="1">
        <f t="shared" si="35"/>
        <v>16</v>
      </c>
    </row>
    <row r="2278" spans="1:2">
      <c r="A2278" s="112">
        <v>39915</v>
      </c>
      <c r="B2278" s="1">
        <f t="shared" si="35"/>
        <v>17</v>
      </c>
    </row>
    <row r="2279" spans="1:2">
      <c r="A2279" s="112">
        <v>39916</v>
      </c>
      <c r="B2279" s="1">
        <f t="shared" si="35"/>
        <v>18</v>
      </c>
    </row>
    <row r="2280" spans="1:2">
      <c r="A2280" s="112">
        <v>39917</v>
      </c>
      <c r="B2280" s="1">
        <f t="shared" si="35"/>
        <v>19</v>
      </c>
    </row>
    <row r="2281" spans="1:2">
      <c r="A2281" s="112">
        <v>39918</v>
      </c>
      <c r="B2281" s="1">
        <f t="shared" si="35"/>
        <v>20</v>
      </c>
    </row>
    <row r="2282" spans="1:2">
      <c r="A2282" s="112">
        <v>39919</v>
      </c>
      <c r="B2282" s="1">
        <f t="shared" si="35"/>
        <v>21</v>
      </c>
    </row>
    <row r="2283" spans="1:2">
      <c r="A2283" s="112">
        <v>39920</v>
      </c>
      <c r="B2283" s="1">
        <f t="shared" si="35"/>
        <v>22</v>
      </c>
    </row>
    <row r="2284" spans="1:2">
      <c r="A2284" s="112">
        <v>39921</v>
      </c>
      <c r="B2284" s="1">
        <f t="shared" si="35"/>
        <v>23</v>
      </c>
    </row>
    <row r="2285" spans="1:2">
      <c r="A2285" s="112">
        <v>39922</v>
      </c>
      <c r="B2285" s="1">
        <f t="shared" si="35"/>
        <v>24</v>
      </c>
    </row>
    <row r="2286" spans="1:2">
      <c r="A2286" s="112">
        <v>39923</v>
      </c>
      <c r="B2286" s="1">
        <f t="shared" si="35"/>
        <v>25</v>
      </c>
    </row>
    <row r="2287" spans="1:2">
      <c r="A2287" s="112">
        <v>39924</v>
      </c>
      <c r="B2287" s="1">
        <f t="shared" si="35"/>
        <v>26</v>
      </c>
    </row>
    <row r="2288" spans="1:2">
      <c r="A2288" s="112">
        <v>39925</v>
      </c>
      <c r="B2288" s="1">
        <f t="shared" si="35"/>
        <v>27</v>
      </c>
    </row>
    <row r="2289" spans="1:2">
      <c r="A2289" s="112">
        <v>39926</v>
      </c>
      <c r="B2289" s="1">
        <f t="shared" si="35"/>
        <v>28</v>
      </c>
    </row>
    <row r="2290" spans="1:2">
      <c r="A2290" s="112">
        <v>39927</v>
      </c>
      <c r="B2290" s="1">
        <f t="shared" si="35"/>
        <v>29</v>
      </c>
    </row>
    <row r="2291" spans="1:2">
      <c r="A2291" s="112">
        <v>39928</v>
      </c>
      <c r="B2291" s="1">
        <f t="shared" si="35"/>
        <v>0</v>
      </c>
    </row>
    <row r="2292" spans="1:2">
      <c r="A2292" s="112">
        <v>39929</v>
      </c>
      <c r="B2292" s="1">
        <f t="shared" si="35"/>
        <v>1</v>
      </c>
    </row>
    <row r="2293" spans="1:2">
      <c r="A2293" s="112">
        <v>39930</v>
      </c>
      <c r="B2293" s="1">
        <f t="shared" si="35"/>
        <v>2</v>
      </c>
    </row>
    <row r="2294" spans="1:2">
      <c r="A2294" s="112">
        <v>39931</v>
      </c>
      <c r="B2294" s="1">
        <f t="shared" si="35"/>
        <v>3</v>
      </c>
    </row>
    <row r="2295" spans="1:2">
      <c r="A2295" s="112">
        <v>39932</v>
      </c>
      <c r="B2295" s="1">
        <f t="shared" si="35"/>
        <v>4</v>
      </c>
    </row>
    <row r="2296" spans="1:2">
      <c r="A2296" s="112">
        <v>39933</v>
      </c>
      <c r="B2296" s="1">
        <f t="shared" si="35"/>
        <v>5</v>
      </c>
    </row>
    <row r="2297" spans="1:2">
      <c r="A2297" s="112">
        <v>39934</v>
      </c>
      <c r="B2297" s="1">
        <f t="shared" si="35"/>
        <v>6</v>
      </c>
    </row>
    <row r="2298" spans="1:2">
      <c r="A2298" s="112">
        <v>39935</v>
      </c>
      <c r="B2298" s="1">
        <f t="shared" si="35"/>
        <v>7</v>
      </c>
    </row>
    <row r="2299" spans="1:2">
      <c r="A2299" s="112">
        <v>39936</v>
      </c>
      <c r="B2299" s="1">
        <f t="shared" si="35"/>
        <v>8</v>
      </c>
    </row>
    <row r="2300" spans="1:2">
      <c r="A2300" s="112">
        <v>39937</v>
      </c>
      <c r="B2300" s="1">
        <f t="shared" si="35"/>
        <v>9</v>
      </c>
    </row>
    <row r="2301" spans="1:2">
      <c r="A2301" s="112">
        <v>39938</v>
      </c>
      <c r="B2301" s="1">
        <f t="shared" si="35"/>
        <v>10</v>
      </c>
    </row>
    <row r="2302" spans="1:2">
      <c r="A2302" s="112">
        <v>39939</v>
      </c>
      <c r="B2302" s="1">
        <f t="shared" si="35"/>
        <v>11</v>
      </c>
    </row>
    <row r="2303" spans="1:2">
      <c r="A2303" s="112">
        <v>39940</v>
      </c>
      <c r="B2303" s="1">
        <f t="shared" si="35"/>
        <v>12</v>
      </c>
    </row>
    <row r="2304" spans="1:2">
      <c r="A2304" s="112">
        <v>39941</v>
      </c>
      <c r="B2304" s="1">
        <f t="shared" si="35"/>
        <v>13</v>
      </c>
    </row>
    <row r="2305" spans="1:2">
      <c r="A2305" s="112">
        <v>39942</v>
      </c>
      <c r="B2305" s="1">
        <f t="shared" si="35"/>
        <v>14</v>
      </c>
    </row>
    <row r="2306" spans="1:2">
      <c r="A2306" s="112">
        <v>39943</v>
      </c>
      <c r="B2306" s="1">
        <f t="shared" si="35"/>
        <v>15</v>
      </c>
    </row>
    <row r="2307" spans="1:2">
      <c r="A2307" s="112">
        <v>39944</v>
      </c>
      <c r="B2307" s="1">
        <f t="shared" ref="B2307:B2370" si="36">INT(MOD($G$2+A2307-$F$2,29.53))</f>
        <v>16</v>
      </c>
    </row>
    <row r="2308" spans="1:2">
      <c r="A2308" s="112">
        <v>39945</v>
      </c>
      <c r="B2308" s="1">
        <f t="shared" si="36"/>
        <v>17</v>
      </c>
    </row>
    <row r="2309" spans="1:2">
      <c r="A2309" s="112">
        <v>39946</v>
      </c>
      <c r="B2309" s="1">
        <f t="shared" si="36"/>
        <v>18</v>
      </c>
    </row>
    <row r="2310" spans="1:2">
      <c r="A2310" s="112">
        <v>39947</v>
      </c>
      <c r="B2310" s="1">
        <f t="shared" si="36"/>
        <v>19</v>
      </c>
    </row>
    <row r="2311" spans="1:2">
      <c r="A2311" s="112">
        <v>39948</v>
      </c>
      <c r="B2311" s="1">
        <f t="shared" si="36"/>
        <v>20</v>
      </c>
    </row>
    <row r="2312" spans="1:2">
      <c r="A2312" s="112">
        <v>39949</v>
      </c>
      <c r="B2312" s="1">
        <f t="shared" si="36"/>
        <v>21</v>
      </c>
    </row>
    <row r="2313" spans="1:2">
      <c r="A2313" s="112">
        <v>39950</v>
      </c>
      <c r="B2313" s="1">
        <f t="shared" si="36"/>
        <v>22</v>
      </c>
    </row>
    <row r="2314" spans="1:2">
      <c r="A2314" s="112">
        <v>39951</v>
      </c>
      <c r="B2314" s="1">
        <f t="shared" si="36"/>
        <v>23</v>
      </c>
    </row>
    <row r="2315" spans="1:2">
      <c r="A2315" s="112">
        <v>39952</v>
      </c>
      <c r="B2315" s="1">
        <f t="shared" si="36"/>
        <v>24</v>
      </c>
    </row>
    <row r="2316" spans="1:2">
      <c r="A2316" s="112">
        <v>39953</v>
      </c>
      <c r="B2316" s="1">
        <f t="shared" si="36"/>
        <v>25</v>
      </c>
    </row>
    <row r="2317" spans="1:2">
      <c r="A2317" s="112">
        <v>39954</v>
      </c>
      <c r="B2317" s="1">
        <f t="shared" si="36"/>
        <v>26</v>
      </c>
    </row>
    <row r="2318" spans="1:2">
      <c r="A2318" s="112">
        <v>39955</v>
      </c>
      <c r="B2318" s="1">
        <f t="shared" si="36"/>
        <v>27</v>
      </c>
    </row>
    <row r="2319" spans="1:2">
      <c r="A2319" s="112">
        <v>39956</v>
      </c>
      <c r="B2319" s="1">
        <f t="shared" si="36"/>
        <v>28</v>
      </c>
    </row>
    <row r="2320" spans="1:2">
      <c r="A2320" s="112">
        <v>39957</v>
      </c>
      <c r="B2320" s="1">
        <f t="shared" si="36"/>
        <v>0</v>
      </c>
    </row>
    <row r="2321" spans="1:2">
      <c r="A2321" s="112">
        <v>39958</v>
      </c>
      <c r="B2321" s="1">
        <f t="shared" si="36"/>
        <v>1</v>
      </c>
    </row>
    <row r="2322" spans="1:2">
      <c r="A2322" s="112">
        <v>39959</v>
      </c>
      <c r="B2322" s="1">
        <f t="shared" si="36"/>
        <v>2</v>
      </c>
    </row>
    <row r="2323" spans="1:2">
      <c r="A2323" s="112">
        <v>39960</v>
      </c>
      <c r="B2323" s="1">
        <f t="shared" si="36"/>
        <v>3</v>
      </c>
    </row>
    <row r="2324" spans="1:2">
      <c r="A2324" s="112">
        <v>39961</v>
      </c>
      <c r="B2324" s="1">
        <f t="shared" si="36"/>
        <v>4</v>
      </c>
    </row>
    <row r="2325" spans="1:2">
      <c r="A2325" s="112">
        <v>39962</v>
      </c>
      <c r="B2325" s="1">
        <f t="shared" si="36"/>
        <v>5</v>
      </c>
    </row>
    <row r="2326" spans="1:2">
      <c r="A2326" s="112">
        <v>39963</v>
      </c>
      <c r="B2326" s="1">
        <f t="shared" si="36"/>
        <v>6</v>
      </c>
    </row>
    <row r="2327" spans="1:2">
      <c r="A2327" s="112">
        <v>39964</v>
      </c>
      <c r="B2327" s="1">
        <f t="shared" si="36"/>
        <v>7</v>
      </c>
    </row>
    <row r="2328" spans="1:2">
      <c r="A2328" s="112">
        <v>39965</v>
      </c>
      <c r="B2328" s="1">
        <f t="shared" si="36"/>
        <v>8</v>
      </c>
    </row>
    <row r="2329" spans="1:2">
      <c r="A2329" s="112">
        <v>39966</v>
      </c>
      <c r="B2329" s="1">
        <f t="shared" si="36"/>
        <v>9</v>
      </c>
    </row>
    <row r="2330" spans="1:2">
      <c r="A2330" s="112">
        <v>39967</v>
      </c>
      <c r="B2330" s="1">
        <f t="shared" si="36"/>
        <v>10</v>
      </c>
    </row>
    <row r="2331" spans="1:2">
      <c r="A2331" s="112">
        <v>39968</v>
      </c>
      <c r="B2331" s="1">
        <f t="shared" si="36"/>
        <v>11</v>
      </c>
    </row>
    <row r="2332" spans="1:2">
      <c r="A2332" s="112">
        <v>39969</v>
      </c>
      <c r="B2332" s="1">
        <f t="shared" si="36"/>
        <v>12</v>
      </c>
    </row>
    <row r="2333" spans="1:2">
      <c r="A2333" s="112">
        <v>39970</v>
      </c>
      <c r="B2333" s="1">
        <f t="shared" si="36"/>
        <v>13</v>
      </c>
    </row>
    <row r="2334" spans="1:2">
      <c r="A2334" s="112">
        <v>39971</v>
      </c>
      <c r="B2334" s="1">
        <f t="shared" si="36"/>
        <v>14</v>
      </c>
    </row>
    <row r="2335" spans="1:2">
      <c r="A2335" s="112">
        <v>39972</v>
      </c>
      <c r="B2335" s="1">
        <f t="shared" si="36"/>
        <v>15</v>
      </c>
    </row>
    <row r="2336" spans="1:2">
      <c r="A2336" s="112">
        <v>39973</v>
      </c>
      <c r="B2336" s="1">
        <f t="shared" si="36"/>
        <v>16</v>
      </c>
    </row>
    <row r="2337" spans="1:2">
      <c r="A2337" s="112">
        <v>39974</v>
      </c>
      <c r="B2337" s="1">
        <f t="shared" si="36"/>
        <v>17</v>
      </c>
    </row>
    <row r="2338" spans="1:2">
      <c r="A2338" s="112">
        <v>39975</v>
      </c>
      <c r="B2338" s="1">
        <f t="shared" si="36"/>
        <v>18</v>
      </c>
    </row>
    <row r="2339" spans="1:2">
      <c r="A2339" s="112">
        <v>39976</v>
      </c>
      <c r="B2339" s="1">
        <f t="shared" si="36"/>
        <v>19</v>
      </c>
    </row>
    <row r="2340" spans="1:2">
      <c r="A2340" s="112">
        <v>39977</v>
      </c>
      <c r="B2340" s="1">
        <f t="shared" si="36"/>
        <v>20</v>
      </c>
    </row>
    <row r="2341" spans="1:2">
      <c r="A2341" s="112">
        <v>39978</v>
      </c>
      <c r="B2341" s="1">
        <f t="shared" si="36"/>
        <v>21</v>
      </c>
    </row>
    <row r="2342" spans="1:2">
      <c r="A2342" s="112">
        <v>39979</v>
      </c>
      <c r="B2342" s="1">
        <f t="shared" si="36"/>
        <v>22</v>
      </c>
    </row>
    <row r="2343" spans="1:2">
      <c r="A2343" s="112">
        <v>39980</v>
      </c>
      <c r="B2343" s="1">
        <f t="shared" si="36"/>
        <v>23</v>
      </c>
    </row>
    <row r="2344" spans="1:2">
      <c r="A2344" s="112">
        <v>39981</v>
      </c>
      <c r="B2344" s="1">
        <f t="shared" si="36"/>
        <v>24</v>
      </c>
    </row>
    <row r="2345" spans="1:2">
      <c r="A2345" s="112">
        <v>39982</v>
      </c>
      <c r="B2345" s="1">
        <f t="shared" si="36"/>
        <v>25</v>
      </c>
    </row>
    <row r="2346" spans="1:2">
      <c r="A2346" s="112">
        <v>39983</v>
      </c>
      <c r="B2346" s="1">
        <f t="shared" si="36"/>
        <v>26</v>
      </c>
    </row>
    <row r="2347" spans="1:2">
      <c r="A2347" s="112">
        <v>39984</v>
      </c>
      <c r="B2347" s="1">
        <f t="shared" si="36"/>
        <v>27</v>
      </c>
    </row>
    <row r="2348" spans="1:2">
      <c r="A2348" s="112">
        <v>39985</v>
      </c>
      <c r="B2348" s="1">
        <f t="shared" si="36"/>
        <v>28</v>
      </c>
    </row>
    <row r="2349" spans="1:2">
      <c r="A2349" s="112">
        <v>39986</v>
      </c>
      <c r="B2349" s="1">
        <f t="shared" si="36"/>
        <v>29</v>
      </c>
    </row>
    <row r="2350" spans="1:2">
      <c r="A2350" s="112">
        <v>39987</v>
      </c>
      <c r="B2350" s="1">
        <f t="shared" si="36"/>
        <v>0</v>
      </c>
    </row>
    <row r="2351" spans="1:2">
      <c r="A2351" s="112">
        <v>39988</v>
      </c>
      <c r="B2351" s="1">
        <f t="shared" si="36"/>
        <v>1</v>
      </c>
    </row>
    <row r="2352" spans="1:2">
      <c r="A2352" s="112">
        <v>39989</v>
      </c>
      <c r="B2352" s="1">
        <f t="shared" si="36"/>
        <v>2</v>
      </c>
    </row>
    <row r="2353" spans="1:2">
      <c r="A2353" s="112">
        <v>39990</v>
      </c>
      <c r="B2353" s="1">
        <f t="shared" si="36"/>
        <v>3</v>
      </c>
    </row>
    <row r="2354" spans="1:2">
      <c r="A2354" s="112">
        <v>39991</v>
      </c>
      <c r="B2354" s="1">
        <f t="shared" si="36"/>
        <v>4</v>
      </c>
    </row>
    <row r="2355" spans="1:2">
      <c r="A2355" s="112">
        <v>39992</v>
      </c>
      <c r="B2355" s="1">
        <f t="shared" si="36"/>
        <v>5</v>
      </c>
    </row>
    <row r="2356" spans="1:2">
      <c r="A2356" s="112">
        <v>39993</v>
      </c>
      <c r="B2356" s="1">
        <f t="shared" si="36"/>
        <v>6</v>
      </c>
    </row>
    <row r="2357" spans="1:2">
      <c r="A2357" s="112">
        <v>39994</v>
      </c>
      <c r="B2357" s="1">
        <f t="shared" si="36"/>
        <v>7</v>
      </c>
    </row>
    <row r="2358" spans="1:2">
      <c r="A2358" s="112">
        <v>39995</v>
      </c>
      <c r="B2358" s="1">
        <f t="shared" si="36"/>
        <v>8</v>
      </c>
    </row>
    <row r="2359" spans="1:2">
      <c r="A2359" s="112">
        <v>39996</v>
      </c>
      <c r="B2359" s="1">
        <f t="shared" si="36"/>
        <v>9</v>
      </c>
    </row>
    <row r="2360" spans="1:2">
      <c r="A2360" s="112">
        <v>39997</v>
      </c>
      <c r="B2360" s="1">
        <f t="shared" si="36"/>
        <v>10</v>
      </c>
    </row>
    <row r="2361" spans="1:2">
      <c r="A2361" s="112">
        <v>39998</v>
      </c>
      <c r="B2361" s="1">
        <f t="shared" si="36"/>
        <v>11</v>
      </c>
    </row>
    <row r="2362" spans="1:2">
      <c r="A2362" s="112">
        <v>39999</v>
      </c>
      <c r="B2362" s="1">
        <f t="shared" si="36"/>
        <v>12</v>
      </c>
    </row>
    <row r="2363" spans="1:2">
      <c r="A2363" s="112">
        <v>40000</v>
      </c>
      <c r="B2363" s="1">
        <f t="shared" si="36"/>
        <v>13</v>
      </c>
    </row>
    <row r="2364" spans="1:2">
      <c r="A2364" s="112">
        <v>40001</v>
      </c>
      <c r="B2364" s="1">
        <f t="shared" si="36"/>
        <v>14</v>
      </c>
    </row>
    <row r="2365" spans="1:2">
      <c r="A2365" s="112">
        <v>40002</v>
      </c>
      <c r="B2365" s="1">
        <f t="shared" si="36"/>
        <v>15</v>
      </c>
    </row>
    <row r="2366" spans="1:2">
      <c r="A2366" s="112">
        <v>40003</v>
      </c>
      <c r="B2366" s="1">
        <f t="shared" si="36"/>
        <v>16</v>
      </c>
    </row>
    <row r="2367" spans="1:2">
      <c r="A2367" s="112">
        <v>40004</v>
      </c>
      <c r="B2367" s="1">
        <f t="shared" si="36"/>
        <v>17</v>
      </c>
    </row>
    <row r="2368" spans="1:2">
      <c r="A2368" s="112">
        <v>40005</v>
      </c>
      <c r="B2368" s="1">
        <f t="shared" si="36"/>
        <v>18</v>
      </c>
    </row>
    <row r="2369" spans="1:2">
      <c r="A2369" s="112">
        <v>40006</v>
      </c>
      <c r="B2369" s="1">
        <f t="shared" si="36"/>
        <v>19</v>
      </c>
    </row>
    <row r="2370" spans="1:2">
      <c r="A2370" s="112">
        <v>40007</v>
      </c>
      <c r="B2370" s="1">
        <f t="shared" si="36"/>
        <v>20</v>
      </c>
    </row>
    <row r="2371" spans="1:2">
      <c r="A2371" s="112">
        <v>40008</v>
      </c>
      <c r="B2371" s="1">
        <f t="shared" ref="B2371:B2434" si="37">INT(MOD($G$2+A2371-$F$2,29.53))</f>
        <v>21</v>
      </c>
    </row>
    <row r="2372" spans="1:2">
      <c r="A2372" s="112">
        <v>40009</v>
      </c>
      <c r="B2372" s="1">
        <f t="shared" si="37"/>
        <v>22</v>
      </c>
    </row>
    <row r="2373" spans="1:2">
      <c r="A2373" s="112">
        <v>40010</v>
      </c>
      <c r="B2373" s="1">
        <f t="shared" si="37"/>
        <v>23</v>
      </c>
    </row>
    <row r="2374" spans="1:2">
      <c r="A2374" s="112">
        <v>40011</v>
      </c>
      <c r="B2374" s="1">
        <f t="shared" si="37"/>
        <v>24</v>
      </c>
    </row>
    <row r="2375" spans="1:2">
      <c r="A2375" s="112">
        <v>40012</v>
      </c>
      <c r="B2375" s="1">
        <f t="shared" si="37"/>
        <v>25</v>
      </c>
    </row>
    <row r="2376" spans="1:2">
      <c r="A2376" s="112">
        <v>40013</v>
      </c>
      <c r="B2376" s="1">
        <f t="shared" si="37"/>
        <v>26</v>
      </c>
    </row>
    <row r="2377" spans="1:2">
      <c r="A2377" s="112">
        <v>40014</v>
      </c>
      <c r="B2377" s="1">
        <f t="shared" si="37"/>
        <v>27</v>
      </c>
    </row>
    <row r="2378" spans="1:2">
      <c r="A2378" s="112">
        <v>40015</v>
      </c>
      <c r="B2378" s="1">
        <f t="shared" si="37"/>
        <v>28</v>
      </c>
    </row>
    <row r="2379" spans="1:2">
      <c r="A2379" s="112">
        <v>40016</v>
      </c>
      <c r="B2379" s="1">
        <f t="shared" si="37"/>
        <v>0</v>
      </c>
    </row>
    <row r="2380" spans="1:2">
      <c r="A2380" s="112">
        <v>40017</v>
      </c>
      <c r="B2380" s="1">
        <f t="shared" si="37"/>
        <v>1</v>
      </c>
    </row>
    <row r="2381" spans="1:2">
      <c r="A2381" s="112">
        <v>40018</v>
      </c>
      <c r="B2381" s="1">
        <f t="shared" si="37"/>
        <v>2</v>
      </c>
    </row>
    <row r="2382" spans="1:2">
      <c r="A2382" s="112">
        <v>40019</v>
      </c>
      <c r="B2382" s="1">
        <f t="shared" si="37"/>
        <v>3</v>
      </c>
    </row>
    <row r="2383" spans="1:2">
      <c r="A2383" s="112">
        <v>40020</v>
      </c>
      <c r="B2383" s="1">
        <f t="shared" si="37"/>
        <v>4</v>
      </c>
    </row>
    <row r="2384" spans="1:2">
      <c r="A2384" s="112">
        <v>40021</v>
      </c>
      <c r="B2384" s="1">
        <f t="shared" si="37"/>
        <v>5</v>
      </c>
    </row>
    <row r="2385" spans="1:2">
      <c r="A2385" s="112">
        <v>40022</v>
      </c>
      <c r="B2385" s="1">
        <f t="shared" si="37"/>
        <v>6</v>
      </c>
    </row>
    <row r="2386" spans="1:2">
      <c r="A2386" s="112">
        <v>40023</v>
      </c>
      <c r="B2386" s="1">
        <f t="shared" si="37"/>
        <v>7</v>
      </c>
    </row>
    <row r="2387" spans="1:2">
      <c r="A2387" s="112">
        <v>40024</v>
      </c>
      <c r="B2387" s="1">
        <f t="shared" si="37"/>
        <v>8</v>
      </c>
    </row>
    <row r="2388" spans="1:2">
      <c r="A2388" s="112">
        <v>40025</v>
      </c>
      <c r="B2388" s="1">
        <f t="shared" si="37"/>
        <v>9</v>
      </c>
    </row>
    <row r="2389" spans="1:2">
      <c r="A2389" s="112">
        <v>40026</v>
      </c>
      <c r="B2389" s="1">
        <f t="shared" si="37"/>
        <v>10</v>
      </c>
    </row>
    <row r="2390" spans="1:2">
      <c r="A2390" s="112">
        <v>40027</v>
      </c>
      <c r="B2390" s="1">
        <f t="shared" si="37"/>
        <v>11</v>
      </c>
    </row>
    <row r="2391" spans="1:2">
      <c r="A2391" s="112">
        <v>40028</v>
      </c>
      <c r="B2391" s="1">
        <f t="shared" si="37"/>
        <v>12</v>
      </c>
    </row>
    <row r="2392" spans="1:2">
      <c r="A2392" s="112">
        <v>40029</v>
      </c>
      <c r="B2392" s="1">
        <f t="shared" si="37"/>
        <v>13</v>
      </c>
    </row>
    <row r="2393" spans="1:2">
      <c r="A2393" s="112">
        <v>40030</v>
      </c>
      <c r="B2393" s="1">
        <f t="shared" si="37"/>
        <v>14</v>
      </c>
    </row>
    <row r="2394" spans="1:2">
      <c r="A2394" s="112">
        <v>40031</v>
      </c>
      <c r="B2394" s="1">
        <f t="shared" si="37"/>
        <v>15</v>
      </c>
    </row>
    <row r="2395" spans="1:2">
      <c r="A2395" s="112">
        <v>40032</v>
      </c>
      <c r="B2395" s="1">
        <f t="shared" si="37"/>
        <v>16</v>
      </c>
    </row>
    <row r="2396" spans="1:2">
      <c r="A2396" s="112">
        <v>40033</v>
      </c>
      <c r="B2396" s="1">
        <f t="shared" si="37"/>
        <v>17</v>
      </c>
    </row>
    <row r="2397" spans="1:2">
      <c r="A2397" s="112">
        <v>40034</v>
      </c>
      <c r="B2397" s="1">
        <f t="shared" si="37"/>
        <v>18</v>
      </c>
    </row>
    <row r="2398" spans="1:2">
      <c r="A2398" s="112">
        <v>40035</v>
      </c>
      <c r="B2398" s="1">
        <f t="shared" si="37"/>
        <v>19</v>
      </c>
    </row>
    <row r="2399" spans="1:2">
      <c r="A2399" s="112">
        <v>40036</v>
      </c>
      <c r="B2399" s="1">
        <f t="shared" si="37"/>
        <v>20</v>
      </c>
    </row>
    <row r="2400" spans="1:2">
      <c r="A2400" s="112">
        <v>40037</v>
      </c>
      <c r="B2400" s="1">
        <f t="shared" si="37"/>
        <v>21</v>
      </c>
    </row>
    <row r="2401" spans="1:2">
      <c r="A2401" s="112">
        <v>40038</v>
      </c>
      <c r="B2401" s="1">
        <f t="shared" si="37"/>
        <v>22</v>
      </c>
    </row>
    <row r="2402" spans="1:2">
      <c r="A2402" s="112">
        <v>40039</v>
      </c>
      <c r="B2402" s="1">
        <f t="shared" si="37"/>
        <v>23</v>
      </c>
    </row>
    <row r="2403" spans="1:2">
      <c r="A2403" s="112">
        <v>40040</v>
      </c>
      <c r="B2403" s="1">
        <f t="shared" si="37"/>
        <v>24</v>
      </c>
    </row>
    <row r="2404" spans="1:2">
      <c r="A2404" s="112">
        <v>40041</v>
      </c>
      <c r="B2404" s="1">
        <f t="shared" si="37"/>
        <v>25</v>
      </c>
    </row>
    <row r="2405" spans="1:2">
      <c r="A2405" s="112">
        <v>40042</v>
      </c>
      <c r="B2405" s="1">
        <f t="shared" si="37"/>
        <v>26</v>
      </c>
    </row>
    <row r="2406" spans="1:2">
      <c r="A2406" s="112">
        <v>40043</v>
      </c>
      <c r="B2406" s="1">
        <f t="shared" si="37"/>
        <v>27</v>
      </c>
    </row>
    <row r="2407" spans="1:2">
      <c r="A2407" s="112">
        <v>40044</v>
      </c>
      <c r="B2407" s="1">
        <f t="shared" si="37"/>
        <v>28</v>
      </c>
    </row>
    <row r="2408" spans="1:2">
      <c r="A2408" s="112">
        <v>40045</v>
      </c>
      <c r="B2408" s="1">
        <f t="shared" si="37"/>
        <v>29</v>
      </c>
    </row>
    <row r="2409" spans="1:2">
      <c r="A2409" s="112">
        <v>40046</v>
      </c>
      <c r="B2409" s="1">
        <f t="shared" si="37"/>
        <v>0</v>
      </c>
    </row>
    <row r="2410" spans="1:2">
      <c r="A2410" s="112">
        <v>40047</v>
      </c>
      <c r="B2410" s="1">
        <f t="shared" si="37"/>
        <v>1</v>
      </c>
    </row>
    <row r="2411" spans="1:2">
      <c r="A2411" s="112">
        <v>40048</v>
      </c>
      <c r="B2411" s="1">
        <f t="shared" si="37"/>
        <v>2</v>
      </c>
    </row>
    <row r="2412" spans="1:2">
      <c r="A2412" s="112">
        <v>40049</v>
      </c>
      <c r="B2412" s="1">
        <f t="shared" si="37"/>
        <v>3</v>
      </c>
    </row>
    <row r="2413" spans="1:2">
      <c r="A2413" s="112">
        <v>40050</v>
      </c>
      <c r="B2413" s="1">
        <f t="shared" si="37"/>
        <v>4</v>
      </c>
    </row>
    <row r="2414" spans="1:2">
      <c r="A2414" s="112">
        <v>40051</v>
      </c>
      <c r="B2414" s="1">
        <f t="shared" si="37"/>
        <v>5</v>
      </c>
    </row>
    <row r="2415" spans="1:2">
      <c r="A2415" s="112">
        <v>40052</v>
      </c>
      <c r="B2415" s="1">
        <f t="shared" si="37"/>
        <v>6</v>
      </c>
    </row>
    <row r="2416" spans="1:2">
      <c r="A2416" s="112">
        <v>40053</v>
      </c>
      <c r="B2416" s="1">
        <f t="shared" si="37"/>
        <v>7</v>
      </c>
    </row>
    <row r="2417" spans="1:2">
      <c r="A2417" s="112">
        <v>40054</v>
      </c>
      <c r="B2417" s="1">
        <f t="shared" si="37"/>
        <v>8</v>
      </c>
    </row>
    <row r="2418" spans="1:2">
      <c r="A2418" s="112">
        <v>40055</v>
      </c>
      <c r="B2418" s="1">
        <f t="shared" si="37"/>
        <v>9</v>
      </c>
    </row>
    <row r="2419" spans="1:2">
      <c r="A2419" s="112">
        <v>40056</v>
      </c>
      <c r="B2419" s="1">
        <f t="shared" si="37"/>
        <v>10</v>
      </c>
    </row>
    <row r="2420" spans="1:2">
      <c r="A2420" s="112">
        <v>40057</v>
      </c>
      <c r="B2420" s="1">
        <f t="shared" si="37"/>
        <v>11</v>
      </c>
    </row>
    <row r="2421" spans="1:2">
      <c r="A2421" s="112">
        <v>40058</v>
      </c>
      <c r="B2421" s="1">
        <f t="shared" si="37"/>
        <v>12</v>
      </c>
    </row>
    <row r="2422" spans="1:2">
      <c r="A2422" s="112">
        <v>40059</v>
      </c>
      <c r="B2422" s="1">
        <f t="shared" si="37"/>
        <v>13</v>
      </c>
    </row>
    <row r="2423" spans="1:2">
      <c r="A2423" s="112">
        <v>40060</v>
      </c>
      <c r="B2423" s="1">
        <f t="shared" si="37"/>
        <v>14</v>
      </c>
    </row>
    <row r="2424" spans="1:2">
      <c r="A2424" s="112">
        <v>40061</v>
      </c>
      <c r="B2424" s="1">
        <f t="shared" si="37"/>
        <v>15</v>
      </c>
    </row>
    <row r="2425" spans="1:2">
      <c r="A2425" s="112">
        <v>40062</v>
      </c>
      <c r="B2425" s="1">
        <f t="shared" si="37"/>
        <v>16</v>
      </c>
    </row>
    <row r="2426" spans="1:2">
      <c r="A2426" s="112">
        <v>40063</v>
      </c>
      <c r="B2426" s="1">
        <f t="shared" si="37"/>
        <v>17</v>
      </c>
    </row>
    <row r="2427" spans="1:2">
      <c r="A2427" s="112">
        <v>40064</v>
      </c>
      <c r="B2427" s="1">
        <f t="shared" si="37"/>
        <v>18</v>
      </c>
    </row>
    <row r="2428" spans="1:2">
      <c r="A2428" s="112">
        <v>40065</v>
      </c>
      <c r="B2428" s="1">
        <f t="shared" si="37"/>
        <v>19</v>
      </c>
    </row>
    <row r="2429" spans="1:2">
      <c r="A2429" s="112">
        <v>40066</v>
      </c>
      <c r="B2429" s="1">
        <f t="shared" si="37"/>
        <v>20</v>
      </c>
    </row>
    <row r="2430" spans="1:2">
      <c r="A2430" s="112">
        <v>40067</v>
      </c>
      <c r="B2430" s="1">
        <f t="shared" si="37"/>
        <v>21</v>
      </c>
    </row>
    <row r="2431" spans="1:2">
      <c r="A2431" s="112">
        <v>40068</v>
      </c>
      <c r="B2431" s="1">
        <f t="shared" si="37"/>
        <v>22</v>
      </c>
    </row>
    <row r="2432" spans="1:2">
      <c r="A2432" s="112">
        <v>40069</v>
      </c>
      <c r="B2432" s="1">
        <f t="shared" si="37"/>
        <v>23</v>
      </c>
    </row>
    <row r="2433" spans="1:2">
      <c r="A2433" s="112">
        <v>40070</v>
      </c>
      <c r="B2433" s="1">
        <f t="shared" si="37"/>
        <v>24</v>
      </c>
    </row>
    <row r="2434" spans="1:2">
      <c r="A2434" s="112">
        <v>40071</v>
      </c>
      <c r="B2434" s="1">
        <f t="shared" si="37"/>
        <v>25</v>
      </c>
    </row>
    <row r="2435" spans="1:2">
      <c r="A2435" s="112">
        <v>40072</v>
      </c>
      <c r="B2435" s="1">
        <f t="shared" ref="B2435:B2498" si="38">INT(MOD($G$2+A2435-$F$2,29.53))</f>
        <v>26</v>
      </c>
    </row>
    <row r="2436" spans="1:2">
      <c r="A2436" s="112">
        <v>40073</v>
      </c>
      <c r="B2436" s="1">
        <f t="shared" si="38"/>
        <v>27</v>
      </c>
    </row>
    <row r="2437" spans="1:2">
      <c r="A2437" s="112">
        <v>40074</v>
      </c>
      <c r="B2437" s="1">
        <f t="shared" si="38"/>
        <v>28</v>
      </c>
    </row>
    <row r="2438" spans="1:2">
      <c r="A2438" s="112">
        <v>40075</v>
      </c>
      <c r="B2438" s="1">
        <f t="shared" si="38"/>
        <v>0</v>
      </c>
    </row>
    <row r="2439" spans="1:2">
      <c r="A2439" s="112">
        <v>40076</v>
      </c>
      <c r="B2439" s="1">
        <f t="shared" si="38"/>
        <v>1</v>
      </c>
    </row>
    <row r="2440" spans="1:2">
      <c r="A2440" s="112">
        <v>40077</v>
      </c>
      <c r="B2440" s="1">
        <f t="shared" si="38"/>
        <v>2</v>
      </c>
    </row>
    <row r="2441" spans="1:2">
      <c r="A2441" s="112">
        <v>40078</v>
      </c>
      <c r="B2441" s="1">
        <f t="shared" si="38"/>
        <v>3</v>
      </c>
    </row>
    <row r="2442" spans="1:2">
      <c r="A2442" s="112">
        <v>40079</v>
      </c>
      <c r="B2442" s="1">
        <f t="shared" si="38"/>
        <v>4</v>
      </c>
    </row>
    <row r="2443" spans="1:2">
      <c r="A2443" s="112">
        <v>40080</v>
      </c>
      <c r="B2443" s="1">
        <f t="shared" si="38"/>
        <v>5</v>
      </c>
    </row>
    <row r="2444" spans="1:2">
      <c r="A2444" s="112">
        <v>40081</v>
      </c>
      <c r="B2444" s="1">
        <f t="shared" si="38"/>
        <v>6</v>
      </c>
    </row>
    <row r="2445" spans="1:2">
      <c r="A2445" s="112">
        <v>40082</v>
      </c>
      <c r="B2445" s="1">
        <f t="shared" si="38"/>
        <v>7</v>
      </c>
    </row>
    <row r="2446" spans="1:2">
      <c r="A2446" s="112">
        <v>40083</v>
      </c>
      <c r="B2446" s="1">
        <f t="shared" si="38"/>
        <v>8</v>
      </c>
    </row>
    <row r="2447" spans="1:2">
      <c r="A2447" s="112">
        <v>40084</v>
      </c>
      <c r="B2447" s="1">
        <f t="shared" si="38"/>
        <v>9</v>
      </c>
    </row>
    <row r="2448" spans="1:2">
      <c r="A2448" s="112">
        <v>40085</v>
      </c>
      <c r="B2448" s="1">
        <f t="shared" si="38"/>
        <v>10</v>
      </c>
    </row>
    <row r="2449" spans="1:2">
      <c r="A2449" s="112">
        <v>40086</v>
      </c>
      <c r="B2449" s="1">
        <f t="shared" si="38"/>
        <v>11</v>
      </c>
    </row>
    <row r="2450" spans="1:2">
      <c r="A2450" s="112">
        <v>40087</v>
      </c>
      <c r="B2450" s="1">
        <f t="shared" si="38"/>
        <v>12</v>
      </c>
    </row>
    <row r="2451" spans="1:2">
      <c r="A2451" s="112">
        <v>40088</v>
      </c>
      <c r="B2451" s="1">
        <f t="shared" si="38"/>
        <v>13</v>
      </c>
    </row>
    <row r="2452" spans="1:2">
      <c r="A2452" s="112">
        <v>40089</v>
      </c>
      <c r="B2452" s="1">
        <f t="shared" si="38"/>
        <v>14</v>
      </c>
    </row>
    <row r="2453" spans="1:2">
      <c r="A2453" s="112">
        <v>40090</v>
      </c>
      <c r="B2453" s="1">
        <f t="shared" si="38"/>
        <v>15</v>
      </c>
    </row>
    <row r="2454" spans="1:2">
      <c r="A2454" s="112">
        <v>40091</v>
      </c>
      <c r="B2454" s="1">
        <f t="shared" si="38"/>
        <v>16</v>
      </c>
    </row>
    <row r="2455" spans="1:2">
      <c r="A2455" s="112">
        <v>40092</v>
      </c>
      <c r="B2455" s="1">
        <f t="shared" si="38"/>
        <v>17</v>
      </c>
    </row>
    <row r="2456" spans="1:2">
      <c r="A2456" s="112">
        <v>40093</v>
      </c>
      <c r="B2456" s="1">
        <f t="shared" si="38"/>
        <v>18</v>
      </c>
    </row>
    <row r="2457" spans="1:2">
      <c r="A2457" s="112">
        <v>40094</v>
      </c>
      <c r="B2457" s="1">
        <f t="shared" si="38"/>
        <v>19</v>
      </c>
    </row>
    <row r="2458" spans="1:2">
      <c r="A2458" s="112">
        <v>40095</v>
      </c>
      <c r="B2458" s="1">
        <f t="shared" si="38"/>
        <v>20</v>
      </c>
    </row>
    <row r="2459" spans="1:2">
      <c r="A2459" s="112">
        <v>40096</v>
      </c>
      <c r="B2459" s="1">
        <f t="shared" si="38"/>
        <v>21</v>
      </c>
    </row>
    <row r="2460" spans="1:2">
      <c r="A2460" s="112">
        <v>40097</v>
      </c>
      <c r="B2460" s="1">
        <f t="shared" si="38"/>
        <v>22</v>
      </c>
    </row>
    <row r="2461" spans="1:2">
      <c r="A2461" s="112">
        <v>40098</v>
      </c>
      <c r="B2461" s="1">
        <f t="shared" si="38"/>
        <v>23</v>
      </c>
    </row>
    <row r="2462" spans="1:2">
      <c r="A2462" s="112">
        <v>40099</v>
      </c>
      <c r="B2462" s="1">
        <f t="shared" si="38"/>
        <v>24</v>
      </c>
    </row>
    <row r="2463" spans="1:2">
      <c r="A2463" s="112">
        <v>40100</v>
      </c>
      <c r="B2463" s="1">
        <f t="shared" si="38"/>
        <v>25</v>
      </c>
    </row>
    <row r="2464" spans="1:2">
      <c r="A2464" s="112">
        <v>40101</v>
      </c>
      <c r="B2464" s="1">
        <f t="shared" si="38"/>
        <v>26</v>
      </c>
    </row>
    <row r="2465" spans="1:2">
      <c r="A2465" s="112">
        <v>40102</v>
      </c>
      <c r="B2465" s="1">
        <f t="shared" si="38"/>
        <v>27</v>
      </c>
    </row>
    <row r="2466" spans="1:2">
      <c r="A2466" s="112">
        <v>40103</v>
      </c>
      <c r="B2466" s="1">
        <f t="shared" si="38"/>
        <v>28</v>
      </c>
    </row>
    <row r="2467" spans="1:2">
      <c r="A2467" s="112">
        <v>40104</v>
      </c>
      <c r="B2467" s="1">
        <f t="shared" si="38"/>
        <v>29</v>
      </c>
    </row>
    <row r="2468" spans="1:2">
      <c r="A2468" s="112">
        <v>40105</v>
      </c>
      <c r="B2468" s="1">
        <f t="shared" si="38"/>
        <v>0</v>
      </c>
    </row>
    <row r="2469" spans="1:2">
      <c r="A2469" s="112">
        <v>40106</v>
      </c>
      <c r="B2469" s="1">
        <f t="shared" si="38"/>
        <v>1</v>
      </c>
    </row>
    <row r="2470" spans="1:2">
      <c r="A2470" s="112">
        <v>40107</v>
      </c>
      <c r="B2470" s="1">
        <f t="shared" si="38"/>
        <v>2</v>
      </c>
    </row>
    <row r="2471" spans="1:2">
      <c r="A2471" s="112">
        <v>40108</v>
      </c>
      <c r="B2471" s="1">
        <f t="shared" si="38"/>
        <v>3</v>
      </c>
    </row>
    <row r="2472" spans="1:2">
      <c r="A2472" s="112">
        <v>40109</v>
      </c>
      <c r="B2472" s="1">
        <f t="shared" si="38"/>
        <v>4</v>
      </c>
    </row>
    <row r="2473" spans="1:2">
      <c r="A2473" s="112">
        <v>40110</v>
      </c>
      <c r="B2473" s="1">
        <f t="shared" si="38"/>
        <v>5</v>
      </c>
    </row>
    <row r="2474" spans="1:2">
      <c r="A2474" s="112">
        <v>40111</v>
      </c>
      <c r="B2474" s="1">
        <f t="shared" si="38"/>
        <v>6</v>
      </c>
    </row>
    <row r="2475" spans="1:2">
      <c r="A2475" s="112">
        <v>40112</v>
      </c>
      <c r="B2475" s="1">
        <f t="shared" si="38"/>
        <v>7</v>
      </c>
    </row>
    <row r="2476" spans="1:2">
      <c r="A2476" s="112">
        <v>40113</v>
      </c>
      <c r="B2476" s="1">
        <f t="shared" si="38"/>
        <v>8</v>
      </c>
    </row>
    <row r="2477" spans="1:2">
      <c r="A2477" s="112">
        <v>40114</v>
      </c>
      <c r="B2477" s="1">
        <f t="shared" si="38"/>
        <v>9</v>
      </c>
    </row>
    <row r="2478" spans="1:2">
      <c r="A2478" s="112">
        <v>40115</v>
      </c>
      <c r="B2478" s="1">
        <f t="shared" si="38"/>
        <v>10</v>
      </c>
    </row>
    <row r="2479" spans="1:2">
      <c r="A2479" s="112">
        <v>40116</v>
      </c>
      <c r="B2479" s="1">
        <f t="shared" si="38"/>
        <v>11</v>
      </c>
    </row>
    <row r="2480" spans="1:2">
      <c r="A2480" s="112">
        <v>40117</v>
      </c>
      <c r="B2480" s="1">
        <f t="shared" si="38"/>
        <v>12</v>
      </c>
    </row>
    <row r="2481" spans="1:2">
      <c r="A2481" s="112">
        <v>40118</v>
      </c>
      <c r="B2481" s="1">
        <f t="shared" si="38"/>
        <v>13</v>
      </c>
    </row>
    <row r="2482" spans="1:2">
      <c r="A2482" s="112">
        <v>40119</v>
      </c>
      <c r="B2482" s="1">
        <f t="shared" si="38"/>
        <v>14</v>
      </c>
    </row>
    <row r="2483" spans="1:2">
      <c r="A2483" s="112">
        <v>40120</v>
      </c>
      <c r="B2483" s="1">
        <f t="shared" si="38"/>
        <v>15</v>
      </c>
    </row>
    <row r="2484" spans="1:2">
      <c r="A2484" s="112">
        <v>40121</v>
      </c>
      <c r="B2484" s="1">
        <f t="shared" si="38"/>
        <v>16</v>
      </c>
    </row>
    <row r="2485" spans="1:2">
      <c r="A2485" s="112">
        <v>40122</v>
      </c>
      <c r="B2485" s="1">
        <f t="shared" si="38"/>
        <v>17</v>
      </c>
    </row>
    <row r="2486" spans="1:2">
      <c r="A2486" s="112">
        <v>40123</v>
      </c>
      <c r="B2486" s="1">
        <f t="shared" si="38"/>
        <v>18</v>
      </c>
    </row>
    <row r="2487" spans="1:2">
      <c r="A2487" s="112">
        <v>40124</v>
      </c>
      <c r="B2487" s="1">
        <f t="shared" si="38"/>
        <v>19</v>
      </c>
    </row>
    <row r="2488" spans="1:2">
      <c r="A2488" s="112">
        <v>40125</v>
      </c>
      <c r="B2488" s="1">
        <f t="shared" si="38"/>
        <v>20</v>
      </c>
    </row>
    <row r="2489" spans="1:2">
      <c r="A2489" s="112">
        <v>40126</v>
      </c>
      <c r="B2489" s="1">
        <f t="shared" si="38"/>
        <v>21</v>
      </c>
    </row>
    <row r="2490" spans="1:2">
      <c r="A2490" s="112">
        <v>40127</v>
      </c>
      <c r="B2490" s="1">
        <f t="shared" si="38"/>
        <v>22</v>
      </c>
    </row>
    <row r="2491" spans="1:2">
      <c r="A2491" s="112">
        <v>40128</v>
      </c>
      <c r="B2491" s="1">
        <f t="shared" si="38"/>
        <v>23</v>
      </c>
    </row>
    <row r="2492" spans="1:2">
      <c r="A2492" s="112">
        <v>40129</v>
      </c>
      <c r="B2492" s="1">
        <f t="shared" si="38"/>
        <v>24</v>
      </c>
    </row>
    <row r="2493" spans="1:2">
      <c r="A2493" s="112">
        <v>40130</v>
      </c>
      <c r="B2493" s="1">
        <f t="shared" si="38"/>
        <v>25</v>
      </c>
    </row>
    <row r="2494" spans="1:2">
      <c r="A2494" s="112">
        <v>40131</v>
      </c>
      <c r="B2494" s="1">
        <f t="shared" si="38"/>
        <v>26</v>
      </c>
    </row>
    <row r="2495" spans="1:2">
      <c r="A2495" s="112">
        <v>40132</v>
      </c>
      <c r="B2495" s="1">
        <f t="shared" si="38"/>
        <v>27</v>
      </c>
    </row>
    <row r="2496" spans="1:2">
      <c r="A2496" s="112">
        <v>40133</v>
      </c>
      <c r="B2496" s="1">
        <f t="shared" si="38"/>
        <v>28</v>
      </c>
    </row>
    <row r="2497" spans="1:2">
      <c r="A2497" s="112">
        <v>40134</v>
      </c>
      <c r="B2497" s="1">
        <f t="shared" si="38"/>
        <v>0</v>
      </c>
    </row>
    <row r="2498" spans="1:2">
      <c r="A2498" s="112">
        <v>40135</v>
      </c>
      <c r="B2498" s="1">
        <f t="shared" si="38"/>
        <v>1</v>
      </c>
    </row>
    <row r="2499" spans="1:2">
      <c r="A2499" s="112">
        <v>40136</v>
      </c>
      <c r="B2499" s="1">
        <f t="shared" ref="B2499:B2562" si="39">INT(MOD($G$2+A2499-$F$2,29.53))</f>
        <v>2</v>
      </c>
    </row>
    <row r="2500" spans="1:2">
      <c r="A2500" s="112">
        <v>40137</v>
      </c>
      <c r="B2500" s="1">
        <f t="shared" si="39"/>
        <v>3</v>
      </c>
    </row>
    <row r="2501" spans="1:2">
      <c r="A2501" s="112">
        <v>40138</v>
      </c>
      <c r="B2501" s="1">
        <f t="shared" si="39"/>
        <v>4</v>
      </c>
    </row>
    <row r="2502" spans="1:2">
      <c r="A2502" s="112">
        <v>40139</v>
      </c>
      <c r="B2502" s="1">
        <f t="shared" si="39"/>
        <v>5</v>
      </c>
    </row>
    <row r="2503" spans="1:2">
      <c r="A2503" s="112">
        <v>40140</v>
      </c>
      <c r="B2503" s="1">
        <f t="shared" si="39"/>
        <v>6</v>
      </c>
    </row>
    <row r="2504" spans="1:2">
      <c r="A2504" s="112">
        <v>40141</v>
      </c>
      <c r="B2504" s="1">
        <f t="shared" si="39"/>
        <v>7</v>
      </c>
    </row>
    <row r="2505" spans="1:2">
      <c r="A2505" s="112">
        <v>40142</v>
      </c>
      <c r="B2505" s="1">
        <f t="shared" si="39"/>
        <v>8</v>
      </c>
    </row>
    <row r="2506" spans="1:2">
      <c r="A2506" s="112">
        <v>40143</v>
      </c>
      <c r="B2506" s="1">
        <f t="shared" si="39"/>
        <v>9</v>
      </c>
    </row>
    <row r="2507" spans="1:2">
      <c r="A2507" s="112">
        <v>40144</v>
      </c>
      <c r="B2507" s="1">
        <f t="shared" si="39"/>
        <v>10</v>
      </c>
    </row>
    <row r="2508" spans="1:2">
      <c r="A2508" s="112">
        <v>40145</v>
      </c>
      <c r="B2508" s="1">
        <f t="shared" si="39"/>
        <v>11</v>
      </c>
    </row>
    <row r="2509" spans="1:2">
      <c r="A2509" s="112">
        <v>40146</v>
      </c>
      <c r="B2509" s="1">
        <f t="shared" si="39"/>
        <v>12</v>
      </c>
    </row>
    <row r="2510" spans="1:2">
      <c r="A2510" s="112">
        <v>40147</v>
      </c>
      <c r="B2510" s="1">
        <f t="shared" si="39"/>
        <v>13</v>
      </c>
    </row>
    <row r="2511" spans="1:2">
      <c r="A2511" s="112">
        <v>40148</v>
      </c>
      <c r="B2511" s="1">
        <f t="shared" si="39"/>
        <v>14</v>
      </c>
    </row>
    <row r="2512" spans="1:2">
      <c r="A2512" s="112">
        <v>40149</v>
      </c>
      <c r="B2512" s="1">
        <f t="shared" si="39"/>
        <v>15</v>
      </c>
    </row>
    <row r="2513" spans="1:2">
      <c r="A2513" s="112">
        <v>40150</v>
      </c>
      <c r="B2513" s="1">
        <f t="shared" si="39"/>
        <v>16</v>
      </c>
    </row>
    <row r="2514" spans="1:2">
      <c r="A2514" s="112">
        <v>40151</v>
      </c>
      <c r="B2514" s="1">
        <f t="shared" si="39"/>
        <v>17</v>
      </c>
    </row>
    <row r="2515" spans="1:2">
      <c r="A2515" s="112">
        <v>40152</v>
      </c>
      <c r="B2515" s="1">
        <f t="shared" si="39"/>
        <v>18</v>
      </c>
    </row>
    <row r="2516" spans="1:2">
      <c r="A2516" s="112">
        <v>40153</v>
      </c>
      <c r="B2516" s="1">
        <f t="shared" si="39"/>
        <v>19</v>
      </c>
    </row>
    <row r="2517" spans="1:2">
      <c r="A2517" s="112">
        <v>40154</v>
      </c>
      <c r="B2517" s="1">
        <f t="shared" si="39"/>
        <v>20</v>
      </c>
    </row>
    <row r="2518" spans="1:2">
      <c r="A2518" s="112">
        <v>40155</v>
      </c>
      <c r="B2518" s="1">
        <f t="shared" si="39"/>
        <v>21</v>
      </c>
    </row>
    <row r="2519" spans="1:2">
      <c r="A2519" s="112">
        <v>40156</v>
      </c>
      <c r="B2519" s="1">
        <f t="shared" si="39"/>
        <v>22</v>
      </c>
    </row>
    <row r="2520" spans="1:2">
      <c r="A2520" s="112">
        <v>40157</v>
      </c>
      <c r="B2520" s="1">
        <f t="shared" si="39"/>
        <v>23</v>
      </c>
    </row>
    <row r="2521" spans="1:2">
      <c r="A2521" s="112">
        <v>40158</v>
      </c>
      <c r="B2521" s="1">
        <f t="shared" si="39"/>
        <v>24</v>
      </c>
    </row>
    <row r="2522" spans="1:2">
      <c r="A2522" s="112">
        <v>40159</v>
      </c>
      <c r="B2522" s="1">
        <f t="shared" si="39"/>
        <v>25</v>
      </c>
    </row>
    <row r="2523" spans="1:2">
      <c r="A2523" s="112">
        <v>40160</v>
      </c>
      <c r="B2523" s="1">
        <f t="shared" si="39"/>
        <v>26</v>
      </c>
    </row>
    <row r="2524" spans="1:2">
      <c r="A2524" s="112">
        <v>40161</v>
      </c>
      <c r="B2524" s="1">
        <f t="shared" si="39"/>
        <v>27</v>
      </c>
    </row>
    <row r="2525" spans="1:2">
      <c r="A2525" s="112">
        <v>40162</v>
      </c>
      <c r="B2525" s="1">
        <f t="shared" si="39"/>
        <v>28</v>
      </c>
    </row>
    <row r="2526" spans="1:2">
      <c r="A2526" s="112">
        <v>40163</v>
      </c>
      <c r="B2526" s="1">
        <f t="shared" si="39"/>
        <v>29</v>
      </c>
    </row>
    <row r="2527" spans="1:2">
      <c r="A2527" s="112">
        <v>40164</v>
      </c>
      <c r="B2527" s="1">
        <f t="shared" si="39"/>
        <v>0</v>
      </c>
    </row>
    <row r="2528" spans="1:2">
      <c r="A2528" s="112">
        <v>40165</v>
      </c>
      <c r="B2528" s="1">
        <f t="shared" si="39"/>
        <v>1</v>
      </c>
    </row>
    <row r="2529" spans="1:2">
      <c r="A2529" s="112">
        <v>40166</v>
      </c>
      <c r="B2529" s="1">
        <f t="shared" si="39"/>
        <v>2</v>
      </c>
    </row>
    <row r="2530" spans="1:2">
      <c r="A2530" s="112">
        <v>40167</v>
      </c>
      <c r="B2530" s="1">
        <f t="shared" si="39"/>
        <v>3</v>
      </c>
    </row>
    <row r="2531" spans="1:2">
      <c r="A2531" s="112">
        <v>40168</v>
      </c>
      <c r="B2531" s="1">
        <f t="shared" si="39"/>
        <v>4</v>
      </c>
    </row>
    <row r="2532" spans="1:2">
      <c r="A2532" s="112">
        <v>40169</v>
      </c>
      <c r="B2532" s="1">
        <f t="shared" si="39"/>
        <v>5</v>
      </c>
    </row>
    <row r="2533" spans="1:2">
      <c r="A2533" s="112">
        <v>40170</v>
      </c>
      <c r="B2533" s="1">
        <f t="shared" si="39"/>
        <v>6</v>
      </c>
    </row>
    <row r="2534" spans="1:2">
      <c r="A2534" s="112">
        <v>40171</v>
      </c>
      <c r="B2534" s="1">
        <f t="shared" si="39"/>
        <v>7</v>
      </c>
    </row>
    <row r="2535" spans="1:2">
      <c r="A2535" s="112">
        <v>40172</v>
      </c>
      <c r="B2535" s="1">
        <f t="shared" si="39"/>
        <v>8</v>
      </c>
    </row>
    <row r="2536" spans="1:2">
      <c r="A2536" s="112">
        <v>40173</v>
      </c>
      <c r="B2536" s="1">
        <f t="shared" si="39"/>
        <v>9</v>
      </c>
    </row>
    <row r="2537" spans="1:2">
      <c r="A2537" s="112">
        <v>40174</v>
      </c>
      <c r="B2537" s="1">
        <f t="shared" si="39"/>
        <v>10</v>
      </c>
    </row>
    <row r="2538" spans="1:2">
      <c r="A2538" s="112">
        <v>40175</v>
      </c>
      <c r="B2538" s="1">
        <f t="shared" si="39"/>
        <v>11</v>
      </c>
    </row>
    <row r="2539" spans="1:2">
      <c r="A2539" s="112">
        <v>40176</v>
      </c>
      <c r="B2539" s="1">
        <f t="shared" si="39"/>
        <v>12</v>
      </c>
    </row>
    <row r="2540" spans="1:2">
      <c r="A2540" s="112">
        <v>40177</v>
      </c>
      <c r="B2540" s="1">
        <f t="shared" si="39"/>
        <v>13</v>
      </c>
    </row>
    <row r="2541" spans="1:2">
      <c r="A2541" s="112">
        <v>40178</v>
      </c>
      <c r="B2541" s="1">
        <f t="shared" si="39"/>
        <v>14</v>
      </c>
    </row>
    <row r="2542" spans="1:2">
      <c r="A2542" s="112">
        <v>40179</v>
      </c>
      <c r="B2542" s="1">
        <f t="shared" si="39"/>
        <v>15</v>
      </c>
    </row>
    <row r="2543" spans="1:2">
      <c r="A2543" s="112">
        <v>40180</v>
      </c>
      <c r="B2543" s="1">
        <f t="shared" si="39"/>
        <v>16</v>
      </c>
    </row>
    <row r="2544" spans="1:2">
      <c r="A2544" s="112">
        <v>40181</v>
      </c>
      <c r="B2544" s="1">
        <f t="shared" si="39"/>
        <v>17</v>
      </c>
    </row>
    <row r="2545" spans="1:2">
      <c r="A2545" s="112">
        <v>40182</v>
      </c>
      <c r="B2545" s="1">
        <f t="shared" si="39"/>
        <v>18</v>
      </c>
    </row>
    <row r="2546" spans="1:2">
      <c r="A2546" s="112">
        <v>40183</v>
      </c>
      <c r="B2546" s="1">
        <f t="shared" si="39"/>
        <v>19</v>
      </c>
    </row>
    <row r="2547" spans="1:2">
      <c r="A2547" s="112">
        <v>40184</v>
      </c>
      <c r="B2547" s="1">
        <f t="shared" si="39"/>
        <v>20</v>
      </c>
    </row>
    <row r="2548" spans="1:2">
      <c r="A2548" s="112">
        <v>40185</v>
      </c>
      <c r="B2548" s="1">
        <f t="shared" si="39"/>
        <v>21</v>
      </c>
    </row>
    <row r="2549" spans="1:2">
      <c r="A2549" s="112">
        <v>40186</v>
      </c>
      <c r="B2549" s="1">
        <f t="shared" si="39"/>
        <v>22</v>
      </c>
    </row>
    <row r="2550" spans="1:2">
      <c r="A2550" s="112">
        <v>40187</v>
      </c>
      <c r="B2550" s="1">
        <f t="shared" si="39"/>
        <v>23</v>
      </c>
    </row>
    <row r="2551" spans="1:2">
      <c r="A2551" s="112">
        <v>40188</v>
      </c>
      <c r="B2551" s="1">
        <f t="shared" si="39"/>
        <v>24</v>
      </c>
    </row>
    <row r="2552" spans="1:2">
      <c r="A2552" s="112">
        <v>40189</v>
      </c>
      <c r="B2552" s="1">
        <f t="shared" si="39"/>
        <v>25</v>
      </c>
    </row>
    <row r="2553" spans="1:2">
      <c r="A2553" s="112">
        <v>40190</v>
      </c>
      <c r="B2553" s="1">
        <f t="shared" si="39"/>
        <v>26</v>
      </c>
    </row>
    <row r="2554" spans="1:2">
      <c r="A2554" s="112">
        <v>40191</v>
      </c>
      <c r="B2554" s="1">
        <f t="shared" si="39"/>
        <v>27</v>
      </c>
    </row>
    <row r="2555" spans="1:2">
      <c r="A2555" s="112">
        <v>40192</v>
      </c>
      <c r="B2555" s="1">
        <f t="shared" si="39"/>
        <v>28</v>
      </c>
    </row>
    <row r="2556" spans="1:2">
      <c r="A2556" s="112">
        <v>40193</v>
      </c>
      <c r="B2556" s="1">
        <f t="shared" si="39"/>
        <v>0</v>
      </c>
    </row>
    <row r="2557" spans="1:2">
      <c r="A2557" s="112">
        <v>40194</v>
      </c>
      <c r="B2557" s="1">
        <f t="shared" si="39"/>
        <v>1</v>
      </c>
    </row>
    <row r="2558" spans="1:2">
      <c r="A2558" s="112">
        <v>40195</v>
      </c>
      <c r="B2558" s="1">
        <f t="shared" si="39"/>
        <v>2</v>
      </c>
    </row>
    <row r="2559" spans="1:2">
      <c r="A2559" s="112">
        <v>40196</v>
      </c>
      <c r="B2559" s="1">
        <f t="shared" si="39"/>
        <v>3</v>
      </c>
    </row>
    <row r="2560" spans="1:2">
      <c r="A2560" s="112">
        <v>40197</v>
      </c>
      <c r="B2560" s="1">
        <f t="shared" si="39"/>
        <v>4</v>
      </c>
    </row>
    <row r="2561" spans="1:2">
      <c r="A2561" s="112">
        <v>40198</v>
      </c>
      <c r="B2561" s="1">
        <f t="shared" si="39"/>
        <v>5</v>
      </c>
    </row>
    <row r="2562" spans="1:2">
      <c r="A2562" s="112">
        <v>40199</v>
      </c>
      <c r="B2562" s="1">
        <f t="shared" si="39"/>
        <v>6</v>
      </c>
    </row>
    <row r="2563" spans="1:2">
      <c r="A2563" s="112">
        <v>40200</v>
      </c>
      <c r="B2563" s="1">
        <f t="shared" ref="B2563:B2626" si="40">INT(MOD($G$2+A2563-$F$2,29.53))</f>
        <v>7</v>
      </c>
    </row>
    <row r="2564" spans="1:2">
      <c r="A2564" s="112">
        <v>40201</v>
      </c>
      <c r="B2564" s="1">
        <f t="shared" si="40"/>
        <v>8</v>
      </c>
    </row>
    <row r="2565" spans="1:2">
      <c r="A2565" s="112">
        <v>40202</v>
      </c>
      <c r="B2565" s="1">
        <f t="shared" si="40"/>
        <v>9</v>
      </c>
    </row>
    <row r="2566" spans="1:2">
      <c r="A2566" s="112">
        <v>40203</v>
      </c>
      <c r="B2566" s="1">
        <f t="shared" si="40"/>
        <v>10</v>
      </c>
    </row>
    <row r="2567" spans="1:2">
      <c r="A2567" s="112">
        <v>40204</v>
      </c>
      <c r="B2567" s="1">
        <f t="shared" si="40"/>
        <v>11</v>
      </c>
    </row>
    <row r="2568" spans="1:2">
      <c r="A2568" s="112">
        <v>40205</v>
      </c>
      <c r="B2568" s="1">
        <f t="shared" si="40"/>
        <v>12</v>
      </c>
    </row>
    <row r="2569" spans="1:2">
      <c r="A2569" s="112">
        <v>40206</v>
      </c>
      <c r="B2569" s="1">
        <f t="shared" si="40"/>
        <v>13</v>
      </c>
    </row>
    <row r="2570" spans="1:2">
      <c r="A2570" s="112">
        <v>40207</v>
      </c>
      <c r="B2570" s="1">
        <f t="shared" si="40"/>
        <v>14</v>
      </c>
    </row>
    <row r="2571" spans="1:2">
      <c r="A2571" s="112">
        <v>40208</v>
      </c>
      <c r="B2571" s="1">
        <f t="shared" si="40"/>
        <v>15</v>
      </c>
    </row>
    <row r="2572" spans="1:2">
      <c r="A2572" s="112">
        <v>40209</v>
      </c>
      <c r="B2572" s="1">
        <f t="shared" si="40"/>
        <v>16</v>
      </c>
    </row>
    <row r="2573" spans="1:2">
      <c r="A2573" s="112">
        <v>40210</v>
      </c>
      <c r="B2573" s="1">
        <f t="shared" si="40"/>
        <v>17</v>
      </c>
    </row>
    <row r="2574" spans="1:2">
      <c r="A2574" s="112">
        <v>40211</v>
      </c>
      <c r="B2574" s="1">
        <f t="shared" si="40"/>
        <v>18</v>
      </c>
    </row>
    <row r="2575" spans="1:2">
      <c r="A2575" s="112">
        <v>40212</v>
      </c>
      <c r="B2575" s="1">
        <f t="shared" si="40"/>
        <v>19</v>
      </c>
    </row>
    <row r="2576" spans="1:2">
      <c r="A2576" s="112">
        <v>40213</v>
      </c>
      <c r="B2576" s="1">
        <f t="shared" si="40"/>
        <v>20</v>
      </c>
    </row>
    <row r="2577" spans="1:2">
      <c r="A2577" s="112">
        <v>40214</v>
      </c>
      <c r="B2577" s="1">
        <f t="shared" si="40"/>
        <v>21</v>
      </c>
    </row>
    <row r="2578" spans="1:2">
      <c r="A2578" s="112">
        <v>40215</v>
      </c>
      <c r="B2578" s="1">
        <f t="shared" si="40"/>
        <v>22</v>
      </c>
    </row>
    <row r="2579" spans="1:2">
      <c r="A2579" s="112">
        <v>40216</v>
      </c>
      <c r="B2579" s="1">
        <f t="shared" si="40"/>
        <v>23</v>
      </c>
    </row>
    <row r="2580" spans="1:2">
      <c r="A2580" s="112">
        <v>40217</v>
      </c>
      <c r="B2580" s="1">
        <f t="shared" si="40"/>
        <v>24</v>
      </c>
    </row>
    <row r="2581" spans="1:2">
      <c r="A2581" s="112">
        <v>40218</v>
      </c>
      <c r="B2581" s="1">
        <f t="shared" si="40"/>
        <v>25</v>
      </c>
    </row>
    <row r="2582" spans="1:2">
      <c r="A2582" s="112">
        <v>40219</v>
      </c>
      <c r="B2582" s="1">
        <f t="shared" si="40"/>
        <v>26</v>
      </c>
    </row>
    <row r="2583" spans="1:2">
      <c r="A2583" s="112">
        <v>40220</v>
      </c>
      <c r="B2583" s="1">
        <f t="shared" si="40"/>
        <v>27</v>
      </c>
    </row>
    <row r="2584" spans="1:2">
      <c r="A2584" s="112">
        <v>40221</v>
      </c>
      <c r="B2584" s="1">
        <f t="shared" si="40"/>
        <v>28</v>
      </c>
    </row>
    <row r="2585" spans="1:2">
      <c r="A2585" s="112">
        <v>40222</v>
      </c>
      <c r="B2585" s="1">
        <f t="shared" si="40"/>
        <v>29</v>
      </c>
    </row>
    <row r="2586" spans="1:2">
      <c r="A2586" s="112">
        <v>40223</v>
      </c>
      <c r="B2586" s="1">
        <f t="shared" si="40"/>
        <v>0</v>
      </c>
    </row>
    <row r="2587" spans="1:2">
      <c r="A2587" s="112">
        <v>40224</v>
      </c>
      <c r="B2587" s="1">
        <f t="shared" si="40"/>
        <v>1</v>
      </c>
    </row>
    <row r="2588" spans="1:2">
      <c r="A2588" s="112">
        <v>40225</v>
      </c>
      <c r="B2588" s="1">
        <f t="shared" si="40"/>
        <v>2</v>
      </c>
    </row>
    <row r="2589" spans="1:2">
      <c r="A2589" s="112">
        <v>40226</v>
      </c>
      <c r="B2589" s="1">
        <f t="shared" si="40"/>
        <v>3</v>
      </c>
    </row>
    <row r="2590" spans="1:2">
      <c r="A2590" s="112">
        <v>40227</v>
      </c>
      <c r="B2590" s="1">
        <f t="shared" si="40"/>
        <v>4</v>
      </c>
    </row>
    <row r="2591" spans="1:2">
      <c r="A2591" s="112">
        <v>40228</v>
      </c>
      <c r="B2591" s="1">
        <f t="shared" si="40"/>
        <v>5</v>
      </c>
    </row>
    <row r="2592" spans="1:2">
      <c r="A2592" s="112">
        <v>40229</v>
      </c>
      <c r="B2592" s="1">
        <f t="shared" si="40"/>
        <v>6</v>
      </c>
    </row>
    <row r="2593" spans="1:2">
      <c r="A2593" s="112">
        <v>40230</v>
      </c>
      <c r="B2593" s="1">
        <f t="shared" si="40"/>
        <v>7</v>
      </c>
    </row>
    <row r="2594" spans="1:2">
      <c r="A2594" s="112">
        <v>40231</v>
      </c>
      <c r="B2594" s="1">
        <f t="shared" si="40"/>
        <v>8</v>
      </c>
    </row>
    <row r="2595" spans="1:2">
      <c r="A2595" s="112">
        <v>40232</v>
      </c>
      <c r="B2595" s="1">
        <f t="shared" si="40"/>
        <v>9</v>
      </c>
    </row>
    <row r="2596" spans="1:2">
      <c r="A2596" s="112">
        <v>40233</v>
      </c>
      <c r="B2596" s="1">
        <f t="shared" si="40"/>
        <v>10</v>
      </c>
    </row>
    <row r="2597" spans="1:2">
      <c r="A2597" s="112">
        <v>40234</v>
      </c>
      <c r="B2597" s="1">
        <f t="shared" si="40"/>
        <v>11</v>
      </c>
    </row>
    <row r="2598" spans="1:2">
      <c r="A2598" s="112">
        <v>40235</v>
      </c>
      <c r="B2598" s="1">
        <f t="shared" si="40"/>
        <v>12</v>
      </c>
    </row>
    <row r="2599" spans="1:2">
      <c r="A2599" s="112">
        <v>40236</v>
      </c>
      <c r="B2599" s="1">
        <f t="shared" si="40"/>
        <v>13</v>
      </c>
    </row>
    <row r="2600" spans="1:2">
      <c r="A2600" s="112">
        <v>40237</v>
      </c>
      <c r="B2600" s="1">
        <f t="shared" si="40"/>
        <v>14</v>
      </c>
    </row>
    <row r="2601" spans="1:2">
      <c r="A2601" s="112">
        <v>40238</v>
      </c>
      <c r="B2601" s="1">
        <f t="shared" si="40"/>
        <v>15</v>
      </c>
    </row>
    <row r="2602" spans="1:2">
      <c r="A2602" s="112">
        <v>40239</v>
      </c>
      <c r="B2602" s="1">
        <f t="shared" si="40"/>
        <v>16</v>
      </c>
    </row>
    <row r="2603" spans="1:2">
      <c r="A2603" s="112">
        <v>40240</v>
      </c>
      <c r="B2603" s="1">
        <f t="shared" si="40"/>
        <v>17</v>
      </c>
    </row>
    <row r="2604" spans="1:2">
      <c r="A2604" s="112">
        <v>40241</v>
      </c>
      <c r="B2604" s="1">
        <f t="shared" si="40"/>
        <v>18</v>
      </c>
    </row>
    <row r="2605" spans="1:2">
      <c r="A2605" s="112">
        <v>40242</v>
      </c>
      <c r="B2605" s="1">
        <f t="shared" si="40"/>
        <v>19</v>
      </c>
    </row>
    <row r="2606" spans="1:2">
      <c r="A2606" s="112">
        <v>40243</v>
      </c>
      <c r="B2606" s="1">
        <f t="shared" si="40"/>
        <v>20</v>
      </c>
    </row>
    <row r="2607" spans="1:2">
      <c r="A2607" s="112">
        <v>40244</v>
      </c>
      <c r="B2607" s="1">
        <f t="shared" si="40"/>
        <v>21</v>
      </c>
    </row>
    <row r="2608" spans="1:2">
      <c r="A2608" s="112">
        <v>40245</v>
      </c>
      <c r="B2608" s="1">
        <f t="shared" si="40"/>
        <v>22</v>
      </c>
    </row>
    <row r="2609" spans="1:2">
      <c r="A2609" s="112">
        <v>40246</v>
      </c>
      <c r="B2609" s="1">
        <f t="shared" si="40"/>
        <v>23</v>
      </c>
    </row>
    <row r="2610" spans="1:2">
      <c r="A2610" s="112">
        <v>40247</v>
      </c>
      <c r="B2610" s="1">
        <f t="shared" si="40"/>
        <v>24</v>
      </c>
    </row>
    <row r="2611" spans="1:2">
      <c r="A2611" s="112">
        <v>40248</v>
      </c>
      <c r="B2611" s="1">
        <f t="shared" si="40"/>
        <v>25</v>
      </c>
    </row>
    <row r="2612" spans="1:2">
      <c r="A2612" s="112">
        <v>40249</v>
      </c>
      <c r="B2612" s="1">
        <f t="shared" si="40"/>
        <v>26</v>
      </c>
    </row>
    <row r="2613" spans="1:2">
      <c r="A2613" s="112">
        <v>40250</v>
      </c>
      <c r="B2613" s="1">
        <f t="shared" si="40"/>
        <v>27</v>
      </c>
    </row>
    <row r="2614" spans="1:2">
      <c r="A2614" s="112">
        <v>40251</v>
      </c>
      <c r="B2614" s="1">
        <f t="shared" si="40"/>
        <v>28</v>
      </c>
    </row>
    <row r="2615" spans="1:2">
      <c r="A2615" s="112">
        <v>40252</v>
      </c>
      <c r="B2615" s="1">
        <f t="shared" si="40"/>
        <v>-1</v>
      </c>
    </row>
    <row r="2616" spans="1:2">
      <c r="A2616" s="112">
        <v>40253</v>
      </c>
      <c r="B2616" s="1">
        <f t="shared" si="40"/>
        <v>0</v>
      </c>
    </row>
    <row r="2617" spans="1:2">
      <c r="A2617" s="112">
        <v>40254</v>
      </c>
      <c r="B2617" s="1">
        <f t="shared" si="40"/>
        <v>1</v>
      </c>
    </row>
    <row r="2618" spans="1:2">
      <c r="A2618" s="112">
        <v>40255</v>
      </c>
      <c r="B2618" s="1">
        <f t="shared" si="40"/>
        <v>2</v>
      </c>
    </row>
    <row r="2619" spans="1:2">
      <c r="A2619" s="112">
        <v>40256</v>
      </c>
      <c r="B2619" s="1">
        <f t="shared" si="40"/>
        <v>3</v>
      </c>
    </row>
    <row r="2620" spans="1:2">
      <c r="A2620" s="112">
        <v>40257</v>
      </c>
      <c r="B2620" s="1">
        <f t="shared" si="40"/>
        <v>4</v>
      </c>
    </row>
    <row r="2621" spans="1:2">
      <c r="A2621" s="112">
        <v>40258</v>
      </c>
      <c r="B2621" s="1">
        <f t="shared" si="40"/>
        <v>5</v>
      </c>
    </row>
    <row r="2622" spans="1:2">
      <c r="A2622" s="112">
        <v>40259</v>
      </c>
      <c r="B2622" s="1">
        <f t="shared" si="40"/>
        <v>6</v>
      </c>
    </row>
    <row r="2623" spans="1:2">
      <c r="A2623" s="112">
        <v>40260</v>
      </c>
      <c r="B2623" s="1">
        <f t="shared" si="40"/>
        <v>7</v>
      </c>
    </row>
    <row r="2624" spans="1:2">
      <c r="A2624" s="112">
        <v>40261</v>
      </c>
      <c r="B2624" s="1">
        <f t="shared" si="40"/>
        <v>8</v>
      </c>
    </row>
    <row r="2625" spans="1:2">
      <c r="A2625" s="112">
        <v>40262</v>
      </c>
      <c r="B2625" s="1">
        <f t="shared" si="40"/>
        <v>9</v>
      </c>
    </row>
    <row r="2626" spans="1:2">
      <c r="A2626" s="112">
        <v>40263</v>
      </c>
      <c r="B2626" s="1">
        <f t="shared" si="40"/>
        <v>10</v>
      </c>
    </row>
    <row r="2627" spans="1:2">
      <c r="A2627" s="112">
        <v>40264</v>
      </c>
      <c r="B2627" s="1">
        <f t="shared" ref="B2627:B2690" si="41">INT(MOD($G$2+A2627-$F$2,29.53))</f>
        <v>11</v>
      </c>
    </row>
    <row r="2628" spans="1:2">
      <c r="A2628" s="112">
        <v>40265</v>
      </c>
      <c r="B2628" s="1">
        <f t="shared" si="41"/>
        <v>12</v>
      </c>
    </row>
    <row r="2629" spans="1:2">
      <c r="A2629" s="112">
        <v>40266</v>
      </c>
      <c r="B2629" s="1">
        <f t="shared" si="41"/>
        <v>13</v>
      </c>
    </row>
    <row r="2630" spans="1:2">
      <c r="A2630" s="112">
        <v>40267</v>
      </c>
      <c r="B2630" s="1">
        <f t="shared" si="41"/>
        <v>14</v>
      </c>
    </row>
    <row r="2631" spans="1:2">
      <c r="A2631" s="112">
        <v>40268</v>
      </c>
      <c r="B2631" s="1">
        <f t="shared" si="41"/>
        <v>15</v>
      </c>
    </row>
    <row r="2632" spans="1:2">
      <c r="A2632" s="112">
        <v>40269</v>
      </c>
      <c r="B2632" s="1">
        <f t="shared" si="41"/>
        <v>16</v>
      </c>
    </row>
    <row r="2633" spans="1:2">
      <c r="A2633" s="112">
        <v>40270</v>
      </c>
      <c r="B2633" s="1">
        <f t="shared" si="41"/>
        <v>17</v>
      </c>
    </row>
    <row r="2634" spans="1:2">
      <c r="A2634" s="112">
        <v>40271</v>
      </c>
      <c r="B2634" s="1">
        <f t="shared" si="41"/>
        <v>18</v>
      </c>
    </row>
    <row r="2635" spans="1:2">
      <c r="A2635" s="112">
        <v>40272</v>
      </c>
      <c r="B2635" s="1">
        <f t="shared" si="41"/>
        <v>19</v>
      </c>
    </row>
    <row r="2636" spans="1:2">
      <c r="A2636" s="112">
        <v>40273</v>
      </c>
      <c r="B2636" s="1">
        <f t="shared" si="41"/>
        <v>20</v>
      </c>
    </row>
    <row r="2637" spans="1:2">
      <c r="A2637" s="112">
        <v>40274</v>
      </c>
      <c r="B2637" s="1">
        <f t="shared" si="41"/>
        <v>21</v>
      </c>
    </row>
    <row r="2638" spans="1:2">
      <c r="A2638" s="112">
        <v>40275</v>
      </c>
      <c r="B2638" s="1">
        <f t="shared" si="41"/>
        <v>22</v>
      </c>
    </row>
    <row r="2639" spans="1:2">
      <c r="A2639" s="112">
        <v>40276</v>
      </c>
      <c r="B2639" s="1">
        <f t="shared" si="41"/>
        <v>23</v>
      </c>
    </row>
    <row r="2640" spans="1:2">
      <c r="A2640" s="112">
        <v>40277</v>
      </c>
      <c r="B2640" s="1">
        <f t="shared" si="41"/>
        <v>24</v>
      </c>
    </row>
    <row r="2641" spans="1:2">
      <c r="A2641" s="112">
        <v>40278</v>
      </c>
      <c r="B2641" s="1">
        <f t="shared" si="41"/>
        <v>25</v>
      </c>
    </row>
    <row r="2642" spans="1:2">
      <c r="A2642" s="112">
        <v>40279</v>
      </c>
      <c r="B2642" s="1">
        <f t="shared" si="41"/>
        <v>26</v>
      </c>
    </row>
    <row r="2643" spans="1:2">
      <c r="A2643" s="112">
        <v>40280</v>
      </c>
      <c r="B2643" s="1">
        <f t="shared" si="41"/>
        <v>27</v>
      </c>
    </row>
    <row r="2644" spans="1:2">
      <c r="A2644" s="112">
        <v>40281</v>
      </c>
      <c r="B2644" s="1">
        <f t="shared" si="41"/>
        <v>28</v>
      </c>
    </row>
    <row r="2645" spans="1:2">
      <c r="A2645" s="112">
        <v>40282</v>
      </c>
      <c r="B2645" s="1">
        <f t="shared" si="41"/>
        <v>0</v>
      </c>
    </row>
    <row r="2646" spans="1:2">
      <c r="A2646" s="112">
        <v>40283</v>
      </c>
      <c r="B2646" s="1">
        <f t="shared" si="41"/>
        <v>1</v>
      </c>
    </row>
    <row r="2647" spans="1:2">
      <c r="A2647" s="112">
        <v>40284</v>
      </c>
      <c r="B2647" s="1">
        <f t="shared" si="41"/>
        <v>2</v>
      </c>
    </row>
    <row r="2648" spans="1:2">
      <c r="A2648" s="112">
        <v>40285</v>
      </c>
      <c r="B2648" s="1">
        <f t="shared" si="41"/>
        <v>3</v>
      </c>
    </row>
    <row r="2649" spans="1:2">
      <c r="A2649" s="112">
        <v>40286</v>
      </c>
      <c r="B2649" s="1">
        <f t="shared" si="41"/>
        <v>4</v>
      </c>
    </row>
    <row r="2650" spans="1:2">
      <c r="A2650" s="112">
        <v>40287</v>
      </c>
      <c r="B2650" s="1">
        <f t="shared" si="41"/>
        <v>5</v>
      </c>
    </row>
    <row r="2651" spans="1:2">
      <c r="A2651" s="112">
        <v>40288</v>
      </c>
      <c r="B2651" s="1">
        <f t="shared" si="41"/>
        <v>6</v>
      </c>
    </row>
    <row r="2652" spans="1:2">
      <c r="A2652" s="112">
        <v>40289</v>
      </c>
      <c r="B2652" s="1">
        <f t="shared" si="41"/>
        <v>7</v>
      </c>
    </row>
    <row r="2653" spans="1:2">
      <c r="A2653" s="112">
        <v>40290</v>
      </c>
      <c r="B2653" s="1">
        <f t="shared" si="41"/>
        <v>8</v>
      </c>
    </row>
    <row r="2654" spans="1:2">
      <c r="A2654" s="112">
        <v>40291</v>
      </c>
      <c r="B2654" s="1">
        <f t="shared" si="41"/>
        <v>9</v>
      </c>
    </row>
    <row r="2655" spans="1:2">
      <c r="A2655" s="112">
        <v>40292</v>
      </c>
      <c r="B2655" s="1">
        <f t="shared" si="41"/>
        <v>10</v>
      </c>
    </row>
    <row r="2656" spans="1:2">
      <c r="A2656" s="112">
        <v>40293</v>
      </c>
      <c r="B2656" s="1">
        <f t="shared" si="41"/>
        <v>11</v>
      </c>
    </row>
    <row r="2657" spans="1:2">
      <c r="A2657" s="112">
        <v>40294</v>
      </c>
      <c r="B2657" s="1">
        <f t="shared" si="41"/>
        <v>12</v>
      </c>
    </row>
    <row r="2658" spans="1:2">
      <c r="A2658" s="112">
        <v>40295</v>
      </c>
      <c r="B2658" s="1">
        <f t="shared" si="41"/>
        <v>13</v>
      </c>
    </row>
    <row r="2659" spans="1:2">
      <c r="A2659" s="112">
        <v>40296</v>
      </c>
      <c r="B2659" s="1">
        <f t="shared" si="41"/>
        <v>14</v>
      </c>
    </row>
    <row r="2660" spans="1:2">
      <c r="A2660" s="112">
        <v>40297</v>
      </c>
      <c r="B2660" s="1">
        <f t="shared" si="41"/>
        <v>15</v>
      </c>
    </row>
    <row r="2661" spans="1:2">
      <c r="A2661" s="112">
        <v>40298</v>
      </c>
      <c r="B2661" s="1">
        <f t="shared" si="41"/>
        <v>16</v>
      </c>
    </row>
    <row r="2662" spans="1:2">
      <c r="A2662" s="112">
        <v>40299</v>
      </c>
      <c r="B2662" s="1">
        <f t="shared" si="41"/>
        <v>17</v>
      </c>
    </row>
    <row r="2663" spans="1:2">
      <c r="A2663" s="112">
        <v>40300</v>
      </c>
      <c r="B2663" s="1">
        <f t="shared" si="41"/>
        <v>18</v>
      </c>
    </row>
    <row r="2664" spans="1:2">
      <c r="A2664" s="112">
        <v>40301</v>
      </c>
      <c r="B2664" s="1">
        <f t="shared" si="41"/>
        <v>19</v>
      </c>
    </row>
    <row r="2665" spans="1:2">
      <c r="A2665" s="112">
        <v>40302</v>
      </c>
      <c r="B2665" s="1">
        <f t="shared" si="41"/>
        <v>20</v>
      </c>
    </row>
    <row r="2666" spans="1:2">
      <c r="A2666" s="112">
        <v>40303</v>
      </c>
      <c r="B2666" s="1">
        <f t="shared" si="41"/>
        <v>21</v>
      </c>
    </row>
    <row r="2667" spans="1:2">
      <c r="A2667" s="112">
        <v>40304</v>
      </c>
      <c r="B2667" s="1">
        <f t="shared" si="41"/>
        <v>22</v>
      </c>
    </row>
    <row r="2668" spans="1:2">
      <c r="A2668" s="112">
        <v>40305</v>
      </c>
      <c r="B2668" s="1">
        <f t="shared" si="41"/>
        <v>23</v>
      </c>
    </row>
    <row r="2669" spans="1:2">
      <c r="A2669" s="112">
        <v>40306</v>
      </c>
      <c r="B2669" s="1">
        <f t="shared" si="41"/>
        <v>24</v>
      </c>
    </row>
    <row r="2670" spans="1:2">
      <c r="A2670" s="112">
        <v>40307</v>
      </c>
      <c r="B2670" s="1">
        <f t="shared" si="41"/>
        <v>25</v>
      </c>
    </row>
    <row r="2671" spans="1:2">
      <c r="A2671" s="112">
        <v>40308</v>
      </c>
      <c r="B2671" s="1">
        <f t="shared" si="41"/>
        <v>26</v>
      </c>
    </row>
    <row r="2672" spans="1:2">
      <c r="A2672" s="112">
        <v>40309</v>
      </c>
      <c r="B2672" s="1">
        <f t="shared" si="41"/>
        <v>27</v>
      </c>
    </row>
    <row r="2673" spans="1:2">
      <c r="A2673" s="112">
        <v>40310</v>
      </c>
      <c r="B2673" s="1">
        <f t="shared" si="41"/>
        <v>28</v>
      </c>
    </row>
    <row r="2674" spans="1:2">
      <c r="A2674" s="112">
        <v>40311</v>
      </c>
      <c r="B2674" s="1">
        <f t="shared" si="41"/>
        <v>29</v>
      </c>
    </row>
    <row r="2675" spans="1:2">
      <c r="A2675" s="112">
        <v>40312</v>
      </c>
      <c r="B2675" s="1">
        <f t="shared" si="41"/>
        <v>0</v>
      </c>
    </row>
    <row r="2676" spans="1:2">
      <c r="A2676" s="112">
        <v>40313</v>
      </c>
      <c r="B2676" s="1">
        <f t="shared" si="41"/>
        <v>1</v>
      </c>
    </row>
    <row r="2677" spans="1:2">
      <c r="A2677" s="112">
        <v>40314</v>
      </c>
      <c r="B2677" s="1">
        <f t="shared" si="41"/>
        <v>2</v>
      </c>
    </row>
    <row r="2678" spans="1:2">
      <c r="A2678" s="112">
        <v>40315</v>
      </c>
      <c r="B2678" s="1">
        <f t="shared" si="41"/>
        <v>3</v>
      </c>
    </row>
    <row r="2679" spans="1:2">
      <c r="A2679" s="112">
        <v>40316</v>
      </c>
      <c r="B2679" s="1">
        <f t="shared" si="41"/>
        <v>4</v>
      </c>
    </row>
    <row r="2680" spans="1:2">
      <c r="A2680" s="112">
        <v>40317</v>
      </c>
      <c r="B2680" s="1">
        <f t="shared" si="41"/>
        <v>5</v>
      </c>
    </row>
    <row r="2681" spans="1:2">
      <c r="A2681" s="112">
        <v>40318</v>
      </c>
      <c r="B2681" s="1">
        <f t="shared" si="41"/>
        <v>6</v>
      </c>
    </row>
    <row r="2682" spans="1:2">
      <c r="A2682" s="112">
        <v>40319</v>
      </c>
      <c r="B2682" s="1">
        <f t="shared" si="41"/>
        <v>7</v>
      </c>
    </row>
    <row r="2683" spans="1:2">
      <c r="A2683" s="112">
        <v>40320</v>
      </c>
      <c r="B2683" s="1">
        <f t="shared" si="41"/>
        <v>8</v>
      </c>
    </row>
    <row r="2684" spans="1:2">
      <c r="A2684" s="112">
        <v>40321</v>
      </c>
      <c r="B2684" s="1">
        <f t="shared" si="41"/>
        <v>9</v>
      </c>
    </row>
    <row r="2685" spans="1:2">
      <c r="A2685" s="112">
        <v>40322</v>
      </c>
      <c r="B2685" s="1">
        <f t="shared" si="41"/>
        <v>10</v>
      </c>
    </row>
    <row r="2686" spans="1:2">
      <c r="A2686" s="112">
        <v>40323</v>
      </c>
      <c r="B2686" s="1">
        <f t="shared" si="41"/>
        <v>11</v>
      </c>
    </row>
    <row r="2687" spans="1:2">
      <c r="A2687" s="112">
        <v>40324</v>
      </c>
      <c r="B2687" s="1">
        <f t="shared" si="41"/>
        <v>12</v>
      </c>
    </row>
    <row r="2688" spans="1:2">
      <c r="A2688" s="112">
        <v>40325</v>
      </c>
      <c r="B2688" s="1">
        <f t="shared" si="41"/>
        <v>13</v>
      </c>
    </row>
    <row r="2689" spans="1:2">
      <c r="A2689" s="112">
        <v>40326</v>
      </c>
      <c r="B2689" s="1">
        <f t="shared" si="41"/>
        <v>14</v>
      </c>
    </row>
    <row r="2690" spans="1:2">
      <c r="A2690" s="112">
        <v>40327</v>
      </c>
      <c r="B2690" s="1">
        <f t="shared" si="41"/>
        <v>15</v>
      </c>
    </row>
    <row r="2691" spans="1:2">
      <c r="A2691" s="112">
        <v>40328</v>
      </c>
      <c r="B2691" s="1">
        <f t="shared" ref="B2691:B2754" si="42">INT(MOD($G$2+A2691-$F$2,29.53))</f>
        <v>16</v>
      </c>
    </row>
    <row r="2692" spans="1:2">
      <c r="A2692" s="112">
        <v>40329</v>
      </c>
      <c r="B2692" s="1">
        <f t="shared" si="42"/>
        <v>17</v>
      </c>
    </row>
    <row r="2693" spans="1:2">
      <c r="A2693" s="112">
        <v>40330</v>
      </c>
      <c r="B2693" s="1">
        <f t="shared" si="42"/>
        <v>18</v>
      </c>
    </row>
    <row r="2694" spans="1:2">
      <c r="A2694" s="112">
        <v>40331</v>
      </c>
      <c r="B2694" s="1">
        <f t="shared" si="42"/>
        <v>19</v>
      </c>
    </row>
    <row r="2695" spans="1:2">
      <c r="A2695" s="112">
        <v>40332</v>
      </c>
      <c r="B2695" s="1">
        <f t="shared" si="42"/>
        <v>20</v>
      </c>
    </row>
    <row r="2696" spans="1:2">
      <c r="A2696" s="112">
        <v>40333</v>
      </c>
      <c r="B2696" s="1">
        <f t="shared" si="42"/>
        <v>21</v>
      </c>
    </row>
    <row r="2697" spans="1:2">
      <c r="A2697" s="112">
        <v>40334</v>
      </c>
      <c r="B2697" s="1">
        <f t="shared" si="42"/>
        <v>22</v>
      </c>
    </row>
    <row r="2698" spans="1:2">
      <c r="A2698" s="112">
        <v>40335</v>
      </c>
      <c r="B2698" s="1">
        <f t="shared" si="42"/>
        <v>23</v>
      </c>
    </row>
    <row r="2699" spans="1:2">
      <c r="A2699" s="112">
        <v>40336</v>
      </c>
      <c r="B2699" s="1">
        <f t="shared" si="42"/>
        <v>24</v>
      </c>
    </row>
    <row r="2700" spans="1:2">
      <c r="A2700" s="112">
        <v>40337</v>
      </c>
      <c r="B2700" s="1">
        <f t="shared" si="42"/>
        <v>25</v>
      </c>
    </row>
    <row r="2701" spans="1:2">
      <c r="A2701" s="112">
        <v>40338</v>
      </c>
      <c r="B2701" s="1">
        <f t="shared" si="42"/>
        <v>26</v>
      </c>
    </row>
    <row r="2702" spans="1:2">
      <c r="A2702" s="112">
        <v>40339</v>
      </c>
      <c r="B2702" s="1">
        <f t="shared" si="42"/>
        <v>27</v>
      </c>
    </row>
    <row r="2703" spans="1:2">
      <c r="A2703" s="112">
        <v>40340</v>
      </c>
      <c r="B2703" s="1">
        <f t="shared" si="42"/>
        <v>28</v>
      </c>
    </row>
    <row r="2704" spans="1:2">
      <c r="A2704" s="112">
        <v>40341</v>
      </c>
      <c r="B2704" s="1">
        <f t="shared" si="42"/>
        <v>0</v>
      </c>
    </row>
    <row r="2705" spans="1:2">
      <c r="A2705" s="112">
        <v>40342</v>
      </c>
      <c r="B2705" s="1">
        <f t="shared" si="42"/>
        <v>1</v>
      </c>
    </row>
    <row r="2706" spans="1:2">
      <c r="A2706" s="112">
        <v>40343</v>
      </c>
      <c r="B2706" s="1">
        <f t="shared" si="42"/>
        <v>2</v>
      </c>
    </row>
    <row r="2707" spans="1:2">
      <c r="A2707" s="112">
        <v>40344</v>
      </c>
      <c r="B2707" s="1">
        <f t="shared" si="42"/>
        <v>3</v>
      </c>
    </row>
    <row r="2708" spans="1:2">
      <c r="A2708" s="112">
        <v>40345</v>
      </c>
      <c r="B2708" s="1">
        <f t="shared" si="42"/>
        <v>4</v>
      </c>
    </row>
    <row r="2709" spans="1:2">
      <c r="A2709" s="112">
        <v>40346</v>
      </c>
      <c r="B2709" s="1">
        <f t="shared" si="42"/>
        <v>5</v>
      </c>
    </row>
    <row r="2710" spans="1:2">
      <c r="A2710" s="112">
        <v>40347</v>
      </c>
      <c r="B2710" s="1">
        <f t="shared" si="42"/>
        <v>6</v>
      </c>
    </row>
    <row r="2711" spans="1:2">
      <c r="A2711" s="112">
        <v>40348</v>
      </c>
      <c r="B2711" s="1">
        <f t="shared" si="42"/>
        <v>7</v>
      </c>
    </row>
    <row r="2712" spans="1:2">
      <c r="A2712" s="112">
        <v>40349</v>
      </c>
      <c r="B2712" s="1">
        <f t="shared" si="42"/>
        <v>8</v>
      </c>
    </row>
    <row r="2713" spans="1:2">
      <c r="A2713" s="112">
        <v>40350</v>
      </c>
      <c r="B2713" s="1">
        <f t="shared" si="42"/>
        <v>9</v>
      </c>
    </row>
    <row r="2714" spans="1:2">
      <c r="A2714" s="112">
        <v>40351</v>
      </c>
      <c r="B2714" s="1">
        <f t="shared" si="42"/>
        <v>10</v>
      </c>
    </row>
    <row r="2715" spans="1:2">
      <c r="A2715" s="112">
        <v>40352</v>
      </c>
      <c r="B2715" s="1">
        <f t="shared" si="42"/>
        <v>11</v>
      </c>
    </row>
    <row r="2716" spans="1:2">
      <c r="A2716" s="112">
        <v>40353</v>
      </c>
      <c r="B2716" s="1">
        <f t="shared" si="42"/>
        <v>12</v>
      </c>
    </row>
    <row r="2717" spans="1:2">
      <c r="A2717" s="112">
        <v>40354</v>
      </c>
      <c r="B2717" s="1">
        <f t="shared" si="42"/>
        <v>13</v>
      </c>
    </row>
    <row r="2718" spans="1:2">
      <c r="A2718" s="112">
        <v>40355</v>
      </c>
      <c r="B2718" s="1">
        <f t="shared" si="42"/>
        <v>14</v>
      </c>
    </row>
    <row r="2719" spans="1:2">
      <c r="A2719" s="112">
        <v>40356</v>
      </c>
      <c r="B2719" s="1">
        <f t="shared" si="42"/>
        <v>15</v>
      </c>
    </row>
    <row r="2720" spans="1:2">
      <c r="A2720" s="112">
        <v>40357</v>
      </c>
      <c r="B2720" s="1">
        <f t="shared" si="42"/>
        <v>16</v>
      </c>
    </row>
    <row r="2721" spans="1:2">
      <c r="A2721" s="112">
        <v>40358</v>
      </c>
      <c r="B2721" s="1">
        <f t="shared" si="42"/>
        <v>17</v>
      </c>
    </row>
    <row r="2722" spans="1:2">
      <c r="A2722" s="112">
        <v>40359</v>
      </c>
      <c r="B2722" s="1">
        <f t="shared" si="42"/>
        <v>18</v>
      </c>
    </row>
    <row r="2723" spans="1:2">
      <c r="A2723" s="112">
        <v>40360</v>
      </c>
      <c r="B2723" s="1">
        <f t="shared" si="42"/>
        <v>19</v>
      </c>
    </row>
    <row r="2724" spans="1:2">
      <c r="A2724" s="112">
        <v>40361</v>
      </c>
      <c r="B2724" s="1">
        <f t="shared" si="42"/>
        <v>20</v>
      </c>
    </row>
    <row r="2725" spans="1:2">
      <c r="A2725" s="112">
        <v>40362</v>
      </c>
      <c r="B2725" s="1">
        <f t="shared" si="42"/>
        <v>21</v>
      </c>
    </row>
    <row r="2726" spans="1:2">
      <c r="A2726" s="112">
        <v>40363</v>
      </c>
      <c r="B2726" s="1">
        <f t="shared" si="42"/>
        <v>22</v>
      </c>
    </row>
    <row r="2727" spans="1:2">
      <c r="A2727" s="112">
        <v>40364</v>
      </c>
      <c r="B2727" s="1">
        <f t="shared" si="42"/>
        <v>23</v>
      </c>
    </row>
    <row r="2728" spans="1:2">
      <c r="A2728" s="112">
        <v>40365</v>
      </c>
      <c r="B2728" s="1">
        <f t="shared" si="42"/>
        <v>24</v>
      </c>
    </row>
    <row r="2729" spans="1:2">
      <c r="A2729" s="112">
        <v>40366</v>
      </c>
      <c r="B2729" s="1">
        <f t="shared" si="42"/>
        <v>25</v>
      </c>
    </row>
    <row r="2730" spans="1:2">
      <c r="A2730" s="112">
        <v>40367</v>
      </c>
      <c r="B2730" s="1">
        <f t="shared" si="42"/>
        <v>26</v>
      </c>
    </row>
    <row r="2731" spans="1:2">
      <c r="A2731" s="112">
        <v>40368</v>
      </c>
      <c r="B2731" s="1">
        <f t="shared" si="42"/>
        <v>27</v>
      </c>
    </row>
    <row r="2732" spans="1:2">
      <c r="A2732" s="112">
        <v>40369</v>
      </c>
      <c r="B2732" s="1">
        <f t="shared" si="42"/>
        <v>28</v>
      </c>
    </row>
    <row r="2733" spans="1:2">
      <c r="A2733" s="112">
        <v>40370</v>
      </c>
      <c r="B2733" s="1">
        <f t="shared" si="42"/>
        <v>29</v>
      </c>
    </row>
    <row r="2734" spans="1:2">
      <c r="A2734" s="112">
        <v>40371</v>
      </c>
      <c r="B2734" s="1">
        <f t="shared" si="42"/>
        <v>0</v>
      </c>
    </row>
    <row r="2735" spans="1:2">
      <c r="A2735" s="112">
        <v>40372</v>
      </c>
      <c r="B2735" s="1">
        <f t="shared" si="42"/>
        <v>1</v>
      </c>
    </row>
    <row r="2736" spans="1:2">
      <c r="A2736" s="112">
        <v>40373</v>
      </c>
      <c r="B2736" s="1">
        <f t="shared" si="42"/>
        <v>2</v>
      </c>
    </row>
    <row r="2737" spans="1:2">
      <c r="A2737" s="112">
        <v>40374</v>
      </c>
      <c r="B2737" s="1">
        <f t="shared" si="42"/>
        <v>3</v>
      </c>
    </row>
    <row r="2738" spans="1:2">
      <c r="A2738" s="112">
        <v>40375</v>
      </c>
      <c r="B2738" s="1">
        <f t="shared" si="42"/>
        <v>4</v>
      </c>
    </row>
    <row r="2739" spans="1:2">
      <c r="A2739" s="112">
        <v>40376</v>
      </c>
      <c r="B2739" s="1">
        <f t="shared" si="42"/>
        <v>5</v>
      </c>
    </row>
    <row r="2740" spans="1:2">
      <c r="A2740" s="112">
        <v>40377</v>
      </c>
      <c r="B2740" s="1">
        <f t="shared" si="42"/>
        <v>6</v>
      </c>
    </row>
    <row r="2741" spans="1:2">
      <c r="A2741" s="112">
        <v>40378</v>
      </c>
      <c r="B2741" s="1">
        <f t="shared" si="42"/>
        <v>7</v>
      </c>
    </row>
    <row r="2742" spans="1:2">
      <c r="A2742" s="112">
        <v>40379</v>
      </c>
      <c r="B2742" s="1">
        <f t="shared" si="42"/>
        <v>8</v>
      </c>
    </row>
    <row r="2743" spans="1:2">
      <c r="A2743" s="112">
        <v>40380</v>
      </c>
      <c r="B2743" s="1">
        <f t="shared" si="42"/>
        <v>9</v>
      </c>
    </row>
    <row r="2744" spans="1:2">
      <c r="A2744" s="112">
        <v>40381</v>
      </c>
      <c r="B2744" s="1">
        <f t="shared" si="42"/>
        <v>10</v>
      </c>
    </row>
    <row r="2745" spans="1:2">
      <c r="A2745" s="112">
        <v>40382</v>
      </c>
      <c r="B2745" s="1">
        <f t="shared" si="42"/>
        <v>11</v>
      </c>
    </row>
    <row r="2746" spans="1:2">
      <c r="A2746" s="112">
        <v>40383</v>
      </c>
      <c r="B2746" s="1">
        <f t="shared" si="42"/>
        <v>12</v>
      </c>
    </row>
    <row r="2747" spans="1:2">
      <c r="A2747" s="112">
        <v>40384</v>
      </c>
      <c r="B2747" s="1">
        <f t="shared" si="42"/>
        <v>13</v>
      </c>
    </row>
    <row r="2748" spans="1:2">
      <c r="A2748" s="112">
        <v>40385</v>
      </c>
      <c r="B2748" s="1">
        <f t="shared" si="42"/>
        <v>14</v>
      </c>
    </row>
    <row r="2749" spans="1:2">
      <c r="A2749" s="112">
        <v>40386</v>
      </c>
      <c r="B2749" s="1">
        <f t="shared" si="42"/>
        <v>15</v>
      </c>
    </row>
    <row r="2750" spans="1:2">
      <c r="A2750" s="112">
        <v>40387</v>
      </c>
      <c r="B2750" s="1">
        <f t="shared" si="42"/>
        <v>16</v>
      </c>
    </row>
    <row r="2751" spans="1:2">
      <c r="A2751" s="112">
        <v>40388</v>
      </c>
      <c r="B2751" s="1">
        <f t="shared" si="42"/>
        <v>17</v>
      </c>
    </row>
    <row r="2752" spans="1:2">
      <c r="A2752" s="112">
        <v>40389</v>
      </c>
      <c r="B2752" s="1">
        <f t="shared" si="42"/>
        <v>18</v>
      </c>
    </row>
    <row r="2753" spans="1:2">
      <c r="A2753" s="112">
        <v>40390</v>
      </c>
      <c r="B2753" s="1">
        <f t="shared" si="42"/>
        <v>19</v>
      </c>
    </row>
    <row r="2754" spans="1:2">
      <c r="A2754" s="112">
        <v>40391</v>
      </c>
      <c r="B2754" s="1">
        <f t="shared" si="42"/>
        <v>20</v>
      </c>
    </row>
    <row r="2755" spans="1:2">
      <c r="A2755" s="112">
        <v>40392</v>
      </c>
      <c r="B2755" s="1">
        <f t="shared" ref="B2755:B2818" si="43">INT(MOD($G$2+A2755-$F$2,29.53))</f>
        <v>21</v>
      </c>
    </row>
    <row r="2756" spans="1:2">
      <c r="A2756" s="112">
        <v>40393</v>
      </c>
      <c r="B2756" s="1">
        <f t="shared" si="43"/>
        <v>22</v>
      </c>
    </row>
    <row r="2757" spans="1:2">
      <c r="A2757" s="112">
        <v>40394</v>
      </c>
      <c r="B2757" s="1">
        <f t="shared" si="43"/>
        <v>23</v>
      </c>
    </row>
    <row r="2758" spans="1:2">
      <c r="A2758" s="112">
        <v>40395</v>
      </c>
      <c r="B2758" s="1">
        <f t="shared" si="43"/>
        <v>24</v>
      </c>
    </row>
    <row r="2759" spans="1:2">
      <c r="A2759" s="112">
        <v>40396</v>
      </c>
      <c r="B2759" s="1">
        <f t="shared" si="43"/>
        <v>25</v>
      </c>
    </row>
    <row r="2760" spans="1:2">
      <c r="A2760" s="112">
        <v>40397</v>
      </c>
      <c r="B2760" s="1">
        <f t="shared" si="43"/>
        <v>26</v>
      </c>
    </row>
    <row r="2761" spans="1:2">
      <c r="A2761" s="112">
        <v>40398</v>
      </c>
      <c r="B2761" s="1">
        <f t="shared" si="43"/>
        <v>27</v>
      </c>
    </row>
    <row r="2762" spans="1:2">
      <c r="A2762" s="112">
        <v>40399</v>
      </c>
      <c r="B2762" s="1">
        <f t="shared" si="43"/>
        <v>28</v>
      </c>
    </row>
    <row r="2763" spans="1:2">
      <c r="A2763" s="112">
        <v>40400</v>
      </c>
      <c r="B2763" s="1">
        <f t="shared" si="43"/>
        <v>0</v>
      </c>
    </row>
    <row r="2764" spans="1:2">
      <c r="A2764" s="112">
        <v>40401</v>
      </c>
      <c r="B2764" s="1">
        <f t="shared" si="43"/>
        <v>1</v>
      </c>
    </row>
    <row r="2765" spans="1:2">
      <c r="A2765" s="112">
        <v>40402</v>
      </c>
      <c r="B2765" s="1">
        <f t="shared" si="43"/>
        <v>2</v>
      </c>
    </row>
    <row r="2766" spans="1:2">
      <c r="A2766" s="112">
        <v>40403</v>
      </c>
      <c r="B2766" s="1">
        <f t="shared" si="43"/>
        <v>3</v>
      </c>
    </row>
    <row r="2767" spans="1:2">
      <c r="A2767" s="112">
        <v>40404</v>
      </c>
      <c r="B2767" s="1">
        <f t="shared" si="43"/>
        <v>4</v>
      </c>
    </row>
    <row r="2768" spans="1:2">
      <c r="A2768" s="112">
        <v>40405</v>
      </c>
      <c r="B2768" s="1">
        <f t="shared" si="43"/>
        <v>5</v>
      </c>
    </row>
    <row r="2769" spans="1:2">
      <c r="A2769" s="112">
        <v>40406</v>
      </c>
      <c r="B2769" s="1">
        <f t="shared" si="43"/>
        <v>6</v>
      </c>
    </row>
    <row r="2770" spans="1:2">
      <c r="A2770" s="112">
        <v>40407</v>
      </c>
      <c r="B2770" s="1">
        <f t="shared" si="43"/>
        <v>7</v>
      </c>
    </row>
    <row r="2771" spans="1:2">
      <c r="A2771" s="112">
        <v>40408</v>
      </c>
      <c r="B2771" s="1">
        <f t="shared" si="43"/>
        <v>8</v>
      </c>
    </row>
    <row r="2772" spans="1:2">
      <c r="A2772" s="112">
        <v>40409</v>
      </c>
      <c r="B2772" s="1">
        <f t="shared" si="43"/>
        <v>9</v>
      </c>
    </row>
    <row r="2773" spans="1:2">
      <c r="A2773" s="112">
        <v>40410</v>
      </c>
      <c r="B2773" s="1">
        <f t="shared" si="43"/>
        <v>10</v>
      </c>
    </row>
    <row r="2774" spans="1:2">
      <c r="A2774" s="112">
        <v>40411</v>
      </c>
      <c r="B2774" s="1">
        <f t="shared" si="43"/>
        <v>11</v>
      </c>
    </row>
    <row r="2775" spans="1:2">
      <c r="A2775" s="112">
        <v>40412</v>
      </c>
      <c r="B2775" s="1">
        <f t="shared" si="43"/>
        <v>12</v>
      </c>
    </row>
    <row r="2776" spans="1:2">
      <c r="A2776" s="112">
        <v>40413</v>
      </c>
      <c r="B2776" s="1">
        <f t="shared" si="43"/>
        <v>13</v>
      </c>
    </row>
    <row r="2777" spans="1:2">
      <c r="A2777" s="112">
        <v>40414</v>
      </c>
      <c r="B2777" s="1">
        <f t="shared" si="43"/>
        <v>14</v>
      </c>
    </row>
    <row r="2778" spans="1:2">
      <c r="A2778" s="112">
        <v>40415</v>
      </c>
      <c r="B2778" s="1">
        <f t="shared" si="43"/>
        <v>15</v>
      </c>
    </row>
    <row r="2779" spans="1:2">
      <c r="A2779" s="112">
        <v>40416</v>
      </c>
      <c r="B2779" s="1">
        <f t="shared" si="43"/>
        <v>16</v>
      </c>
    </row>
    <row r="2780" spans="1:2">
      <c r="A2780" s="112">
        <v>40417</v>
      </c>
      <c r="B2780" s="1">
        <f t="shared" si="43"/>
        <v>17</v>
      </c>
    </row>
    <row r="2781" spans="1:2">
      <c r="A2781" s="112">
        <v>40418</v>
      </c>
      <c r="B2781" s="1">
        <f t="shared" si="43"/>
        <v>18</v>
      </c>
    </row>
    <row r="2782" spans="1:2">
      <c r="A2782" s="112">
        <v>40419</v>
      </c>
      <c r="B2782" s="1">
        <f t="shared" si="43"/>
        <v>19</v>
      </c>
    </row>
    <row r="2783" spans="1:2">
      <c r="A2783" s="112">
        <v>40420</v>
      </c>
      <c r="B2783" s="1">
        <f t="shared" si="43"/>
        <v>20</v>
      </c>
    </row>
    <row r="2784" spans="1:2">
      <c r="A2784" s="112">
        <v>40421</v>
      </c>
      <c r="B2784" s="1">
        <f t="shared" si="43"/>
        <v>21</v>
      </c>
    </row>
    <row r="2785" spans="1:2">
      <c r="A2785" s="112">
        <v>40422</v>
      </c>
      <c r="B2785" s="1">
        <f t="shared" si="43"/>
        <v>22</v>
      </c>
    </row>
    <row r="2786" spans="1:2">
      <c r="A2786" s="112">
        <v>40423</v>
      </c>
      <c r="B2786" s="1">
        <f t="shared" si="43"/>
        <v>23</v>
      </c>
    </row>
    <row r="2787" spans="1:2">
      <c r="A2787" s="112">
        <v>40424</v>
      </c>
      <c r="B2787" s="1">
        <f t="shared" si="43"/>
        <v>24</v>
      </c>
    </row>
    <row r="2788" spans="1:2">
      <c r="A2788" s="112">
        <v>40425</v>
      </c>
      <c r="B2788" s="1">
        <f t="shared" si="43"/>
        <v>25</v>
      </c>
    </row>
    <row r="2789" spans="1:2">
      <c r="A2789" s="112">
        <v>40426</v>
      </c>
      <c r="B2789" s="1">
        <f t="shared" si="43"/>
        <v>26</v>
      </c>
    </row>
    <row r="2790" spans="1:2">
      <c r="A2790" s="112">
        <v>40427</v>
      </c>
      <c r="B2790" s="1">
        <f t="shared" si="43"/>
        <v>27</v>
      </c>
    </row>
    <row r="2791" spans="1:2">
      <c r="A2791" s="112">
        <v>40428</v>
      </c>
      <c r="B2791" s="1">
        <f t="shared" si="43"/>
        <v>28</v>
      </c>
    </row>
    <row r="2792" spans="1:2">
      <c r="A2792" s="112">
        <v>40429</v>
      </c>
      <c r="B2792" s="1">
        <f t="shared" si="43"/>
        <v>29</v>
      </c>
    </row>
    <row r="2793" spans="1:2">
      <c r="A2793" s="112">
        <v>40430</v>
      </c>
      <c r="B2793" s="1">
        <f t="shared" si="43"/>
        <v>0</v>
      </c>
    </row>
    <row r="2794" spans="1:2">
      <c r="A2794" s="112">
        <v>40431</v>
      </c>
      <c r="B2794" s="1">
        <f t="shared" si="43"/>
        <v>1</v>
      </c>
    </row>
    <row r="2795" spans="1:2">
      <c r="A2795" s="112">
        <v>40432</v>
      </c>
      <c r="B2795" s="1">
        <f t="shared" si="43"/>
        <v>2</v>
      </c>
    </row>
    <row r="2796" spans="1:2">
      <c r="A2796" s="112">
        <v>40433</v>
      </c>
      <c r="B2796" s="1">
        <f t="shared" si="43"/>
        <v>3</v>
      </c>
    </row>
    <row r="2797" spans="1:2">
      <c r="A2797" s="112">
        <v>40434</v>
      </c>
      <c r="B2797" s="1">
        <f t="shared" si="43"/>
        <v>4</v>
      </c>
    </row>
    <row r="2798" spans="1:2">
      <c r="A2798" s="112">
        <v>40435</v>
      </c>
      <c r="B2798" s="1">
        <f t="shared" si="43"/>
        <v>5</v>
      </c>
    </row>
    <row r="2799" spans="1:2">
      <c r="A2799" s="112">
        <v>40436</v>
      </c>
      <c r="B2799" s="1">
        <f t="shared" si="43"/>
        <v>6</v>
      </c>
    </row>
    <row r="2800" spans="1:2">
      <c r="A2800" s="112">
        <v>40437</v>
      </c>
      <c r="B2800" s="1">
        <f t="shared" si="43"/>
        <v>7</v>
      </c>
    </row>
    <row r="2801" spans="1:2">
      <c r="A2801" s="112">
        <v>40438</v>
      </c>
      <c r="B2801" s="1">
        <f t="shared" si="43"/>
        <v>8</v>
      </c>
    </row>
    <row r="2802" spans="1:2">
      <c r="A2802" s="112">
        <v>40439</v>
      </c>
      <c r="B2802" s="1">
        <f t="shared" si="43"/>
        <v>9</v>
      </c>
    </row>
    <row r="2803" spans="1:2">
      <c r="A2803" s="112">
        <v>40440</v>
      </c>
      <c r="B2803" s="1">
        <f t="shared" si="43"/>
        <v>10</v>
      </c>
    </row>
    <row r="2804" spans="1:2">
      <c r="A2804" s="112">
        <v>40441</v>
      </c>
      <c r="B2804" s="1">
        <f t="shared" si="43"/>
        <v>11</v>
      </c>
    </row>
    <row r="2805" spans="1:2">
      <c r="A2805" s="112">
        <v>40442</v>
      </c>
      <c r="B2805" s="1">
        <f t="shared" si="43"/>
        <v>12</v>
      </c>
    </row>
    <row r="2806" spans="1:2">
      <c r="A2806" s="112">
        <v>40443</v>
      </c>
      <c r="B2806" s="1">
        <f t="shared" si="43"/>
        <v>13</v>
      </c>
    </row>
    <row r="2807" spans="1:2">
      <c r="A2807" s="112">
        <v>40444</v>
      </c>
      <c r="B2807" s="1">
        <f t="shared" si="43"/>
        <v>14</v>
      </c>
    </row>
    <row r="2808" spans="1:2">
      <c r="A2808" s="112">
        <v>40445</v>
      </c>
      <c r="B2808" s="1">
        <f t="shared" si="43"/>
        <v>15</v>
      </c>
    </row>
    <row r="2809" spans="1:2">
      <c r="A2809" s="112">
        <v>40446</v>
      </c>
      <c r="B2809" s="1">
        <f t="shared" si="43"/>
        <v>16</v>
      </c>
    </row>
    <row r="2810" spans="1:2">
      <c r="A2810" s="112">
        <v>40447</v>
      </c>
      <c r="B2810" s="1">
        <f t="shared" si="43"/>
        <v>17</v>
      </c>
    </row>
    <row r="2811" spans="1:2">
      <c r="A2811" s="112">
        <v>40448</v>
      </c>
      <c r="B2811" s="1">
        <f t="shared" si="43"/>
        <v>18</v>
      </c>
    </row>
    <row r="2812" spans="1:2">
      <c r="A2812" s="112">
        <v>40449</v>
      </c>
      <c r="B2812" s="1">
        <f t="shared" si="43"/>
        <v>19</v>
      </c>
    </row>
    <row r="2813" spans="1:2">
      <c r="A2813" s="112">
        <v>40450</v>
      </c>
      <c r="B2813" s="1">
        <f t="shared" si="43"/>
        <v>20</v>
      </c>
    </row>
    <row r="2814" spans="1:2">
      <c r="A2814" s="112">
        <v>40451</v>
      </c>
      <c r="B2814" s="1">
        <f t="shared" si="43"/>
        <v>21</v>
      </c>
    </row>
    <row r="2815" spans="1:2">
      <c r="A2815" s="112">
        <v>40452</v>
      </c>
      <c r="B2815" s="1">
        <f t="shared" si="43"/>
        <v>22</v>
      </c>
    </row>
    <row r="2816" spans="1:2">
      <c r="A2816" s="112">
        <v>40453</v>
      </c>
      <c r="B2816" s="1">
        <f t="shared" si="43"/>
        <v>23</v>
      </c>
    </row>
    <row r="2817" spans="1:2">
      <c r="A2817" s="112">
        <v>40454</v>
      </c>
      <c r="B2817" s="1">
        <f t="shared" si="43"/>
        <v>24</v>
      </c>
    </row>
    <row r="2818" spans="1:2">
      <c r="A2818" s="112">
        <v>40455</v>
      </c>
      <c r="B2818" s="1">
        <f t="shared" si="43"/>
        <v>25</v>
      </c>
    </row>
    <row r="2819" spans="1:2">
      <c r="A2819" s="112">
        <v>40456</v>
      </c>
      <c r="B2819" s="1">
        <f t="shared" ref="B2819:B2882" si="44">INT(MOD($G$2+A2819-$F$2,29.53))</f>
        <v>26</v>
      </c>
    </row>
    <row r="2820" spans="1:2">
      <c r="A2820" s="112">
        <v>40457</v>
      </c>
      <c r="B2820" s="1">
        <f t="shared" si="44"/>
        <v>27</v>
      </c>
    </row>
    <row r="2821" spans="1:2">
      <c r="A2821" s="112">
        <v>40458</v>
      </c>
      <c r="B2821" s="1">
        <f t="shared" si="44"/>
        <v>28</v>
      </c>
    </row>
    <row r="2822" spans="1:2">
      <c r="A2822" s="112">
        <v>40459</v>
      </c>
      <c r="B2822" s="1">
        <f t="shared" si="44"/>
        <v>0</v>
      </c>
    </row>
    <row r="2823" spans="1:2">
      <c r="A2823" s="112">
        <v>40460</v>
      </c>
      <c r="B2823" s="1">
        <f t="shared" si="44"/>
        <v>1</v>
      </c>
    </row>
    <row r="2824" spans="1:2">
      <c r="A2824" s="112">
        <v>40461</v>
      </c>
      <c r="B2824" s="1">
        <f t="shared" si="44"/>
        <v>2</v>
      </c>
    </row>
    <row r="2825" spans="1:2">
      <c r="A2825" s="112">
        <v>40462</v>
      </c>
      <c r="B2825" s="1">
        <f t="shared" si="44"/>
        <v>3</v>
      </c>
    </row>
    <row r="2826" spans="1:2">
      <c r="A2826" s="112">
        <v>40463</v>
      </c>
      <c r="B2826" s="1">
        <f t="shared" si="44"/>
        <v>4</v>
      </c>
    </row>
    <row r="2827" spans="1:2">
      <c r="A2827" s="112">
        <v>40464</v>
      </c>
      <c r="B2827" s="1">
        <f t="shared" si="44"/>
        <v>5</v>
      </c>
    </row>
    <row r="2828" spans="1:2">
      <c r="A2828" s="112">
        <v>40465</v>
      </c>
      <c r="B2828" s="1">
        <f t="shared" si="44"/>
        <v>6</v>
      </c>
    </row>
    <row r="2829" spans="1:2">
      <c r="A2829" s="112">
        <v>40466</v>
      </c>
      <c r="B2829" s="1">
        <f t="shared" si="44"/>
        <v>7</v>
      </c>
    </row>
    <row r="2830" spans="1:2">
      <c r="A2830" s="112">
        <v>40467</v>
      </c>
      <c r="B2830" s="1">
        <f t="shared" si="44"/>
        <v>8</v>
      </c>
    </row>
    <row r="2831" spans="1:2">
      <c r="A2831" s="112">
        <v>40468</v>
      </c>
      <c r="B2831" s="1">
        <f t="shared" si="44"/>
        <v>9</v>
      </c>
    </row>
    <row r="2832" spans="1:2">
      <c r="A2832" s="112">
        <v>40469</v>
      </c>
      <c r="B2832" s="1">
        <f t="shared" si="44"/>
        <v>10</v>
      </c>
    </row>
    <row r="2833" spans="1:2">
      <c r="A2833" s="112">
        <v>40470</v>
      </c>
      <c r="B2833" s="1">
        <f t="shared" si="44"/>
        <v>11</v>
      </c>
    </row>
    <row r="2834" spans="1:2">
      <c r="A2834" s="112">
        <v>40471</v>
      </c>
      <c r="B2834" s="1">
        <f t="shared" si="44"/>
        <v>12</v>
      </c>
    </row>
    <row r="2835" spans="1:2">
      <c r="A2835" s="112">
        <v>40472</v>
      </c>
      <c r="B2835" s="1">
        <f t="shared" si="44"/>
        <v>13</v>
      </c>
    </row>
    <row r="2836" spans="1:2">
      <c r="A2836" s="112">
        <v>40473</v>
      </c>
      <c r="B2836" s="1">
        <f t="shared" si="44"/>
        <v>14</v>
      </c>
    </row>
    <row r="2837" spans="1:2">
      <c r="A2837" s="112">
        <v>40474</v>
      </c>
      <c r="B2837" s="1">
        <f t="shared" si="44"/>
        <v>15</v>
      </c>
    </row>
    <row r="2838" spans="1:2">
      <c r="A2838" s="112">
        <v>40475</v>
      </c>
      <c r="B2838" s="1">
        <f t="shared" si="44"/>
        <v>16</v>
      </c>
    </row>
    <row r="2839" spans="1:2">
      <c r="A2839" s="112">
        <v>40476</v>
      </c>
      <c r="B2839" s="1">
        <f t="shared" si="44"/>
        <v>17</v>
      </c>
    </row>
    <row r="2840" spans="1:2">
      <c r="A2840" s="112">
        <v>40477</v>
      </c>
      <c r="B2840" s="1">
        <f t="shared" si="44"/>
        <v>18</v>
      </c>
    </row>
    <row r="2841" spans="1:2">
      <c r="A2841" s="112">
        <v>40478</v>
      </c>
      <c r="B2841" s="1">
        <f t="shared" si="44"/>
        <v>19</v>
      </c>
    </row>
    <row r="2842" spans="1:2">
      <c r="A2842" s="112">
        <v>40479</v>
      </c>
      <c r="B2842" s="1">
        <f t="shared" si="44"/>
        <v>20</v>
      </c>
    </row>
    <row r="2843" spans="1:2">
      <c r="A2843" s="112">
        <v>40480</v>
      </c>
      <c r="B2843" s="1">
        <f t="shared" si="44"/>
        <v>21</v>
      </c>
    </row>
    <row r="2844" spans="1:2">
      <c r="A2844" s="112">
        <v>40481</v>
      </c>
      <c r="B2844" s="1">
        <f t="shared" si="44"/>
        <v>22</v>
      </c>
    </row>
    <row r="2845" spans="1:2">
      <c r="A2845" s="112">
        <v>40482</v>
      </c>
      <c r="B2845" s="1">
        <f t="shared" si="44"/>
        <v>23</v>
      </c>
    </row>
    <row r="2846" spans="1:2">
      <c r="A2846" s="112">
        <v>40483</v>
      </c>
      <c r="B2846" s="1">
        <f t="shared" si="44"/>
        <v>24</v>
      </c>
    </row>
    <row r="2847" spans="1:2">
      <c r="A2847" s="112">
        <v>40484</v>
      </c>
      <c r="B2847" s="1">
        <f t="shared" si="44"/>
        <v>25</v>
      </c>
    </row>
    <row r="2848" spans="1:2">
      <c r="A2848" s="112">
        <v>40485</v>
      </c>
      <c r="B2848" s="1">
        <f t="shared" si="44"/>
        <v>26</v>
      </c>
    </row>
    <row r="2849" spans="1:2">
      <c r="A2849" s="112">
        <v>40486</v>
      </c>
      <c r="B2849" s="1">
        <f t="shared" si="44"/>
        <v>27</v>
      </c>
    </row>
    <row r="2850" spans="1:2">
      <c r="A2850" s="112">
        <v>40487</v>
      </c>
      <c r="B2850" s="1">
        <f t="shared" si="44"/>
        <v>28</v>
      </c>
    </row>
    <row r="2851" spans="1:2">
      <c r="A2851" s="112">
        <v>40488</v>
      </c>
      <c r="B2851" s="1">
        <f t="shared" si="44"/>
        <v>29</v>
      </c>
    </row>
    <row r="2852" spans="1:2">
      <c r="A2852" s="112">
        <v>40489</v>
      </c>
      <c r="B2852" s="1">
        <f t="shared" si="44"/>
        <v>0</v>
      </c>
    </row>
    <row r="2853" spans="1:2">
      <c r="A2853" s="112">
        <v>40490</v>
      </c>
      <c r="B2853" s="1">
        <f t="shared" si="44"/>
        <v>1</v>
      </c>
    </row>
    <row r="2854" spans="1:2">
      <c r="A2854" s="112">
        <v>40491</v>
      </c>
      <c r="B2854" s="1">
        <f t="shared" si="44"/>
        <v>2</v>
      </c>
    </row>
    <row r="2855" spans="1:2">
      <c r="A2855" s="112">
        <v>40492</v>
      </c>
      <c r="B2855" s="1">
        <f t="shared" si="44"/>
        <v>3</v>
      </c>
    </row>
    <row r="2856" spans="1:2">
      <c r="A2856" s="112">
        <v>40493</v>
      </c>
      <c r="B2856" s="1">
        <f t="shared" si="44"/>
        <v>4</v>
      </c>
    </row>
    <row r="2857" spans="1:2">
      <c r="A2857" s="112">
        <v>40494</v>
      </c>
      <c r="B2857" s="1">
        <f t="shared" si="44"/>
        <v>5</v>
      </c>
    </row>
    <row r="2858" spans="1:2">
      <c r="A2858" s="112">
        <v>40495</v>
      </c>
      <c r="B2858" s="1">
        <f t="shared" si="44"/>
        <v>6</v>
      </c>
    </row>
    <row r="2859" spans="1:2">
      <c r="A2859" s="112">
        <v>40496</v>
      </c>
      <c r="B2859" s="1">
        <f t="shared" si="44"/>
        <v>7</v>
      </c>
    </row>
    <row r="2860" spans="1:2">
      <c r="A2860" s="112">
        <v>40497</v>
      </c>
      <c r="B2860" s="1">
        <f t="shared" si="44"/>
        <v>8</v>
      </c>
    </row>
    <row r="2861" spans="1:2">
      <c r="A2861" s="112">
        <v>40498</v>
      </c>
      <c r="B2861" s="1">
        <f t="shared" si="44"/>
        <v>9</v>
      </c>
    </row>
    <row r="2862" spans="1:2">
      <c r="A2862" s="112">
        <v>40499</v>
      </c>
      <c r="B2862" s="1">
        <f t="shared" si="44"/>
        <v>10</v>
      </c>
    </row>
    <row r="2863" spans="1:2">
      <c r="A2863" s="112">
        <v>40500</v>
      </c>
      <c r="B2863" s="1">
        <f t="shared" si="44"/>
        <v>11</v>
      </c>
    </row>
    <row r="2864" spans="1:2">
      <c r="A2864" s="112">
        <v>40501</v>
      </c>
      <c r="B2864" s="1">
        <f t="shared" si="44"/>
        <v>12</v>
      </c>
    </row>
    <row r="2865" spans="1:2">
      <c r="A2865" s="112">
        <v>40502</v>
      </c>
      <c r="B2865" s="1">
        <f t="shared" si="44"/>
        <v>13</v>
      </c>
    </row>
    <row r="2866" spans="1:2">
      <c r="A2866" s="112">
        <v>40503</v>
      </c>
      <c r="B2866" s="1">
        <f t="shared" si="44"/>
        <v>14</v>
      </c>
    </row>
    <row r="2867" spans="1:2">
      <c r="A2867" s="112">
        <v>40504</v>
      </c>
      <c r="B2867" s="1">
        <f t="shared" si="44"/>
        <v>15</v>
      </c>
    </row>
    <row r="2868" spans="1:2">
      <c r="A2868" s="112">
        <v>40505</v>
      </c>
      <c r="B2868" s="1">
        <f t="shared" si="44"/>
        <v>16</v>
      </c>
    </row>
    <row r="2869" spans="1:2">
      <c r="A2869" s="112">
        <v>40506</v>
      </c>
      <c r="B2869" s="1">
        <f t="shared" si="44"/>
        <v>17</v>
      </c>
    </row>
    <row r="2870" spans="1:2">
      <c r="A2870" s="112">
        <v>40507</v>
      </c>
      <c r="B2870" s="1">
        <f t="shared" si="44"/>
        <v>18</v>
      </c>
    </row>
    <row r="2871" spans="1:2">
      <c r="A2871" s="112">
        <v>40508</v>
      </c>
      <c r="B2871" s="1">
        <f t="shared" si="44"/>
        <v>19</v>
      </c>
    </row>
    <row r="2872" spans="1:2">
      <c r="A2872" s="112">
        <v>40509</v>
      </c>
      <c r="B2872" s="1">
        <f t="shared" si="44"/>
        <v>20</v>
      </c>
    </row>
    <row r="2873" spans="1:2">
      <c r="A2873" s="112">
        <v>40510</v>
      </c>
      <c r="B2873" s="1">
        <f t="shared" si="44"/>
        <v>21</v>
      </c>
    </row>
    <row r="2874" spans="1:2">
      <c r="A2874" s="112">
        <v>40511</v>
      </c>
      <c r="B2874" s="1">
        <f t="shared" si="44"/>
        <v>22</v>
      </c>
    </row>
    <row r="2875" spans="1:2">
      <c r="A2875" s="112">
        <v>40512</v>
      </c>
      <c r="B2875" s="1">
        <f t="shared" si="44"/>
        <v>23</v>
      </c>
    </row>
    <row r="2876" spans="1:2">
      <c r="A2876" s="112">
        <v>40513</v>
      </c>
      <c r="B2876" s="1">
        <f t="shared" si="44"/>
        <v>24</v>
      </c>
    </row>
    <row r="2877" spans="1:2">
      <c r="A2877" s="112">
        <v>40514</v>
      </c>
      <c r="B2877" s="1">
        <f t="shared" si="44"/>
        <v>25</v>
      </c>
    </row>
    <row r="2878" spans="1:2">
      <c r="A2878" s="112">
        <v>40515</v>
      </c>
      <c r="B2878" s="1">
        <f t="shared" si="44"/>
        <v>26</v>
      </c>
    </row>
    <row r="2879" spans="1:2">
      <c r="A2879" s="112">
        <v>40516</v>
      </c>
      <c r="B2879" s="1">
        <f t="shared" si="44"/>
        <v>27</v>
      </c>
    </row>
    <row r="2880" spans="1:2">
      <c r="A2880" s="112">
        <v>40517</v>
      </c>
      <c r="B2880" s="1">
        <f t="shared" si="44"/>
        <v>28</v>
      </c>
    </row>
    <row r="2881" spans="1:2">
      <c r="A2881" s="112">
        <v>40518</v>
      </c>
      <c r="B2881" s="1">
        <f t="shared" si="44"/>
        <v>0</v>
      </c>
    </row>
    <row r="2882" spans="1:2">
      <c r="A2882" s="112">
        <v>40519</v>
      </c>
      <c r="B2882" s="1">
        <f t="shared" si="44"/>
        <v>1</v>
      </c>
    </row>
    <row r="2883" spans="1:2">
      <c r="A2883" s="112">
        <v>40520</v>
      </c>
      <c r="B2883" s="1">
        <f t="shared" ref="B2883:B2946" si="45">INT(MOD($G$2+A2883-$F$2,29.53))</f>
        <v>2</v>
      </c>
    </row>
    <row r="2884" spans="1:2">
      <c r="A2884" s="112">
        <v>40521</v>
      </c>
      <c r="B2884" s="1">
        <f t="shared" si="45"/>
        <v>3</v>
      </c>
    </row>
    <row r="2885" spans="1:2">
      <c r="A2885" s="112">
        <v>40522</v>
      </c>
      <c r="B2885" s="1">
        <f t="shared" si="45"/>
        <v>4</v>
      </c>
    </row>
    <row r="2886" spans="1:2">
      <c r="A2886" s="112">
        <v>40523</v>
      </c>
      <c r="B2886" s="1">
        <f t="shared" si="45"/>
        <v>5</v>
      </c>
    </row>
    <row r="2887" spans="1:2">
      <c r="A2887" s="112">
        <v>40524</v>
      </c>
      <c r="B2887" s="1">
        <f t="shared" si="45"/>
        <v>6</v>
      </c>
    </row>
    <row r="2888" spans="1:2">
      <c r="A2888" s="112">
        <v>40525</v>
      </c>
      <c r="B2888" s="1">
        <f t="shared" si="45"/>
        <v>7</v>
      </c>
    </row>
    <row r="2889" spans="1:2">
      <c r="A2889" s="112">
        <v>40526</v>
      </c>
      <c r="B2889" s="1">
        <f t="shared" si="45"/>
        <v>8</v>
      </c>
    </row>
    <row r="2890" spans="1:2">
      <c r="A2890" s="112">
        <v>40527</v>
      </c>
      <c r="B2890" s="1">
        <f t="shared" si="45"/>
        <v>9</v>
      </c>
    </row>
    <row r="2891" spans="1:2">
      <c r="A2891" s="112">
        <v>40528</v>
      </c>
      <c r="B2891" s="1">
        <f t="shared" si="45"/>
        <v>10</v>
      </c>
    </row>
    <row r="2892" spans="1:2">
      <c r="A2892" s="112">
        <v>40529</v>
      </c>
      <c r="B2892" s="1">
        <f t="shared" si="45"/>
        <v>11</v>
      </c>
    </row>
    <row r="2893" spans="1:2">
      <c r="A2893" s="112">
        <v>40530</v>
      </c>
      <c r="B2893" s="1">
        <f t="shared" si="45"/>
        <v>12</v>
      </c>
    </row>
    <row r="2894" spans="1:2">
      <c r="A2894" s="112">
        <v>40531</v>
      </c>
      <c r="B2894" s="1">
        <f t="shared" si="45"/>
        <v>13</v>
      </c>
    </row>
    <row r="2895" spans="1:2">
      <c r="A2895" s="112">
        <v>40532</v>
      </c>
      <c r="B2895" s="1">
        <f t="shared" si="45"/>
        <v>14</v>
      </c>
    </row>
    <row r="2896" spans="1:2">
      <c r="A2896" s="112">
        <v>40533</v>
      </c>
      <c r="B2896" s="1">
        <f t="shared" si="45"/>
        <v>15</v>
      </c>
    </row>
    <row r="2897" spans="1:2">
      <c r="A2897" s="112">
        <v>40534</v>
      </c>
      <c r="B2897" s="1">
        <f t="shared" si="45"/>
        <v>16</v>
      </c>
    </row>
    <row r="2898" spans="1:2">
      <c r="A2898" s="112">
        <v>40535</v>
      </c>
      <c r="B2898" s="1">
        <f t="shared" si="45"/>
        <v>17</v>
      </c>
    </row>
    <row r="2899" spans="1:2">
      <c r="A2899" s="112">
        <v>40536</v>
      </c>
      <c r="B2899" s="1">
        <f t="shared" si="45"/>
        <v>18</v>
      </c>
    </row>
    <row r="2900" spans="1:2">
      <c r="A2900" s="112">
        <v>40537</v>
      </c>
      <c r="B2900" s="1">
        <f t="shared" si="45"/>
        <v>19</v>
      </c>
    </row>
    <row r="2901" spans="1:2">
      <c r="A2901" s="112">
        <v>40538</v>
      </c>
      <c r="B2901" s="1">
        <f t="shared" si="45"/>
        <v>20</v>
      </c>
    </row>
    <row r="2902" spans="1:2">
      <c r="A2902" s="112">
        <v>40539</v>
      </c>
      <c r="B2902" s="1">
        <f t="shared" si="45"/>
        <v>21</v>
      </c>
    </row>
    <row r="2903" spans="1:2">
      <c r="A2903" s="112">
        <v>40540</v>
      </c>
      <c r="B2903" s="1">
        <f t="shared" si="45"/>
        <v>22</v>
      </c>
    </row>
    <row r="2904" spans="1:2">
      <c r="A2904" s="112">
        <v>40541</v>
      </c>
      <c r="B2904" s="1">
        <f t="shared" si="45"/>
        <v>23</v>
      </c>
    </row>
    <row r="2905" spans="1:2">
      <c r="A2905" s="112">
        <v>40542</v>
      </c>
      <c r="B2905" s="1">
        <f t="shared" si="45"/>
        <v>24</v>
      </c>
    </row>
    <row r="2906" spans="1:2">
      <c r="A2906" s="112">
        <v>40543</v>
      </c>
      <c r="B2906" s="1">
        <f t="shared" si="45"/>
        <v>25</v>
      </c>
    </row>
    <row r="2907" spans="1:2">
      <c r="A2907" s="112">
        <v>40544</v>
      </c>
      <c r="B2907" s="1">
        <f t="shared" si="45"/>
        <v>26</v>
      </c>
    </row>
    <row r="2908" spans="1:2">
      <c r="A2908" s="112">
        <v>40545</v>
      </c>
      <c r="B2908" s="1">
        <f t="shared" si="45"/>
        <v>27</v>
      </c>
    </row>
    <row r="2909" spans="1:2">
      <c r="A2909" s="112">
        <v>40546</v>
      </c>
      <c r="B2909" s="1">
        <f t="shared" si="45"/>
        <v>28</v>
      </c>
    </row>
    <row r="2910" spans="1:2">
      <c r="A2910" s="112">
        <v>40547</v>
      </c>
      <c r="B2910" s="1">
        <f t="shared" si="45"/>
        <v>29</v>
      </c>
    </row>
    <row r="2911" spans="1:2">
      <c r="A2911" s="112">
        <v>40548</v>
      </c>
      <c r="B2911" s="1">
        <f t="shared" si="45"/>
        <v>0</v>
      </c>
    </row>
    <row r="2912" spans="1:2">
      <c r="A2912" s="112">
        <v>40549</v>
      </c>
      <c r="B2912" s="1">
        <f t="shared" si="45"/>
        <v>1</v>
      </c>
    </row>
    <row r="2913" spans="1:2">
      <c r="A2913" s="112">
        <v>40550</v>
      </c>
      <c r="B2913" s="1">
        <f t="shared" si="45"/>
        <v>2</v>
      </c>
    </row>
    <row r="2914" spans="1:2">
      <c r="A2914" s="112">
        <v>40551</v>
      </c>
      <c r="B2914" s="1">
        <f t="shared" si="45"/>
        <v>3</v>
      </c>
    </row>
    <row r="2915" spans="1:2">
      <c r="A2915" s="112">
        <v>40552</v>
      </c>
      <c r="B2915" s="1">
        <f t="shared" si="45"/>
        <v>4</v>
      </c>
    </row>
    <row r="2916" spans="1:2">
      <c r="A2916" s="112">
        <v>40553</v>
      </c>
      <c r="B2916" s="1">
        <f t="shared" si="45"/>
        <v>5</v>
      </c>
    </row>
    <row r="2917" spans="1:2">
      <c r="A2917" s="112">
        <v>40554</v>
      </c>
      <c r="B2917" s="1">
        <f t="shared" si="45"/>
        <v>6</v>
      </c>
    </row>
    <row r="2918" spans="1:2">
      <c r="A2918" s="112">
        <v>40555</v>
      </c>
      <c r="B2918" s="1">
        <f t="shared" si="45"/>
        <v>7</v>
      </c>
    </row>
    <row r="2919" spans="1:2">
      <c r="A2919" s="112">
        <v>40556</v>
      </c>
      <c r="B2919" s="1">
        <f t="shared" si="45"/>
        <v>8</v>
      </c>
    </row>
    <row r="2920" spans="1:2">
      <c r="A2920" s="112">
        <v>40557</v>
      </c>
      <c r="B2920" s="1">
        <f t="shared" si="45"/>
        <v>9</v>
      </c>
    </row>
    <row r="2921" spans="1:2">
      <c r="A2921" s="112">
        <v>40558</v>
      </c>
      <c r="B2921" s="1">
        <f t="shared" si="45"/>
        <v>10</v>
      </c>
    </row>
    <row r="2922" spans="1:2">
      <c r="A2922" s="112">
        <v>40559</v>
      </c>
      <c r="B2922" s="1">
        <f t="shared" si="45"/>
        <v>11</v>
      </c>
    </row>
    <row r="2923" spans="1:2">
      <c r="A2923" s="112">
        <v>40560</v>
      </c>
      <c r="B2923" s="1">
        <f t="shared" si="45"/>
        <v>12</v>
      </c>
    </row>
    <row r="2924" spans="1:2">
      <c r="A2924" s="112">
        <v>40561</v>
      </c>
      <c r="B2924" s="1">
        <f t="shared" si="45"/>
        <v>13</v>
      </c>
    </row>
    <row r="2925" spans="1:2">
      <c r="A2925" s="112">
        <v>40562</v>
      </c>
      <c r="B2925" s="1">
        <f t="shared" si="45"/>
        <v>14</v>
      </c>
    </row>
    <row r="2926" spans="1:2">
      <c r="A2926" s="112">
        <v>40563</v>
      </c>
      <c r="B2926" s="1">
        <f t="shared" si="45"/>
        <v>15</v>
      </c>
    </row>
    <row r="2927" spans="1:2">
      <c r="A2927" s="112">
        <v>40564</v>
      </c>
      <c r="B2927" s="1">
        <f t="shared" si="45"/>
        <v>16</v>
      </c>
    </row>
    <row r="2928" spans="1:2">
      <c r="A2928" s="112">
        <v>40565</v>
      </c>
      <c r="B2928" s="1">
        <f t="shared" si="45"/>
        <v>17</v>
      </c>
    </row>
    <row r="2929" spans="1:2">
      <c r="A2929" s="112">
        <v>40566</v>
      </c>
      <c r="B2929" s="1">
        <f t="shared" si="45"/>
        <v>18</v>
      </c>
    </row>
    <row r="2930" spans="1:2">
      <c r="A2930" s="112">
        <v>40567</v>
      </c>
      <c r="B2930" s="1">
        <f t="shared" si="45"/>
        <v>19</v>
      </c>
    </row>
    <row r="2931" spans="1:2">
      <c r="A2931" s="112">
        <v>40568</v>
      </c>
      <c r="B2931" s="1">
        <f t="shared" si="45"/>
        <v>20</v>
      </c>
    </row>
    <row r="2932" spans="1:2">
      <c r="A2932" s="112">
        <v>40569</v>
      </c>
      <c r="B2932" s="1">
        <f t="shared" si="45"/>
        <v>21</v>
      </c>
    </row>
    <row r="2933" spans="1:2">
      <c r="A2933" s="112">
        <v>40570</v>
      </c>
      <c r="B2933" s="1">
        <f t="shared" si="45"/>
        <v>22</v>
      </c>
    </row>
    <row r="2934" spans="1:2">
      <c r="A2934" s="112">
        <v>40571</v>
      </c>
      <c r="B2934" s="1">
        <f t="shared" si="45"/>
        <v>23</v>
      </c>
    </row>
    <row r="2935" spans="1:2">
      <c r="A2935" s="112">
        <v>40572</v>
      </c>
      <c r="B2935" s="1">
        <f t="shared" si="45"/>
        <v>24</v>
      </c>
    </row>
    <row r="2936" spans="1:2">
      <c r="A2936" s="112">
        <v>40573</v>
      </c>
      <c r="B2936" s="1">
        <f t="shared" si="45"/>
        <v>25</v>
      </c>
    </row>
    <row r="2937" spans="1:2">
      <c r="A2937" s="112">
        <v>40574</v>
      </c>
      <c r="B2937" s="1">
        <f t="shared" si="45"/>
        <v>26</v>
      </c>
    </row>
    <row r="2938" spans="1:2">
      <c r="A2938" s="112">
        <v>40575</v>
      </c>
      <c r="B2938" s="1">
        <f t="shared" si="45"/>
        <v>27</v>
      </c>
    </row>
    <row r="2939" spans="1:2">
      <c r="A2939" s="112">
        <v>40576</v>
      </c>
      <c r="B2939" s="1">
        <f t="shared" si="45"/>
        <v>28</v>
      </c>
    </row>
    <row r="2940" spans="1:2">
      <c r="A2940" s="112">
        <v>40577</v>
      </c>
      <c r="B2940" s="1">
        <f t="shared" si="45"/>
        <v>0</v>
      </c>
    </row>
    <row r="2941" spans="1:2">
      <c r="A2941" s="112">
        <v>40578</v>
      </c>
      <c r="B2941" s="1">
        <f t="shared" si="45"/>
        <v>1</v>
      </c>
    </row>
    <row r="2942" spans="1:2">
      <c r="A2942" s="112">
        <v>40579</v>
      </c>
      <c r="B2942" s="1">
        <f t="shared" si="45"/>
        <v>2</v>
      </c>
    </row>
    <row r="2943" spans="1:2">
      <c r="A2943" s="112">
        <v>40580</v>
      </c>
      <c r="B2943" s="1">
        <f t="shared" si="45"/>
        <v>3</v>
      </c>
    </row>
    <row r="2944" spans="1:2">
      <c r="A2944" s="112">
        <v>40581</v>
      </c>
      <c r="B2944" s="1">
        <f t="shared" si="45"/>
        <v>4</v>
      </c>
    </row>
    <row r="2945" spans="1:2">
      <c r="A2945" s="112">
        <v>40582</v>
      </c>
      <c r="B2945" s="1">
        <f t="shared" si="45"/>
        <v>5</v>
      </c>
    </row>
    <row r="2946" spans="1:2">
      <c r="A2946" s="112">
        <v>40583</v>
      </c>
      <c r="B2946" s="1">
        <f t="shared" si="45"/>
        <v>6</v>
      </c>
    </row>
    <row r="2947" spans="1:2">
      <c r="A2947" s="112">
        <v>40584</v>
      </c>
      <c r="B2947" s="1">
        <f t="shared" ref="B2947:B3010" si="46">INT(MOD($G$2+A2947-$F$2,29.53))</f>
        <v>7</v>
      </c>
    </row>
    <row r="2948" spans="1:2">
      <c r="A2948" s="112">
        <v>40585</v>
      </c>
      <c r="B2948" s="1">
        <f t="shared" si="46"/>
        <v>8</v>
      </c>
    </row>
    <row r="2949" spans="1:2">
      <c r="A2949" s="112">
        <v>40586</v>
      </c>
      <c r="B2949" s="1">
        <f t="shared" si="46"/>
        <v>9</v>
      </c>
    </row>
    <row r="2950" spans="1:2">
      <c r="A2950" s="112">
        <v>40587</v>
      </c>
      <c r="B2950" s="1">
        <f t="shared" si="46"/>
        <v>10</v>
      </c>
    </row>
    <row r="2951" spans="1:2">
      <c r="A2951" s="112">
        <v>40588</v>
      </c>
      <c r="B2951" s="1">
        <f t="shared" si="46"/>
        <v>11</v>
      </c>
    </row>
    <row r="2952" spans="1:2">
      <c r="A2952" s="112">
        <v>40589</v>
      </c>
      <c r="B2952" s="1">
        <f t="shared" si="46"/>
        <v>12</v>
      </c>
    </row>
    <row r="2953" spans="1:2">
      <c r="A2953" s="112">
        <v>40590</v>
      </c>
      <c r="B2953" s="1">
        <f t="shared" si="46"/>
        <v>13</v>
      </c>
    </row>
    <row r="2954" spans="1:2">
      <c r="A2954" s="112">
        <v>40591</v>
      </c>
      <c r="B2954" s="1">
        <f t="shared" si="46"/>
        <v>14</v>
      </c>
    </row>
    <row r="2955" spans="1:2">
      <c r="A2955" s="112">
        <v>40592</v>
      </c>
      <c r="B2955" s="1">
        <f t="shared" si="46"/>
        <v>15</v>
      </c>
    </row>
    <row r="2956" spans="1:2">
      <c r="A2956" s="112">
        <v>40593</v>
      </c>
      <c r="B2956" s="1">
        <f t="shared" si="46"/>
        <v>16</v>
      </c>
    </row>
    <row r="2957" spans="1:2">
      <c r="A2957" s="112">
        <v>40594</v>
      </c>
      <c r="B2957" s="1">
        <f t="shared" si="46"/>
        <v>17</v>
      </c>
    </row>
    <row r="2958" spans="1:2">
      <c r="A2958" s="112">
        <v>40595</v>
      </c>
      <c r="B2958" s="1">
        <f t="shared" si="46"/>
        <v>18</v>
      </c>
    </row>
    <row r="2959" spans="1:2">
      <c r="A2959" s="112">
        <v>40596</v>
      </c>
      <c r="B2959" s="1">
        <f t="shared" si="46"/>
        <v>19</v>
      </c>
    </row>
    <row r="2960" spans="1:2">
      <c r="A2960" s="112">
        <v>40597</v>
      </c>
      <c r="B2960" s="1">
        <f t="shared" si="46"/>
        <v>20</v>
      </c>
    </row>
    <row r="2961" spans="1:2">
      <c r="A2961" s="112">
        <v>40598</v>
      </c>
      <c r="B2961" s="1">
        <f t="shared" si="46"/>
        <v>21</v>
      </c>
    </row>
    <row r="2962" spans="1:2">
      <c r="A2962" s="112">
        <v>40599</v>
      </c>
      <c r="B2962" s="1">
        <f t="shared" si="46"/>
        <v>22</v>
      </c>
    </row>
    <row r="2963" spans="1:2">
      <c r="A2963" s="112">
        <v>40600</v>
      </c>
      <c r="B2963" s="1">
        <f t="shared" si="46"/>
        <v>23</v>
      </c>
    </row>
    <row r="2964" spans="1:2">
      <c r="A2964" s="112">
        <v>40601</v>
      </c>
      <c r="B2964" s="1">
        <f t="shared" si="46"/>
        <v>24</v>
      </c>
    </row>
    <row r="2965" spans="1:2">
      <c r="A2965" s="112">
        <v>40602</v>
      </c>
      <c r="B2965" s="1">
        <f t="shared" si="46"/>
        <v>25</v>
      </c>
    </row>
    <row r="2966" spans="1:2">
      <c r="A2966" s="112">
        <v>40603</v>
      </c>
      <c r="B2966" s="1">
        <f t="shared" si="46"/>
        <v>26</v>
      </c>
    </row>
    <row r="2967" spans="1:2">
      <c r="A2967" s="112">
        <v>40604</v>
      </c>
      <c r="B2967" s="1">
        <f t="shared" si="46"/>
        <v>27</v>
      </c>
    </row>
    <row r="2968" spans="1:2">
      <c r="A2968" s="112">
        <v>40605</v>
      </c>
      <c r="B2968" s="1">
        <f t="shared" si="46"/>
        <v>28</v>
      </c>
    </row>
    <row r="2969" spans="1:2">
      <c r="A2969" s="112">
        <v>40606</v>
      </c>
      <c r="B2969" s="1">
        <f t="shared" si="46"/>
        <v>29</v>
      </c>
    </row>
    <row r="2970" spans="1:2">
      <c r="A2970" s="112">
        <v>40607</v>
      </c>
      <c r="B2970" s="1">
        <f t="shared" si="46"/>
        <v>0</v>
      </c>
    </row>
    <row r="2971" spans="1:2">
      <c r="A2971" s="112">
        <v>40608</v>
      </c>
      <c r="B2971" s="1">
        <f t="shared" si="46"/>
        <v>1</v>
      </c>
    </row>
    <row r="2972" spans="1:2">
      <c r="A2972" s="112">
        <v>40609</v>
      </c>
      <c r="B2972" s="1">
        <f t="shared" si="46"/>
        <v>2</v>
      </c>
    </row>
    <row r="2973" spans="1:2">
      <c r="A2973" s="112">
        <v>40610</v>
      </c>
      <c r="B2973" s="1">
        <f t="shared" si="46"/>
        <v>3</v>
      </c>
    </row>
    <row r="2974" spans="1:2">
      <c r="A2974" s="112">
        <v>40611</v>
      </c>
      <c r="B2974" s="1">
        <f t="shared" si="46"/>
        <v>4</v>
      </c>
    </row>
    <row r="2975" spans="1:2">
      <c r="A2975" s="112">
        <v>40612</v>
      </c>
      <c r="B2975" s="1">
        <f t="shared" si="46"/>
        <v>5</v>
      </c>
    </row>
    <row r="2976" spans="1:2">
      <c r="A2976" s="112">
        <v>40613</v>
      </c>
      <c r="B2976" s="1">
        <f t="shared" si="46"/>
        <v>6</v>
      </c>
    </row>
    <row r="2977" spans="1:2">
      <c r="A2977" s="112">
        <v>40614</v>
      </c>
      <c r="B2977" s="1">
        <f t="shared" si="46"/>
        <v>7</v>
      </c>
    </row>
    <row r="2978" spans="1:2">
      <c r="A2978" s="112">
        <v>40615</v>
      </c>
      <c r="B2978" s="1">
        <f t="shared" si="46"/>
        <v>8</v>
      </c>
    </row>
    <row r="2979" spans="1:2">
      <c r="A2979" s="112">
        <v>40616</v>
      </c>
      <c r="B2979" s="1">
        <f t="shared" si="46"/>
        <v>9</v>
      </c>
    </row>
    <row r="2980" spans="1:2">
      <c r="A2980" s="112">
        <v>40617</v>
      </c>
      <c r="B2980" s="1">
        <f t="shared" si="46"/>
        <v>10</v>
      </c>
    </row>
    <row r="2981" spans="1:2">
      <c r="A2981" s="112">
        <v>40618</v>
      </c>
      <c r="B2981" s="1">
        <f t="shared" si="46"/>
        <v>11</v>
      </c>
    </row>
    <row r="2982" spans="1:2">
      <c r="A2982" s="112">
        <v>40619</v>
      </c>
      <c r="B2982" s="1">
        <f t="shared" si="46"/>
        <v>12</v>
      </c>
    </row>
    <row r="2983" spans="1:2">
      <c r="A2983" s="112">
        <v>40620</v>
      </c>
      <c r="B2983" s="1">
        <f t="shared" si="46"/>
        <v>13</v>
      </c>
    </row>
    <row r="2984" spans="1:2">
      <c r="A2984" s="112">
        <v>40621</v>
      </c>
      <c r="B2984" s="1">
        <f t="shared" si="46"/>
        <v>14</v>
      </c>
    </row>
    <row r="2985" spans="1:2">
      <c r="A2985" s="112">
        <v>40622</v>
      </c>
      <c r="B2985" s="1">
        <f t="shared" si="46"/>
        <v>15</v>
      </c>
    </row>
    <row r="2986" spans="1:2">
      <c r="A2986" s="112">
        <v>40623</v>
      </c>
      <c r="B2986" s="1">
        <f t="shared" si="46"/>
        <v>16</v>
      </c>
    </row>
    <row r="2987" spans="1:2">
      <c r="A2987" s="112">
        <v>40624</v>
      </c>
      <c r="B2987" s="1">
        <f t="shared" si="46"/>
        <v>17</v>
      </c>
    </row>
    <row r="2988" spans="1:2">
      <c r="A2988" s="112">
        <v>40625</v>
      </c>
      <c r="B2988" s="1">
        <f t="shared" si="46"/>
        <v>18</v>
      </c>
    </row>
    <row r="2989" spans="1:2">
      <c r="A2989" s="112">
        <v>40626</v>
      </c>
      <c r="B2989" s="1">
        <f t="shared" si="46"/>
        <v>19</v>
      </c>
    </row>
    <row r="2990" spans="1:2">
      <c r="A2990" s="112">
        <v>40627</v>
      </c>
      <c r="B2990" s="1">
        <f t="shared" si="46"/>
        <v>20</v>
      </c>
    </row>
    <row r="2991" spans="1:2">
      <c r="A2991" s="112">
        <v>40628</v>
      </c>
      <c r="B2991" s="1">
        <f t="shared" si="46"/>
        <v>21</v>
      </c>
    </row>
    <row r="2992" spans="1:2">
      <c r="A2992" s="112">
        <v>40629</v>
      </c>
      <c r="B2992" s="1">
        <f t="shared" si="46"/>
        <v>22</v>
      </c>
    </row>
    <row r="2993" spans="1:2">
      <c r="A2993" s="112">
        <v>40630</v>
      </c>
      <c r="B2993" s="1">
        <f t="shared" si="46"/>
        <v>23</v>
      </c>
    </row>
    <row r="2994" spans="1:2">
      <c r="A2994" s="112">
        <v>40631</v>
      </c>
      <c r="B2994" s="1">
        <f t="shared" si="46"/>
        <v>24</v>
      </c>
    </row>
    <row r="2995" spans="1:2">
      <c r="A2995" s="112">
        <v>40632</v>
      </c>
      <c r="B2995" s="1">
        <f t="shared" si="46"/>
        <v>25</v>
      </c>
    </row>
    <row r="2996" spans="1:2">
      <c r="A2996" s="112">
        <v>40633</v>
      </c>
      <c r="B2996" s="1">
        <f t="shared" si="46"/>
        <v>26</v>
      </c>
    </row>
    <row r="2997" spans="1:2">
      <c r="A2997" s="112">
        <v>40634</v>
      </c>
      <c r="B2997" s="1">
        <f t="shared" si="46"/>
        <v>27</v>
      </c>
    </row>
    <row r="2998" spans="1:2">
      <c r="A2998" s="112">
        <v>40635</v>
      </c>
      <c r="B2998" s="1">
        <f t="shared" si="46"/>
        <v>28</v>
      </c>
    </row>
    <row r="2999" spans="1:2">
      <c r="A2999" s="112">
        <v>40636</v>
      </c>
      <c r="B2999" s="1">
        <f t="shared" si="46"/>
        <v>0</v>
      </c>
    </row>
    <row r="3000" spans="1:2">
      <c r="A3000" s="112">
        <v>40637</v>
      </c>
      <c r="B3000" s="1">
        <f t="shared" si="46"/>
        <v>1</v>
      </c>
    </row>
    <row r="3001" spans="1:2">
      <c r="A3001" s="112">
        <v>40638</v>
      </c>
      <c r="B3001" s="1">
        <f t="shared" si="46"/>
        <v>2</v>
      </c>
    </row>
    <row r="3002" spans="1:2">
      <c r="A3002" s="112">
        <v>40639</v>
      </c>
      <c r="B3002" s="1">
        <f t="shared" si="46"/>
        <v>3</v>
      </c>
    </row>
    <row r="3003" spans="1:2">
      <c r="A3003" s="112">
        <v>40640</v>
      </c>
      <c r="B3003" s="1">
        <f t="shared" si="46"/>
        <v>4</v>
      </c>
    </row>
    <row r="3004" spans="1:2">
      <c r="A3004" s="112">
        <v>40641</v>
      </c>
      <c r="B3004" s="1">
        <f t="shared" si="46"/>
        <v>5</v>
      </c>
    </row>
    <row r="3005" spans="1:2">
      <c r="A3005" s="112">
        <v>40642</v>
      </c>
      <c r="B3005" s="1">
        <f t="shared" si="46"/>
        <v>6</v>
      </c>
    </row>
    <row r="3006" spans="1:2">
      <c r="A3006" s="112">
        <v>40643</v>
      </c>
      <c r="B3006" s="1">
        <f t="shared" si="46"/>
        <v>7</v>
      </c>
    </row>
    <row r="3007" spans="1:2">
      <c r="A3007" s="112">
        <v>40644</v>
      </c>
      <c r="B3007" s="1">
        <f t="shared" si="46"/>
        <v>8</v>
      </c>
    </row>
    <row r="3008" spans="1:2">
      <c r="A3008" s="112">
        <v>40645</v>
      </c>
      <c r="B3008" s="1">
        <f t="shared" si="46"/>
        <v>9</v>
      </c>
    </row>
    <row r="3009" spans="1:2">
      <c r="A3009" s="112">
        <v>40646</v>
      </c>
      <c r="B3009" s="1">
        <f t="shared" si="46"/>
        <v>10</v>
      </c>
    </row>
    <row r="3010" spans="1:2">
      <c r="A3010" s="112">
        <v>40647</v>
      </c>
      <c r="B3010" s="1">
        <f t="shared" si="46"/>
        <v>11</v>
      </c>
    </row>
    <row r="3011" spans="1:2">
      <c r="A3011" s="112">
        <v>40648</v>
      </c>
      <c r="B3011" s="1">
        <f t="shared" ref="B3011:B3074" si="47">INT(MOD($G$2+A3011-$F$2,29.53))</f>
        <v>12</v>
      </c>
    </row>
    <row r="3012" spans="1:2">
      <c r="A3012" s="112">
        <v>40649</v>
      </c>
      <c r="B3012" s="1">
        <f t="shared" si="47"/>
        <v>13</v>
      </c>
    </row>
    <row r="3013" spans="1:2">
      <c r="A3013" s="112">
        <v>40650</v>
      </c>
      <c r="B3013" s="1">
        <f t="shared" si="47"/>
        <v>14</v>
      </c>
    </row>
    <row r="3014" spans="1:2">
      <c r="A3014" s="112">
        <v>40651</v>
      </c>
      <c r="B3014" s="1">
        <f t="shared" si="47"/>
        <v>15</v>
      </c>
    </row>
    <row r="3015" spans="1:2">
      <c r="A3015" s="112">
        <v>40652</v>
      </c>
      <c r="B3015" s="1">
        <f t="shared" si="47"/>
        <v>16</v>
      </c>
    </row>
    <row r="3016" spans="1:2">
      <c r="A3016" s="112">
        <v>40653</v>
      </c>
      <c r="B3016" s="1">
        <f t="shared" si="47"/>
        <v>17</v>
      </c>
    </row>
    <row r="3017" spans="1:2">
      <c r="A3017" s="112">
        <v>40654</v>
      </c>
      <c r="B3017" s="1">
        <f t="shared" si="47"/>
        <v>18</v>
      </c>
    </row>
    <row r="3018" spans="1:2">
      <c r="A3018" s="112">
        <v>40655</v>
      </c>
      <c r="B3018" s="1">
        <f t="shared" si="47"/>
        <v>19</v>
      </c>
    </row>
    <row r="3019" spans="1:2">
      <c r="A3019" s="112">
        <v>40656</v>
      </c>
      <c r="B3019" s="1">
        <f t="shared" si="47"/>
        <v>20</v>
      </c>
    </row>
    <row r="3020" spans="1:2">
      <c r="A3020" s="112">
        <v>40657</v>
      </c>
      <c r="B3020" s="1">
        <f t="shared" si="47"/>
        <v>21</v>
      </c>
    </row>
    <row r="3021" spans="1:2">
      <c r="A3021" s="112">
        <v>40658</v>
      </c>
      <c r="B3021" s="1">
        <f t="shared" si="47"/>
        <v>22</v>
      </c>
    </row>
    <row r="3022" spans="1:2">
      <c r="A3022" s="112">
        <v>40659</v>
      </c>
      <c r="B3022" s="1">
        <f t="shared" si="47"/>
        <v>23</v>
      </c>
    </row>
    <row r="3023" spans="1:2">
      <c r="A3023" s="112">
        <v>40660</v>
      </c>
      <c r="B3023" s="1">
        <f t="shared" si="47"/>
        <v>24</v>
      </c>
    </row>
    <row r="3024" spans="1:2">
      <c r="A3024" s="112">
        <v>40661</v>
      </c>
      <c r="B3024" s="1">
        <f t="shared" si="47"/>
        <v>25</v>
      </c>
    </row>
    <row r="3025" spans="1:2">
      <c r="A3025" s="112">
        <v>40662</v>
      </c>
      <c r="B3025" s="1">
        <f t="shared" si="47"/>
        <v>26</v>
      </c>
    </row>
    <row r="3026" spans="1:2">
      <c r="A3026" s="112">
        <v>40663</v>
      </c>
      <c r="B3026" s="1">
        <f t="shared" si="47"/>
        <v>27</v>
      </c>
    </row>
    <row r="3027" spans="1:2">
      <c r="A3027" s="112">
        <v>40664</v>
      </c>
      <c r="B3027" s="1">
        <f t="shared" si="47"/>
        <v>28</v>
      </c>
    </row>
    <row r="3028" spans="1:2">
      <c r="A3028" s="112">
        <v>40665</v>
      </c>
      <c r="B3028" s="1">
        <f t="shared" si="47"/>
        <v>29</v>
      </c>
    </row>
    <row r="3029" spans="1:2">
      <c r="A3029" s="112">
        <v>40666</v>
      </c>
      <c r="B3029" s="1">
        <f t="shared" si="47"/>
        <v>0</v>
      </c>
    </row>
    <row r="3030" spans="1:2">
      <c r="A3030" s="112">
        <v>40667</v>
      </c>
      <c r="B3030" s="1">
        <f t="shared" si="47"/>
        <v>1</v>
      </c>
    </row>
    <row r="3031" spans="1:2">
      <c r="A3031" s="112">
        <v>40668</v>
      </c>
      <c r="B3031" s="1">
        <f t="shared" si="47"/>
        <v>2</v>
      </c>
    </row>
    <row r="3032" spans="1:2">
      <c r="A3032" s="112">
        <v>40669</v>
      </c>
      <c r="B3032" s="1">
        <f t="shared" si="47"/>
        <v>3</v>
      </c>
    </row>
    <row r="3033" spans="1:2">
      <c r="A3033" s="112">
        <v>40670</v>
      </c>
      <c r="B3033" s="1">
        <f t="shared" si="47"/>
        <v>4</v>
      </c>
    </row>
    <row r="3034" spans="1:2">
      <c r="A3034" s="112">
        <v>40671</v>
      </c>
      <c r="B3034" s="1">
        <f t="shared" si="47"/>
        <v>5</v>
      </c>
    </row>
    <row r="3035" spans="1:2">
      <c r="A3035" s="112">
        <v>40672</v>
      </c>
      <c r="B3035" s="1">
        <f t="shared" si="47"/>
        <v>6</v>
      </c>
    </row>
    <row r="3036" spans="1:2">
      <c r="A3036" s="112">
        <v>40673</v>
      </c>
      <c r="B3036" s="1">
        <f t="shared" si="47"/>
        <v>7</v>
      </c>
    </row>
    <row r="3037" spans="1:2">
      <c r="A3037" s="112">
        <v>40674</v>
      </c>
      <c r="B3037" s="1">
        <f t="shared" si="47"/>
        <v>8</v>
      </c>
    </row>
    <row r="3038" spans="1:2">
      <c r="A3038" s="112">
        <v>40675</v>
      </c>
      <c r="B3038" s="1">
        <f t="shared" si="47"/>
        <v>9</v>
      </c>
    </row>
    <row r="3039" spans="1:2">
      <c r="A3039" s="112">
        <v>40676</v>
      </c>
      <c r="B3039" s="1">
        <f t="shared" si="47"/>
        <v>10</v>
      </c>
    </row>
    <row r="3040" spans="1:2">
      <c r="A3040" s="112">
        <v>40677</v>
      </c>
      <c r="B3040" s="1">
        <f t="shared" si="47"/>
        <v>11</v>
      </c>
    </row>
    <row r="3041" spans="1:2">
      <c r="A3041" s="112">
        <v>40678</v>
      </c>
      <c r="B3041" s="1">
        <f t="shared" si="47"/>
        <v>12</v>
      </c>
    </row>
    <row r="3042" spans="1:2">
      <c r="A3042" s="112">
        <v>40679</v>
      </c>
      <c r="B3042" s="1">
        <f t="shared" si="47"/>
        <v>13</v>
      </c>
    </row>
    <row r="3043" spans="1:2">
      <c r="A3043" s="112">
        <v>40680</v>
      </c>
      <c r="B3043" s="1">
        <f t="shared" si="47"/>
        <v>14</v>
      </c>
    </row>
    <row r="3044" spans="1:2">
      <c r="A3044" s="112">
        <v>40681</v>
      </c>
      <c r="B3044" s="1">
        <f t="shared" si="47"/>
        <v>15</v>
      </c>
    </row>
    <row r="3045" spans="1:2">
      <c r="A3045" s="112">
        <v>40682</v>
      </c>
      <c r="B3045" s="1">
        <f t="shared" si="47"/>
        <v>16</v>
      </c>
    </row>
    <row r="3046" spans="1:2">
      <c r="A3046" s="112">
        <v>40683</v>
      </c>
      <c r="B3046" s="1">
        <f t="shared" si="47"/>
        <v>17</v>
      </c>
    </row>
    <row r="3047" spans="1:2">
      <c r="A3047" s="112">
        <v>40684</v>
      </c>
      <c r="B3047" s="1">
        <f t="shared" si="47"/>
        <v>18</v>
      </c>
    </row>
    <row r="3048" spans="1:2">
      <c r="A3048" s="112">
        <v>40685</v>
      </c>
      <c r="B3048" s="1">
        <f t="shared" si="47"/>
        <v>19</v>
      </c>
    </row>
    <row r="3049" spans="1:2">
      <c r="A3049" s="112">
        <v>40686</v>
      </c>
      <c r="B3049" s="1">
        <f t="shared" si="47"/>
        <v>20</v>
      </c>
    </row>
    <row r="3050" spans="1:2">
      <c r="A3050" s="112">
        <v>40687</v>
      </c>
      <c r="B3050" s="1">
        <f t="shared" si="47"/>
        <v>21</v>
      </c>
    </row>
    <row r="3051" spans="1:2">
      <c r="A3051" s="112">
        <v>40688</v>
      </c>
      <c r="B3051" s="1">
        <f t="shared" si="47"/>
        <v>22</v>
      </c>
    </row>
    <row r="3052" spans="1:2">
      <c r="A3052" s="112">
        <v>40689</v>
      </c>
      <c r="B3052" s="1">
        <f t="shared" si="47"/>
        <v>23</v>
      </c>
    </row>
    <row r="3053" spans="1:2">
      <c r="A3053" s="112">
        <v>40690</v>
      </c>
      <c r="B3053" s="1">
        <f t="shared" si="47"/>
        <v>24</v>
      </c>
    </row>
    <row r="3054" spans="1:2">
      <c r="A3054" s="112">
        <v>40691</v>
      </c>
      <c r="B3054" s="1">
        <f t="shared" si="47"/>
        <v>25</v>
      </c>
    </row>
    <row r="3055" spans="1:2">
      <c r="A3055" s="112">
        <v>40692</v>
      </c>
      <c r="B3055" s="1">
        <f t="shared" si="47"/>
        <v>26</v>
      </c>
    </row>
    <row r="3056" spans="1:2">
      <c r="A3056" s="112">
        <v>40693</v>
      </c>
      <c r="B3056" s="1">
        <f t="shared" si="47"/>
        <v>27</v>
      </c>
    </row>
    <row r="3057" spans="1:2">
      <c r="A3057" s="112">
        <v>40694</v>
      </c>
      <c r="B3057" s="1">
        <f t="shared" si="47"/>
        <v>28</v>
      </c>
    </row>
    <row r="3058" spans="1:2">
      <c r="A3058" s="112">
        <v>40695</v>
      </c>
      <c r="B3058" s="1">
        <f t="shared" si="47"/>
        <v>0</v>
      </c>
    </row>
    <row r="3059" spans="1:2">
      <c r="A3059" s="112">
        <v>40696</v>
      </c>
      <c r="B3059" s="1">
        <f t="shared" si="47"/>
        <v>1</v>
      </c>
    </row>
    <row r="3060" spans="1:2">
      <c r="A3060" s="112">
        <v>40697</v>
      </c>
      <c r="B3060" s="1">
        <f t="shared" si="47"/>
        <v>2</v>
      </c>
    </row>
    <row r="3061" spans="1:2">
      <c r="A3061" s="112">
        <v>40698</v>
      </c>
      <c r="B3061" s="1">
        <f t="shared" si="47"/>
        <v>3</v>
      </c>
    </row>
    <row r="3062" spans="1:2">
      <c r="A3062" s="112">
        <v>40699</v>
      </c>
      <c r="B3062" s="1">
        <f t="shared" si="47"/>
        <v>4</v>
      </c>
    </row>
    <row r="3063" spans="1:2">
      <c r="A3063" s="112">
        <v>40700</v>
      </c>
      <c r="B3063" s="1">
        <f t="shared" si="47"/>
        <v>5</v>
      </c>
    </row>
    <row r="3064" spans="1:2">
      <c r="A3064" s="112">
        <v>40701</v>
      </c>
      <c r="B3064" s="1">
        <f t="shared" si="47"/>
        <v>6</v>
      </c>
    </row>
    <row r="3065" spans="1:2">
      <c r="A3065" s="112">
        <v>40702</v>
      </c>
      <c r="B3065" s="1">
        <f t="shared" si="47"/>
        <v>7</v>
      </c>
    </row>
    <row r="3066" spans="1:2">
      <c r="A3066" s="112">
        <v>40703</v>
      </c>
      <c r="B3066" s="1">
        <f t="shared" si="47"/>
        <v>8</v>
      </c>
    </row>
    <row r="3067" spans="1:2">
      <c r="A3067" s="112">
        <v>40704</v>
      </c>
      <c r="B3067" s="1">
        <f t="shared" si="47"/>
        <v>9</v>
      </c>
    </row>
    <row r="3068" spans="1:2">
      <c r="A3068" s="112">
        <v>40705</v>
      </c>
      <c r="B3068" s="1">
        <f t="shared" si="47"/>
        <v>10</v>
      </c>
    </row>
    <row r="3069" spans="1:2">
      <c r="A3069" s="112">
        <v>40706</v>
      </c>
      <c r="B3069" s="1">
        <f t="shared" si="47"/>
        <v>11</v>
      </c>
    </row>
    <row r="3070" spans="1:2">
      <c r="A3070" s="112">
        <v>40707</v>
      </c>
      <c r="B3070" s="1">
        <f t="shared" si="47"/>
        <v>12</v>
      </c>
    </row>
    <row r="3071" spans="1:2">
      <c r="A3071" s="112">
        <v>40708</v>
      </c>
      <c r="B3071" s="1">
        <f t="shared" si="47"/>
        <v>13</v>
      </c>
    </row>
    <row r="3072" spans="1:2">
      <c r="A3072" s="112">
        <v>40709</v>
      </c>
      <c r="B3072" s="1">
        <f t="shared" si="47"/>
        <v>14</v>
      </c>
    </row>
    <row r="3073" spans="1:2">
      <c r="A3073" s="112">
        <v>40710</v>
      </c>
      <c r="B3073" s="1">
        <f t="shared" si="47"/>
        <v>15</v>
      </c>
    </row>
    <row r="3074" spans="1:2">
      <c r="A3074" s="112">
        <v>40711</v>
      </c>
      <c r="B3074" s="1">
        <f t="shared" si="47"/>
        <v>16</v>
      </c>
    </row>
    <row r="3075" spans="1:2">
      <c r="A3075" s="112">
        <v>40712</v>
      </c>
      <c r="B3075" s="1">
        <f t="shared" ref="B3075:B3138" si="48">INT(MOD($G$2+A3075-$F$2,29.53))</f>
        <v>17</v>
      </c>
    </row>
    <row r="3076" spans="1:2">
      <c r="A3076" s="112">
        <v>40713</v>
      </c>
      <c r="B3076" s="1">
        <f t="shared" si="48"/>
        <v>18</v>
      </c>
    </row>
    <row r="3077" spans="1:2">
      <c r="A3077" s="112">
        <v>40714</v>
      </c>
      <c r="B3077" s="1">
        <f t="shared" si="48"/>
        <v>19</v>
      </c>
    </row>
    <row r="3078" spans="1:2">
      <c r="A3078" s="112">
        <v>40715</v>
      </c>
      <c r="B3078" s="1">
        <f t="shared" si="48"/>
        <v>20</v>
      </c>
    </row>
    <row r="3079" spans="1:2">
      <c r="A3079" s="112">
        <v>40716</v>
      </c>
      <c r="B3079" s="1">
        <f t="shared" si="48"/>
        <v>21</v>
      </c>
    </row>
    <row r="3080" spans="1:2">
      <c r="A3080" s="112">
        <v>40717</v>
      </c>
      <c r="B3080" s="1">
        <f t="shared" si="48"/>
        <v>22</v>
      </c>
    </row>
    <row r="3081" spans="1:2">
      <c r="A3081" s="112">
        <v>40718</v>
      </c>
      <c r="B3081" s="1">
        <f t="shared" si="48"/>
        <v>23</v>
      </c>
    </row>
    <row r="3082" spans="1:2">
      <c r="A3082" s="112">
        <v>40719</v>
      </c>
      <c r="B3082" s="1">
        <f t="shared" si="48"/>
        <v>24</v>
      </c>
    </row>
    <row r="3083" spans="1:2">
      <c r="A3083" s="112">
        <v>40720</v>
      </c>
      <c r="B3083" s="1">
        <f t="shared" si="48"/>
        <v>25</v>
      </c>
    </row>
    <row r="3084" spans="1:2">
      <c r="A3084" s="112">
        <v>40721</v>
      </c>
      <c r="B3084" s="1">
        <f t="shared" si="48"/>
        <v>26</v>
      </c>
    </row>
    <row r="3085" spans="1:2">
      <c r="A3085" s="112">
        <v>40722</v>
      </c>
      <c r="B3085" s="1">
        <f t="shared" si="48"/>
        <v>27</v>
      </c>
    </row>
    <row r="3086" spans="1:2">
      <c r="A3086" s="112">
        <v>40723</v>
      </c>
      <c r="B3086" s="1">
        <f t="shared" si="48"/>
        <v>28</v>
      </c>
    </row>
    <row r="3087" spans="1:2">
      <c r="A3087" s="112">
        <v>40724</v>
      </c>
      <c r="B3087" s="1">
        <f t="shared" si="48"/>
        <v>29</v>
      </c>
    </row>
    <row r="3088" spans="1:2">
      <c r="A3088" s="112">
        <v>40725</v>
      </c>
      <c r="B3088" s="1">
        <f t="shared" si="48"/>
        <v>0</v>
      </c>
    </row>
    <row r="3089" spans="1:2">
      <c r="A3089" s="112">
        <v>40726</v>
      </c>
      <c r="B3089" s="1">
        <f t="shared" si="48"/>
        <v>1</v>
      </c>
    </row>
    <row r="3090" spans="1:2">
      <c r="A3090" s="112">
        <v>40727</v>
      </c>
      <c r="B3090" s="1">
        <f t="shared" si="48"/>
        <v>2</v>
      </c>
    </row>
    <row r="3091" spans="1:2">
      <c r="A3091" s="112">
        <v>40728</v>
      </c>
      <c r="B3091" s="1">
        <f t="shared" si="48"/>
        <v>3</v>
      </c>
    </row>
    <row r="3092" spans="1:2">
      <c r="A3092" s="112">
        <v>40729</v>
      </c>
      <c r="B3092" s="1">
        <f t="shared" si="48"/>
        <v>4</v>
      </c>
    </row>
    <row r="3093" spans="1:2">
      <c r="A3093" s="112">
        <v>40730</v>
      </c>
      <c r="B3093" s="1">
        <f t="shared" si="48"/>
        <v>5</v>
      </c>
    </row>
    <row r="3094" spans="1:2">
      <c r="A3094" s="112">
        <v>40731</v>
      </c>
      <c r="B3094" s="1">
        <f t="shared" si="48"/>
        <v>6</v>
      </c>
    </row>
    <row r="3095" spans="1:2">
      <c r="A3095" s="112">
        <v>40732</v>
      </c>
      <c r="B3095" s="1">
        <f t="shared" si="48"/>
        <v>7</v>
      </c>
    </row>
    <row r="3096" spans="1:2">
      <c r="A3096" s="112">
        <v>40733</v>
      </c>
      <c r="B3096" s="1">
        <f t="shared" si="48"/>
        <v>8</v>
      </c>
    </row>
    <row r="3097" spans="1:2">
      <c r="A3097" s="112">
        <v>40734</v>
      </c>
      <c r="B3097" s="1">
        <f t="shared" si="48"/>
        <v>9</v>
      </c>
    </row>
    <row r="3098" spans="1:2">
      <c r="A3098" s="112">
        <v>40735</v>
      </c>
      <c r="B3098" s="1">
        <f t="shared" si="48"/>
        <v>10</v>
      </c>
    </row>
    <row r="3099" spans="1:2">
      <c r="A3099" s="112">
        <v>40736</v>
      </c>
      <c r="B3099" s="1">
        <f t="shared" si="48"/>
        <v>11</v>
      </c>
    </row>
    <row r="3100" spans="1:2">
      <c r="A3100" s="112">
        <v>40737</v>
      </c>
      <c r="B3100" s="1">
        <f t="shared" si="48"/>
        <v>12</v>
      </c>
    </row>
    <row r="3101" spans="1:2">
      <c r="A3101" s="112">
        <v>40738</v>
      </c>
      <c r="B3101" s="1">
        <f t="shared" si="48"/>
        <v>13</v>
      </c>
    </row>
    <row r="3102" spans="1:2">
      <c r="A3102" s="112">
        <v>40739</v>
      </c>
      <c r="B3102" s="1">
        <f t="shared" si="48"/>
        <v>14</v>
      </c>
    </row>
    <row r="3103" spans="1:2">
      <c r="A3103" s="112">
        <v>40740</v>
      </c>
      <c r="B3103" s="1">
        <f t="shared" si="48"/>
        <v>15</v>
      </c>
    </row>
    <row r="3104" spans="1:2">
      <c r="A3104" s="112">
        <v>40741</v>
      </c>
      <c r="B3104" s="1">
        <f t="shared" si="48"/>
        <v>16</v>
      </c>
    </row>
    <row r="3105" spans="1:2">
      <c r="A3105" s="112">
        <v>40742</v>
      </c>
      <c r="B3105" s="1">
        <f t="shared" si="48"/>
        <v>17</v>
      </c>
    </row>
    <row r="3106" spans="1:2">
      <c r="A3106" s="112">
        <v>40743</v>
      </c>
      <c r="B3106" s="1">
        <f t="shared" si="48"/>
        <v>18</v>
      </c>
    </row>
    <row r="3107" spans="1:2">
      <c r="A3107" s="112">
        <v>40744</v>
      </c>
      <c r="B3107" s="1">
        <f t="shared" si="48"/>
        <v>19</v>
      </c>
    </row>
    <row r="3108" spans="1:2">
      <c r="A3108" s="112">
        <v>40745</v>
      </c>
      <c r="B3108" s="1">
        <f t="shared" si="48"/>
        <v>20</v>
      </c>
    </row>
    <row r="3109" spans="1:2">
      <c r="A3109" s="112">
        <v>40746</v>
      </c>
      <c r="B3109" s="1">
        <f t="shared" si="48"/>
        <v>21</v>
      </c>
    </row>
    <row r="3110" spans="1:2">
      <c r="A3110" s="112">
        <v>40747</v>
      </c>
      <c r="B3110" s="1">
        <f t="shared" si="48"/>
        <v>22</v>
      </c>
    </row>
    <row r="3111" spans="1:2">
      <c r="A3111" s="112">
        <v>40748</v>
      </c>
      <c r="B3111" s="1">
        <f t="shared" si="48"/>
        <v>23</v>
      </c>
    </row>
    <row r="3112" spans="1:2">
      <c r="A3112" s="112">
        <v>40749</v>
      </c>
      <c r="B3112" s="1">
        <f t="shared" si="48"/>
        <v>24</v>
      </c>
    </row>
    <row r="3113" spans="1:2">
      <c r="A3113" s="112">
        <v>40750</v>
      </c>
      <c r="B3113" s="1">
        <f t="shared" si="48"/>
        <v>25</v>
      </c>
    </row>
    <row r="3114" spans="1:2">
      <c r="A3114" s="112">
        <v>40751</v>
      </c>
      <c r="B3114" s="1">
        <f t="shared" si="48"/>
        <v>26</v>
      </c>
    </row>
    <row r="3115" spans="1:2">
      <c r="A3115" s="112">
        <v>40752</v>
      </c>
      <c r="B3115" s="1">
        <f t="shared" si="48"/>
        <v>27</v>
      </c>
    </row>
    <row r="3116" spans="1:2">
      <c r="A3116" s="112">
        <v>40753</v>
      </c>
      <c r="B3116" s="1">
        <f t="shared" si="48"/>
        <v>28</v>
      </c>
    </row>
    <row r="3117" spans="1:2">
      <c r="A3117" s="112">
        <v>40754</v>
      </c>
      <c r="B3117" s="1">
        <f t="shared" si="48"/>
        <v>29</v>
      </c>
    </row>
    <row r="3118" spans="1:2">
      <c r="A3118" s="112">
        <v>40755</v>
      </c>
      <c r="B3118" s="1">
        <f t="shared" si="48"/>
        <v>0</v>
      </c>
    </row>
    <row r="3119" spans="1:2">
      <c r="A3119" s="112">
        <v>40756</v>
      </c>
      <c r="B3119" s="1">
        <f t="shared" si="48"/>
        <v>1</v>
      </c>
    </row>
    <row r="3120" spans="1:2">
      <c r="A3120" s="112">
        <v>40757</v>
      </c>
      <c r="B3120" s="1">
        <f t="shared" si="48"/>
        <v>2</v>
      </c>
    </row>
    <row r="3121" spans="1:2">
      <c r="A3121" s="112">
        <v>40758</v>
      </c>
      <c r="B3121" s="1">
        <f t="shared" si="48"/>
        <v>3</v>
      </c>
    </row>
    <row r="3122" spans="1:2">
      <c r="A3122" s="112">
        <v>40759</v>
      </c>
      <c r="B3122" s="1">
        <f t="shared" si="48"/>
        <v>4</v>
      </c>
    </row>
    <row r="3123" spans="1:2">
      <c r="A3123" s="112">
        <v>40760</v>
      </c>
      <c r="B3123" s="1">
        <f t="shared" si="48"/>
        <v>5</v>
      </c>
    </row>
    <row r="3124" spans="1:2">
      <c r="A3124" s="112">
        <v>40761</v>
      </c>
      <c r="B3124" s="1">
        <f t="shared" si="48"/>
        <v>6</v>
      </c>
    </row>
    <row r="3125" spans="1:2">
      <c r="A3125" s="112">
        <v>40762</v>
      </c>
      <c r="B3125" s="1">
        <f t="shared" si="48"/>
        <v>7</v>
      </c>
    </row>
    <row r="3126" spans="1:2">
      <c r="A3126" s="112">
        <v>40763</v>
      </c>
      <c r="B3126" s="1">
        <f t="shared" si="48"/>
        <v>8</v>
      </c>
    </row>
    <row r="3127" spans="1:2">
      <c r="A3127" s="112">
        <v>40764</v>
      </c>
      <c r="B3127" s="1">
        <f t="shared" si="48"/>
        <v>9</v>
      </c>
    </row>
    <row r="3128" spans="1:2">
      <c r="A3128" s="112">
        <v>40765</v>
      </c>
      <c r="B3128" s="1">
        <f t="shared" si="48"/>
        <v>10</v>
      </c>
    </row>
    <row r="3129" spans="1:2">
      <c r="A3129" s="112">
        <v>40766</v>
      </c>
      <c r="B3129" s="1">
        <f t="shared" si="48"/>
        <v>11</v>
      </c>
    </row>
    <row r="3130" spans="1:2">
      <c r="A3130" s="112">
        <v>40767</v>
      </c>
      <c r="B3130" s="1">
        <f t="shared" si="48"/>
        <v>12</v>
      </c>
    </row>
    <row r="3131" spans="1:2">
      <c r="A3131" s="112">
        <v>40768</v>
      </c>
      <c r="B3131" s="1">
        <f t="shared" si="48"/>
        <v>13</v>
      </c>
    </row>
    <row r="3132" spans="1:2">
      <c r="A3132" s="112">
        <v>40769</v>
      </c>
      <c r="B3132" s="1">
        <f t="shared" si="48"/>
        <v>14</v>
      </c>
    </row>
    <row r="3133" spans="1:2">
      <c r="A3133" s="112">
        <v>40770</v>
      </c>
      <c r="B3133" s="1">
        <f t="shared" si="48"/>
        <v>15</v>
      </c>
    </row>
    <row r="3134" spans="1:2">
      <c r="A3134" s="112">
        <v>40771</v>
      </c>
      <c r="B3134" s="1">
        <f t="shared" si="48"/>
        <v>16</v>
      </c>
    </row>
    <row r="3135" spans="1:2">
      <c r="A3135" s="112">
        <v>40772</v>
      </c>
      <c r="B3135" s="1">
        <f t="shared" si="48"/>
        <v>17</v>
      </c>
    </row>
    <row r="3136" spans="1:2">
      <c r="A3136" s="112">
        <v>40773</v>
      </c>
      <c r="B3136" s="1">
        <f t="shared" si="48"/>
        <v>18</v>
      </c>
    </row>
    <row r="3137" spans="1:2">
      <c r="A3137" s="112">
        <v>40774</v>
      </c>
      <c r="B3137" s="1">
        <f t="shared" si="48"/>
        <v>19</v>
      </c>
    </row>
    <row r="3138" spans="1:2">
      <c r="A3138" s="112">
        <v>40775</v>
      </c>
      <c r="B3138" s="1">
        <f t="shared" si="48"/>
        <v>20</v>
      </c>
    </row>
    <row r="3139" spans="1:2">
      <c r="A3139" s="112">
        <v>40776</v>
      </c>
      <c r="B3139" s="1">
        <f t="shared" ref="B3139:B3202" si="49">INT(MOD($G$2+A3139-$F$2,29.53))</f>
        <v>21</v>
      </c>
    </row>
    <row r="3140" spans="1:2">
      <c r="A3140" s="112">
        <v>40777</v>
      </c>
      <c r="B3140" s="1">
        <f t="shared" si="49"/>
        <v>22</v>
      </c>
    </row>
    <row r="3141" spans="1:2">
      <c r="A3141" s="112">
        <v>40778</v>
      </c>
      <c r="B3141" s="1">
        <f t="shared" si="49"/>
        <v>23</v>
      </c>
    </row>
    <row r="3142" spans="1:2">
      <c r="A3142" s="112">
        <v>40779</v>
      </c>
      <c r="B3142" s="1">
        <f t="shared" si="49"/>
        <v>24</v>
      </c>
    </row>
    <row r="3143" spans="1:2">
      <c r="A3143" s="112">
        <v>40780</v>
      </c>
      <c r="B3143" s="1">
        <f t="shared" si="49"/>
        <v>25</v>
      </c>
    </row>
    <row r="3144" spans="1:2">
      <c r="A3144" s="112">
        <v>40781</v>
      </c>
      <c r="B3144" s="1">
        <f t="shared" si="49"/>
        <v>26</v>
      </c>
    </row>
    <row r="3145" spans="1:2">
      <c r="A3145" s="112">
        <v>40782</v>
      </c>
      <c r="B3145" s="1">
        <f t="shared" si="49"/>
        <v>27</v>
      </c>
    </row>
    <row r="3146" spans="1:2">
      <c r="A3146" s="112">
        <v>40783</v>
      </c>
      <c r="B3146" s="1">
        <f t="shared" si="49"/>
        <v>28</v>
      </c>
    </row>
    <row r="3147" spans="1:2">
      <c r="A3147" s="112">
        <v>40784</v>
      </c>
      <c r="B3147" s="1">
        <f t="shared" si="49"/>
        <v>0</v>
      </c>
    </row>
    <row r="3148" spans="1:2">
      <c r="A3148" s="112">
        <v>40785</v>
      </c>
      <c r="B3148" s="1">
        <f t="shared" si="49"/>
        <v>1</v>
      </c>
    </row>
    <row r="3149" spans="1:2">
      <c r="A3149" s="112">
        <v>40786</v>
      </c>
      <c r="B3149" s="1">
        <f t="shared" si="49"/>
        <v>2</v>
      </c>
    </row>
    <row r="3150" spans="1:2">
      <c r="A3150" s="112">
        <v>40787</v>
      </c>
      <c r="B3150" s="1">
        <f t="shared" si="49"/>
        <v>3</v>
      </c>
    </row>
    <row r="3151" spans="1:2">
      <c r="A3151" s="112">
        <v>40788</v>
      </c>
      <c r="B3151" s="1">
        <f t="shared" si="49"/>
        <v>4</v>
      </c>
    </row>
    <row r="3152" spans="1:2">
      <c r="A3152" s="112">
        <v>40789</v>
      </c>
      <c r="B3152" s="1">
        <f t="shared" si="49"/>
        <v>5</v>
      </c>
    </row>
    <row r="3153" spans="1:2">
      <c r="A3153" s="112">
        <v>40790</v>
      </c>
      <c r="B3153" s="1">
        <f t="shared" si="49"/>
        <v>6</v>
      </c>
    </row>
    <row r="3154" spans="1:2">
      <c r="A3154" s="112">
        <v>40791</v>
      </c>
      <c r="B3154" s="1">
        <f t="shared" si="49"/>
        <v>7</v>
      </c>
    </row>
    <row r="3155" spans="1:2">
      <c r="A3155" s="112">
        <v>40792</v>
      </c>
      <c r="B3155" s="1">
        <f t="shared" si="49"/>
        <v>8</v>
      </c>
    </row>
    <row r="3156" spans="1:2">
      <c r="A3156" s="112">
        <v>40793</v>
      </c>
      <c r="B3156" s="1">
        <f t="shared" si="49"/>
        <v>9</v>
      </c>
    </row>
    <row r="3157" spans="1:2">
      <c r="A3157" s="112">
        <v>40794</v>
      </c>
      <c r="B3157" s="1">
        <f t="shared" si="49"/>
        <v>10</v>
      </c>
    </row>
    <row r="3158" spans="1:2">
      <c r="A3158" s="112">
        <v>40795</v>
      </c>
      <c r="B3158" s="1">
        <f t="shared" si="49"/>
        <v>11</v>
      </c>
    </row>
    <row r="3159" spans="1:2">
      <c r="A3159" s="112">
        <v>40796</v>
      </c>
      <c r="B3159" s="1">
        <f t="shared" si="49"/>
        <v>12</v>
      </c>
    </row>
    <row r="3160" spans="1:2">
      <c r="A3160" s="112">
        <v>40797</v>
      </c>
      <c r="B3160" s="1">
        <f t="shared" si="49"/>
        <v>13</v>
      </c>
    </row>
    <row r="3161" spans="1:2">
      <c r="A3161" s="112">
        <v>40798</v>
      </c>
      <c r="B3161" s="1">
        <f t="shared" si="49"/>
        <v>14</v>
      </c>
    </row>
    <row r="3162" spans="1:2">
      <c r="A3162" s="112">
        <v>40799</v>
      </c>
      <c r="B3162" s="1">
        <f t="shared" si="49"/>
        <v>15</v>
      </c>
    </row>
    <row r="3163" spans="1:2">
      <c r="A3163" s="112">
        <v>40800</v>
      </c>
      <c r="B3163" s="1">
        <f t="shared" si="49"/>
        <v>16</v>
      </c>
    </row>
    <row r="3164" spans="1:2">
      <c r="A3164" s="112">
        <v>40801</v>
      </c>
      <c r="B3164" s="1">
        <f t="shared" si="49"/>
        <v>17</v>
      </c>
    </row>
    <row r="3165" spans="1:2">
      <c r="A3165" s="112">
        <v>40802</v>
      </c>
      <c r="B3165" s="1">
        <f t="shared" si="49"/>
        <v>18</v>
      </c>
    </row>
    <row r="3166" spans="1:2">
      <c r="A3166" s="112">
        <v>40803</v>
      </c>
      <c r="B3166" s="1">
        <f t="shared" si="49"/>
        <v>19</v>
      </c>
    </row>
    <row r="3167" spans="1:2">
      <c r="A3167" s="112">
        <v>40804</v>
      </c>
      <c r="B3167" s="1">
        <f t="shared" si="49"/>
        <v>20</v>
      </c>
    </row>
    <row r="3168" spans="1:2">
      <c r="A3168" s="112">
        <v>40805</v>
      </c>
      <c r="B3168" s="1">
        <f t="shared" si="49"/>
        <v>21</v>
      </c>
    </row>
    <row r="3169" spans="1:2">
      <c r="A3169" s="112">
        <v>40806</v>
      </c>
      <c r="B3169" s="1">
        <f t="shared" si="49"/>
        <v>22</v>
      </c>
    </row>
    <row r="3170" spans="1:2">
      <c r="A3170" s="112">
        <v>40807</v>
      </c>
      <c r="B3170" s="1">
        <f t="shared" si="49"/>
        <v>23</v>
      </c>
    </row>
    <row r="3171" spans="1:2">
      <c r="A3171" s="112">
        <v>40808</v>
      </c>
      <c r="B3171" s="1">
        <f t="shared" si="49"/>
        <v>24</v>
      </c>
    </row>
    <row r="3172" spans="1:2">
      <c r="A3172" s="112">
        <v>40809</v>
      </c>
      <c r="B3172" s="1">
        <f t="shared" si="49"/>
        <v>25</v>
      </c>
    </row>
    <row r="3173" spans="1:2">
      <c r="A3173" s="112">
        <v>40810</v>
      </c>
      <c r="B3173" s="1">
        <f t="shared" si="49"/>
        <v>26</v>
      </c>
    </row>
    <row r="3174" spans="1:2">
      <c r="A3174" s="112">
        <v>40811</v>
      </c>
      <c r="B3174" s="1">
        <f t="shared" si="49"/>
        <v>27</v>
      </c>
    </row>
    <row r="3175" spans="1:2">
      <c r="A3175" s="112">
        <v>40812</v>
      </c>
      <c r="B3175" s="1">
        <f t="shared" si="49"/>
        <v>28</v>
      </c>
    </row>
    <row r="3176" spans="1:2">
      <c r="A3176" s="112">
        <v>40813</v>
      </c>
      <c r="B3176" s="1">
        <f t="shared" si="49"/>
        <v>29</v>
      </c>
    </row>
    <row r="3177" spans="1:2">
      <c r="A3177" s="112">
        <v>40814</v>
      </c>
      <c r="B3177" s="1">
        <f t="shared" si="49"/>
        <v>0</v>
      </c>
    </row>
    <row r="3178" spans="1:2">
      <c r="A3178" s="112">
        <v>40815</v>
      </c>
      <c r="B3178" s="1">
        <f t="shared" si="49"/>
        <v>1</v>
      </c>
    </row>
    <row r="3179" spans="1:2">
      <c r="A3179" s="112">
        <v>40816</v>
      </c>
      <c r="B3179" s="1">
        <f t="shared" si="49"/>
        <v>2</v>
      </c>
    </row>
    <row r="3180" spans="1:2">
      <c r="A3180" s="112">
        <v>40817</v>
      </c>
      <c r="B3180" s="1">
        <f t="shared" si="49"/>
        <v>3</v>
      </c>
    </row>
    <row r="3181" spans="1:2">
      <c r="A3181" s="112">
        <v>40818</v>
      </c>
      <c r="B3181" s="1">
        <f t="shared" si="49"/>
        <v>4</v>
      </c>
    </row>
    <row r="3182" spans="1:2">
      <c r="A3182" s="112">
        <v>40819</v>
      </c>
      <c r="B3182" s="1">
        <f t="shared" si="49"/>
        <v>5</v>
      </c>
    </row>
    <row r="3183" spans="1:2">
      <c r="A3183" s="112">
        <v>40820</v>
      </c>
      <c r="B3183" s="1">
        <f t="shared" si="49"/>
        <v>6</v>
      </c>
    </row>
    <row r="3184" spans="1:2">
      <c r="A3184" s="112">
        <v>40821</v>
      </c>
      <c r="B3184" s="1">
        <f t="shared" si="49"/>
        <v>7</v>
      </c>
    </row>
    <row r="3185" spans="1:2">
      <c r="A3185" s="112">
        <v>40822</v>
      </c>
      <c r="B3185" s="1">
        <f t="shared" si="49"/>
        <v>8</v>
      </c>
    </row>
    <row r="3186" spans="1:2">
      <c r="A3186" s="112">
        <v>40823</v>
      </c>
      <c r="B3186" s="1">
        <f t="shared" si="49"/>
        <v>9</v>
      </c>
    </row>
    <row r="3187" spans="1:2">
      <c r="A3187" s="112">
        <v>40824</v>
      </c>
      <c r="B3187" s="1">
        <f t="shared" si="49"/>
        <v>10</v>
      </c>
    </row>
    <row r="3188" spans="1:2">
      <c r="A3188" s="112">
        <v>40825</v>
      </c>
      <c r="B3188" s="1">
        <f t="shared" si="49"/>
        <v>11</v>
      </c>
    </row>
    <row r="3189" spans="1:2">
      <c r="A3189" s="112">
        <v>40826</v>
      </c>
      <c r="B3189" s="1">
        <f t="shared" si="49"/>
        <v>12</v>
      </c>
    </row>
    <row r="3190" spans="1:2">
      <c r="A3190" s="112">
        <v>40827</v>
      </c>
      <c r="B3190" s="1">
        <f t="shared" si="49"/>
        <v>13</v>
      </c>
    </row>
    <row r="3191" spans="1:2">
      <c r="A3191" s="112">
        <v>40828</v>
      </c>
      <c r="B3191" s="1">
        <f t="shared" si="49"/>
        <v>14</v>
      </c>
    </row>
    <row r="3192" spans="1:2">
      <c r="A3192" s="112">
        <v>40829</v>
      </c>
      <c r="B3192" s="1">
        <f t="shared" si="49"/>
        <v>15</v>
      </c>
    </row>
    <row r="3193" spans="1:2">
      <c r="A3193" s="112">
        <v>40830</v>
      </c>
      <c r="B3193" s="1">
        <f t="shared" si="49"/>
        <v>16</v>
      </c>
    </row>
    <row r="3194" spans="1:2">
      <c r="A3194" s="112">
        <v>40831</v>
      </c>
      <c r="B3194" s="1">
        <f t="shared" si="49"/>
        <v>17</v>
      </c>
    </row>
    <row r="3195" spans="1:2">
      <c r="A3195" s="112">
        <v>40832</v>
      </c>
      <c r="B3195" s="1">
        <f t="shared" si="49"/>
        <v>18</v>
      </c>
    </row>
    <row r="3196" spans="1:2">
      <c r="A3196" s="112">
        <v>40833</v>
      </c>
      <c r="B3196" s="1">
        <f t="shared" si="49"/>
        <v>19</v>
      </c>
    </row>
    <row r="3197" spans="1:2">
      <c r="A3197" s="112">
        <v>40834</v>
      </c>
      <c r="B3197" s="1">
        <f t="shared" si="49"/>
        <v>20</v>
      </c>
    </row>
    <row r="3198" spans="1:2">
      <c r="A3198" s="112">
        <v>40835</v>
      </c>
      <c r="B3198" s="1">
        <f t="shared" si="49"/>
        <v>21</v>
      </c>
    </row>
    <row r="3199" spans="1:2">
      <c r="A3199" s="112">
        <v>40836</v>
      </c>
      <c r="B3199" s="1">
        <f t="shared" si="49"/>
        <v>22</v>
      </c>
    </row>
    <row r="3200" spans="1:2">
      <c r="A3200" s="112">
        <v>40837</v>
      </c>
      <c r="B3200" s="1">
        <f t="shared" si="49"/>
        <v>23</v>
      </c>
    </row>
    <row r="3201" spans="1:2">
      <c r="A3201" s="112">
        <v>40838</v>
      </c>
      <c r="B3201" s="1">
        <f t="shared" si="49"/>
        <v>24</v>
      </c>
    </row>
    <row r="3202" spans="1:2">
      <c r="A3202" s="112">
        <v>40839</v>
      </c>
      <c r="B3202" s="1">
        <f t="shared" si="49"/>
        <v>25</v>
      </c>
    </row>
    <row r="3203" spans="1:2">
      <c r="A3203" s="112">
        <v>40840</v>
      </c>
      <c r="B3203" s="1">
        <f t="shared" ref="B3203:B3266" si="50">INT(MOD($G$2+A3203-$F$2,29.53))</f>
        <v>26</v>
      </c>
    </row>
    <row r="3204" spans="1:2">
      <c r="A3204" s="112">
        <v>40841</v>
      </c>
      <c r="B3204" s="1">
        <f t="shared" si="50"/>
        <v>27</v>
      </c>
    </row>
    <row r="3205" spans="1:2">
      <c r="A3205" s="112">
        <v>40842</v>
      </c>
      <c r="B3205" s="1">
        <f t="shared" si="50"/>
        <v>28</v>
      </c>
    </row>
    <row r="3206" spans="1:2">
      <c r="A3206" s="112">
        <v>40843</v>
      </c>
      <c r="B3206" s="1">
        <f t="shared" si="50"/>
        <v>0</v>
      </c>
    </row>
    <row r="3207" spans="1:2">
      <c r="A3207" s="112">
        <v>40844</v>
      </c>
      <c r="B3207" s="1">
        <f t="shared" si="50"/>
        <v>1</v>
      </c>
    </row>
    <row r="3208" spans="1:2">
      <c r="A3208" s="112">
        <v>40845</v>
      </c>
      <c r="B3208" s="1">
        <f t="shared" si="50"/>
        <v>2</v>
      </c>
    </row>
    <row r="3209" spans="1:2">
      <c r="A3209" s="112">
        <v>40846</v>
      </c>
      <c r="B3209" s="1">
        <f t="shared" si="50"/>
        <v>3</v>
      </c>
    </row>
    <row r="3210" spans="1:2">
      <c r="A3210" s="112">
        <v>40847</v>
      </c>
      <c r="B3210" s="1">
        <f t="shared" si="50"/>
        <v>4</v>
      </c>
    </row>
    <row r="3211" spans="1:2">
      <c r="A3211" s="112">
        <v>40848</v>
      </c>
      <c r="B3211" s="1">
        <f t="shared" si="50"/>
        <v>5</v>
      </c>
    </row>
    <row r="3212" spans="1:2">
      <c r="A3212" s="112">
        <v>40849</v>
      </c>
      <c r="B3212" s="1">
        <f t="shared" si="50"/>
        <v>6</v>
      </c>
    </row>
    <row r="3213" spans="1:2">
      <c r="A3213" s="112">
        <v>40850</v>
      </c>
      <c r="B3213" s="1">
        <f t="shared" si="50"/>
        <v>7</v>
      </c>
    </row>
    <row r="3214" spans="1:2">
      <c r="A3214" s="112">
        <v>40851</v>
      </c>
      <c r="B3214" s="1">
        <f t="shared" si="50"/>
        <v>8</v>
      </c>
    </row>
    <row r="3215" spans="1:2">
      <c r="A3215" s="112">
        <v>40852</v>
      </c>
      <c r="B3215" s="1">
        <f t="shared" si="50"/>
        <v>9</v>
      </c>
    </row>
    <row r="3216" spans="1:2">
      <c r="A3216" s="112">
        <v>40853</v>
      </c>
      <c r="B3216" s="1">
        <f t="shared" si="50"/>
        <v>10</v>
      </c>
    </row>
    <row r="3217" spans="1:2">
      <c r="A3217" s="112">
        <v>40854</v>
      </c>
      <c r="B3217" s="1">
        <f t="shared" si="50"/>
        <v>11</v>
      </c>
    </row>
    <row r="3218" spans="1:2">
      <c r="A3218" s="112">
        <v>40855</v>
      </c>
      <c r="B3218" s="1">
        <f t="shared" si="50"/>
        <v>12</v>
      </c>
    </row>
    <row r="3219" spans="1:2">
      <c r="A3219" s="112">
        <v>40856</v>
      </c>
      <c r="B3219" s="1">
        <f t="shared" si="50"/>
        <v>13</v>
      </c>
    </row>
    <row r="3220" spans="1:2">
      <c r="A3220" s="112">
        <v>40857</v>
      </c>
      <c r="B3220" s="1">
        <f t="shared" si="50"/>
        <v>14</v>
      </c>
    </row>
    <row r="3221" spans="1:2">
      <c r="A3221" s="112">
        <v>40858</v>
      </c>
      <c r="B3221" s="1">
        <f t="shared" si="50"/>
        <v>15</v>
      </c>
    </row>
    <row r="3222" spans="1:2">
      <c r="A3222" s="112">
        <v>40859</v>
      </c>
      <c r="B3222" s="1">
        <f t="shared" si="50"/>
        <v>16</v>
      </c>
    </row>
    <row r="3223" spans="1:2">
      <c r="A3223" s="112">
        <v>40860</v>
      </c>
      <c r="B3223" s="1">
        <f t="shared" si="50"/>
        <v>17</v>
      </c>
    </row>
    <row r="3224" spans="1:2">
      <c r="A3224" s="112">
        <v>40861</v>
      </c>
      <c r="B3224" s="1">
        <f t="shared" si="50"/>
        <v>18</v>
      </c>
    </row>
    <row r="3225" spans="1:2">
      <c r="A3225" s="112">
        <v>40862</v>
      </c>
      <c r="B3225" s="1">
        <f t="shared" si="50"/>
        <v>19</v>
      </c>
    </row>
    <row r="3226" spans="1:2">
      <c r="A3226" s="112">
        <v>40863</v>
      </c>
      <c r="B3226" s="1">
        <f t="shared" si="50"/>
        <v>20</v>
      </c>
    </row>
    <row r="3227" spans="1:2">
      <c r="A3227" s="112">
        <v>40864</v>
      </c>
      <c r="B3227" s="1">
        <f t="shared" si="50"/>
        <v>21</v>
      </c>
    </row>
    <row r="3228" spans="1:2">
      <c r="A3228" s="112">
        <v>40865</v>
      </c>
      <c r="B3228" s="1">
        <f t="shared" si="50"/>
        <v>22</v>
      </c>
    </row>
    <row r="3229" spans="1:2">
      <c r="A3229" s="112">
        <v>40866</v>
      </c>
      <c r="B3229" s="1">
        <f t="shared" si="50"/>
        <v>23</v>
      </c>
    </row>
    <row r="3230" spans="1:2">
      <c r="A3230" s="112">
        <v>40867</v>
      </c>
      <c r="B3230" s="1">
        <f t="shared" si="50"/>
        <v>24</v>
      </c>
    </row>
    <row r="3231" spans="1:2">
      <c r="A3231" s="112">
        <v>40868</v>
      </c>
      <c r="B3231" s="1">
        <f t="shared" si="50"/>
        <v>25</v>
      </c>
    </row>
    <row r="3232" spans="1:2">
      <c r="A3232" s="112">
        <v>40869</v>
      </c>
      <c r="B3232" s="1">
        <f t="shared" si="50"/>
        <v>26</v>
      </c>
    </row>
    <row r="3233" spans="1:2">
      <c r="A3233" s="112">
        <v>40870</v>
      </c>
      <c r="B3233" s="1">
        <f t="shared" si="50"/>
        <v>27</v>
      </c>
    </row>
    <row r="3234" spans="1:2">
      <c r="A3234" s="112">
        <v>40871</v>
      </c>
      <c r="B3234" s="1">
        <f t="shared" si="50"/>
        <v>28</v>
      </c>
    </row>
    <row r="3235" spans="1:2">
      <c r="A3235" s="112">
        <v>40872</v>
      </c>
      <c r="B3235" s="1">
        <f t="shared" si="50"/>
        <v>29</v>
      </c>
    </row>
    <row r="3236" spans="1:2">
      <c r="A3236" s="112">
        <v>40873</v>
      </c>
      <c r="B3236" s="1">
        <f t="shared" si="50"/>
        <v>0</v>
      </c>
    </row>
    <row r="3237" spans="1:2">
      <c r="A3237" s="112">
        <v>40874</v>
      </c>
      <c r="B3237" s="1">
        <f t="shared" si="50"/>
        <v>1</v>
      </c>
    </row>
    <row r="3238" spans="1:2">
      <c r="A3238" s="112">
        <v>40875</v>
      </c>
      <c r="B3238" s="1">
        <f t="shared" si="50"/>
        <v>2</v>
      </c>
    </row>
    <row r="3239" spans="1:2">
      <c r="A3239" s="112">
        <v>40876</v>
      </c>
      <c r="B3239" s="1">
        <f t="shared" si="50"/>
        <v>3</v>
      </c>
    </row>
    <row r="3240" spans="1:2">
      <c r="A3240" s="112">
        <v>40877</v>
      </c>
      <c r="B3240" s="1">
        <f t="shared" si="50"/>
        <v>4</v>
      </c>
    </row>
    <row r="3241" spans="1:2">
      <c r="A3241" s="112">
        <v>40878</v>
      </c>
      <c r="B3241" s="1">
        <f t="shared" si="50"/>
        <v>5</v>
      </c>
    </row>
    <row r="3242" spans="1:2">
      <c r="A3242" s="112">
        <v>40879</v>
      </c>
      <c r="B3242" s="1">
        <f t="shared" si="50"/>
        <v>6</v>
      </c>
    </row>
    <row r="3243" spans="1:2">
      <c r="A3243" s="112">
        <v>40880</v>
      </c>
      <c r="B3243" s="1">
        <f t="shared" si="50"/>
        <v>7</v>
      </c>
    </row>
    <row r="3244" spans="1:2">
      <c r="A3244" s="112">
        <v>40881</v>
      </c>
      <c r="B3244" s="1">
        <f t="shared" si="50"/>
        <v>8</v>
      </c>
    </row>
    <row r="3245" spans="1:2">
      <c r="A3245" s="112">
        <v>40882</v>
      </c>
      <c r="B3245" s="1">
        <f t="shared" si="50"/>
        <v>9</v>
      </c>
    </row>
    <row r="3246" spans="1:2">
      <c r="A3246" s="112">
        <v>40883</v>
      </c>
      <c r="B3246" s="1">
        <f t="shared" si="50"/>
        <v>10</v>
      </c>
    </row>
    <row r="3247" spans="1:2">
      <c r="A3247" s="112">
        <v>40884</v>
      </c>
      <c r="B3247" s="1">
        <f t="shared" si="50"/>
        <v>11</v>
      </c>
    </row>
    <row r="3248" spans="1:2">
      <c r="A3248" s="112">
        <v>40885</v>
      </c>
      <c r="B3248" s="1">
        <f t="shared" si="50"/>
        <v>12</v>
      </c>
    </row>
    <row r="3249" spans="1:2">
      <c r="A3249" s="112">
        <v>40886</v>
      </c>
      <c r="B3249" s="1">
        <f t="shared" si="50"/>
        <v>13</v>
      </c>
    </row>
    <row r="3250" spans="1:2">
      <c r="A3250" s="112">
        <v>40887</v>
      </c>
      <c r="B3250" s="1">
        <f t="shared" si="50"/>
        <v>14</v>
      </c>
    </row>
    <row r="3251" spans="1:2">
      <c r="A3251" s="112">
        <v>40888</v>
      </c>
      <c r="B3251" s="1">
        <f t="shared" si="50"/>
        <v>15</v>
      </c>
    </row>
    <row r="3252" spans="1:2">
      <c r="A3252" s="112">
        <v>40889</v>
      </c>
      <c r="B3252" s="1">
        <f t="shared" si="50"/>
        <v>16</v>
      </c>
    </row>
    <row r="3253" spans="1:2">
      <c r="A3253" s="112">
        <v>40890</v>
      </c>
      <c r="B3253" s="1">
        <f t="shared" si="50"/>
        <v>17</v>
      </c>
    </row>
    <row r="3254" spans="1:2">
      <c r="A3254" s="112">
        <v>40891</v>
      </c>
      <c r="B3254" s="1">
        <f t="shared" si="50"/>
        <v>18</v>
      </c>
    </row>
    <row r="3255" spans="1:2">
      <c r="A3255" s="112">
        <v>40892</v>
      </c>
      <c r="B3255" s="1">
        <f t="shared" si="50"/>
        <v>19</v>
      </c>
    </row>
    <row r="3256" spans="1:2">
      <c r="A3256" s="112">
        <v>40893</v>
      </c>
      <c r="B3256" s="1">
        <f t="shared" si="50"/>
        <v>20</v>
      </c>
    </row>
    <row r="3257" spans="1:2">
      <c r="A3257" s="112">
        <v>40894</v>
      </c>
      <c r="B3257" s="1">
        <f t="shared" si="50"/>
        <v>21</v>
      </c>
    </row>
    <row r="3258" spans="1:2">
      <c r="A3258" s="112">
        <v>40895</v>
      </c>
      <c r="B3258" s="1">
        <f t="shared" si="50"/>
        <v>22</v>
      </c>
    </row>
    <row r="3259" spans="1:2">
      <c r="A3259" s="112">
        <v>40896</v>
      </c>
      <c r="B3259" s="1">
        <f t="shared" si="50"/>
        <v>23</v>
      </c>
    </row>
    <row r="3260" spans="1:2">
      <c r="A3260" s="112">
        <v>40897</v>
      </c>
      <c r="B3260" s="1">
        <f t="shared" si="50"/>
        <v>24</v>
      </c>
    </row>
    <row r="3261" spans="1:2">
      <c r="A3261" s="112">
        <v>40898</v>
      </c>
      <c r="B3261" s="1">
        <f t="shared" si="50"/>
        <v>25</v>
      </c>
    </row>
    <row r="3262" spans="1:2">
      <c r="A3262" s="112">
        <v>40899</v>
      </c>
      <c r="B3262" s="1">
        <f t="shared" si="50"/>
        <v>26</v>
      </c>
    </row>
    <row r="3263" spans="1:2">
      <c r="A3263" s="112">
        <v>40900</v>
      </c>
      <c r="B3263" s="1">
        <f t="shared" si="50"/>
        <v>27</v>
      </c>
    </row>
    <row r="3264" spans="1:2">
      <c r="A3264" s="112">
        <v>40901</v>
      </c>
      <c r="B3264" s="1">
        <f t="shared" si="50"/>
        <v>28</v>
      </c>
    </row>
    <row r="3265" spans="1:2">
      <c r="A3265" s="112">
        <v>40902</v>
      </c>
      <c r="B3265" s="1">
        <f t="shared" si="50"/>
        <v>0</v>
      </c>
    </row>
    <row r="3266" spans="1:2">
      <c r="A3266" s="112">
        <v>40903</v>
      </c>
      <c r="B3266" s="1">
        <f t="shared" si="50"/>
        <v>1</v>
      </c>
    </row>
    <row r="3267" spans="1:2">
      <c r="A3267" s="112">
        <v>40904</v>
      </c>
      <c r="B3267" s="1">
        <f t="shared" ref="B3267:B3330" si="51">INT(MOD($G$2+A3267-$F$2,29.53))</f>
        <v>2</v>
      </c>
    </row>
    <row r="3268" spans="1:2">
      <c r="A3268" s="112">
        <v>40905</v>
      </c>
      <c r="B3268" s="1">
        <f t="shared" si="51"/>
        <v>3</v>
      </c>
    </row>
    <row r="3269" spans="1:2">
      <c r="A3269" s="112">
        <v>40906</v>
      </c>
      <c r="B3269" s="1">
        <f t="shared" si="51"/>
        <v>4</v>
      </c>
    </row>
    <row r="3270" spans="1:2">
      <c r="A3270" s="112">
        <v>40907</v>
      </c>
      <c r="B3270" s="1">
        <f t="shared" si="51"/>
        <v>5</v>
      </c>
    </row>
    <row r="3271" spans="1:2">
      <c r="A3271" s="112">
        <v>40908</v>
      </c>
      <c r="B3271" s="1">
        <f t="shared" si="51"/>
        <v>6</v>
      </c>
    </row>
    <row r="3272" spans="1:2">
      <c r="A3272" s="112">
        <v>40909</v>
      </c>
      <c r="B3272" s="1">
        <f t="shared" si="51"/>
        <v>7</v>
      </c>
    </row>
    <row r="3273" spans="1:2">
      <c r="A3273" s="112">
        <v>40910</v>
      </c>
      <c r="B3273" s="1">
        <f t="shared" si="51"/>
        <v>8</v>
      </c>
    </row>
    <row r="3274" spans="1:2">
      <c r="A3274" s="112">
        <v>40911</v>
      </c>
      <c r="B3274" s="1">
        <f t="shared" si="51"/>
        <v>9</v>
      </c>
    </row>
    <row r="3275" spans="1:2">
      <c r="A3275" s="112">
        <v>40912</v>
      </c>
      <c r="B3275" s="1">
        <f t="shared" si="51"/>
        <v>10</v>
      </c>
    </row>
    <row r="3276" spans="1:2">
      <c r="A3276" s="112">
        <v>40913</v>
      </c>
      <c r="B3276" s="1">
        <f t="shared" si="51"/>
        <v>11</v>
      </c>
    </row>
    <row r="3277" spans="1:2">
      <c r="A3277" s="112">
        <v>40914</v>
      </c>
      <c r="B3277" s="1">
        <f t="shared" si="51"/>
        <v>12</v>
      </c>
    </row>
    <row r="3278" spans="1:2">
      <c r="A3278" s="112">
        <v>40915</v>
      </c>
      <c r="B3278" s="1">
        <f t="shared" si="51"/>
        <v>13</v>
      </c>
    </row>
    <row r="3279" spans="1:2">
      <c r="A3279" s="112">
        <v>40916</v>
      </c>
      <c r="B3279" s="1">
        <f t="shared" si="51"/>
        <v>14</v>
      </c>
    </row>
    <row r="3280" spans="1:2">
      <c r="A3280" s="112">
        <v>40917</v>
      </c>
      <c r="B3280" s="1">
        <f t="shared" si="51"/>
        <v>15</v>
      </c>
    </row>
    <row r="3281" spans="1:2">
      <c r="A3281" s="112">
        <v>40918</v>
      </c>
      <c r="B3281" s="1">
        <f t="shared" si="51"/>
        <v>16</v>
      </c>
    </row>
    <row r="3282" spans="1:2">
      <c r="A3282" s="112">
        <v>40919</v>
      </c>
      <c r="B3282" s="1">
        <f t="shared" si="51"/>
        <v>17</v>
      </c>
    </row>
    <row r="3283" spans="1:2">
      <c r="A3283" s="112">
        <v>40920</v>
      </c>
      <c r="B3283" s="1">
        <f t="shared" si="51"/>
        <v>18</v>
      </c>
    </row>
    <row r="3284" spans="1:2">
      <c r="A3284" s="112">
        <v>40921</v>
      </c>
      <c r="B3284" s="1">
        <f t="shared" si="51"/>
        <v>19</v>
      </c>
    </row>
    <row r="3285" spans="1:2">
      <c r="A3285" s="112">
        <v>40922</v>
      </c>
      <c r="B3285" s="1">
        <f t="shared" si="51"/>
        <v>20</v>
      </c>
    </row>
    <row r="3286" spans="1:2">
      <c r="A3286" s="112">
        <v>40923</v>
      </c>
      <c r="B3286" s="1">
        <f t="shared" si="51"/>
        <v>21</v>
      </c>
    </row>
    <row r="3287" spans="1:2">
      <c r="A3287" s="112">
        <v>40924</v>
      </c>
      <c r="B3287" s="1">
        <f t="shared" si="51"/>
        <v>22</v>
      </c>
    </row>
    <row r="3288" spans="1:2">
      <c r="A3288" s="112">
        <v>40925</v>
      </c>
      <c r="B3288" s="1">
        <f t="shared" si="51"/>
        <v>23</v>
      </c>
    </row>
    <row r="3289" spans="1:2">
      <c r="A3289" s="112">
        <v>40926</v>
      </c>
      <c r="B3289" s="1">
        <f t="shared" si="51"/>
        <v>24</v>
      </c>
    </row>
    <row r="3290" spans="1:2">
      <c r="A3290" s="112">
        <v>40927</v>
      </c>
      <c r="B3290" s="1">
        <f t="shared" si="51"/>
        <v>25</v>
      </c>
    </row>
    <row r="3291" spans="1:2">
      <c r="A3291" s="112">
        <v>40928</v>
      </c>
      <c r="B3291" s="1">
        <f t="shared" si="51"/>
        <v>26</v>
      </c>
    </row>
    <row r="3292" spans="1:2">
      <c r="A3292" s="112">
        <v>40929</v>
      </c>
      <c r="B3292" s="1">
        <f t="shared" si="51"/>
        <v>27</v>
      </c>
    </row>
    <row r="3293" spans="1:2">
      <c r="A3293" s="112">
        <v>40930</v>
      </c>
      <c r="B3293" s="1">
        <f t="shared" si="51"/>
        <v>28</v>
      </c>
    </row>
    <row r="3294" spans="1:2">
      <c r="A3294" s="112">
        <v>40931</v>
      </c>
      <c r="B3294" s="1">
        <f t="shared" si="51"/>
        <v>29</v>
      </c>
    </row>
    <row r="3295" spans="1:2">
      <c r="A3295" s="112">
        <v>40932</v>
      </c>
      <c r="B3295" s="1">
        <f t="shared" si="51"/>
        <v>0</v>
      </c>
    </row>
    <row r="3296" spans="1:2">
      <c r="A3296" s="112">
        <v>40933</v>
      </c>
      <c r="B3296" s="1">
        <f t="shared" si="51"/>
        <v>1</v>
      </c>
    </row>
    <row r="3297" spans="1:2">
      <c r="A3297" s="112">
        <v>40934</v>
      </c>
      <c r="B3297" s="1">
        <f t="shared" si="51"/>
        <v>2</v>
      </c>
    </row>
    <row r="3298" spans="1:2">
      <c r="A3298" s="112">
        <v>40935</v>
      </c>
      <c r="B3298" s="1">
        <f t="shared" si="51"/>
        <v>3</v>
      </c>
    </row>
    <row r="3299" spans="1:2">
      <c r="A3299" s="112">
        <v>40936</v>
      </c>
      <c r="B3299" s="1">
        <f t="shared" si="51"/>
        <v>4</v>
      </c>
    </row>
    <row r="3300" spans="1:2">
      <c r="A3300" s="112">
        <v>40937</v>
      </c>
      <c r="B3300" s="1">
        <f t="shared" si="51"/>
        <v>5</v>
      </c>
    </row>
    <row r="3301" spans="1:2">
      <c r="A3301" s="112">
        <v>40938</v>
      </c>
      <c r="B3301" s="1">
        <f t="shared" si="51"/>
        <v>6</v>
      </c>
    </row>
    <row r="3302" spans="1:2">
      <c r="A3302" s="112">
        <v>40939</v>
      </c>
      <c r="B3302" s="1">
        <f t="shared" si="51"/>
        <v>7</v>
      </c>
    </row>
    <row r="3303" spans="1:2">
      <c r="A3303" s="112">
        <v>40940</v>
      </c>
      <c r="B3303" s="1">
        <f t="shared" si="51"/>
        <v>8</v>
      </c>
    </row>
    <row r="3304" spans="1:2">
      <c r="A3304" s="112">
        <v>40941</v>
      </c>
      <c r="B3304" s="1">
        <f t="shared" si="51"/>
        <v>9</v>
      </c>
    </row>
    <row r="3305" spans="1:2">
      <c r="A3305" s="112">
        <v>40942</v>
      </c>
      <c r="B3305" s="1">
        <f t="shared" si="51"/>
        <v>10</v>
      </c>
    </row>
    <row r="3306" spans="1:2">
      <c r="A3306" s="112">
        <v>40943</v>
      </c>
      <c r="B3306" s="1">
        <f t="shared" si="51"/>
        <v>11</v>
      </c>
    </row>
    <row r="3307" spans="1:2">
      <c r="A3307" s="112">
        <v>40944</v>
      </c>
      <c r="B3307" s="1">
        <f t="shared" si="51"/>
        <v>12</v>
      </c>
    </row>
    <row r="3308" spans="1:2">
      <c r="A3308" s="112">
        <v>40945</v>
      </c>
      <c r="B3308" s="1">
        <f t="shared" si="51"/>
        <v>13</v>
      </c>
    </row>
    <row r="3309" spans="1:2">
      <c r="A3309" s="112">
        <v>40946</v>
      </c>
      <c r="B3309" s="1">
        <f t="shared" si="51"/>
        <v>14</v>
      </c>
    </row>
    <row r="3310" spans="1:2">
      <c r="A3310" s="112">
        <v>40947</v>
      </c>
      <c r="B3310" s="1">
        <f t="shared" si="51"/>
        <v>15</v>
      </c>
    </row>
    <row r="3311" spans="1:2">
      <c r="A3311" s="112">
        <v>40948</v>
      </c>
      <c r="B3311" s="1">
        <f t="shared" si="51"/>
        <v>16</v>
      </c>
    </row>
    <row r="3312" spans="1:2">
      <c r="A3312" s="112">
        <v>40949</v>
      </c>
      <c r="B3312" s="1">
        <f t="shared" si="51"/>
        <v>17</v>
      </c>
    </row>
    <row r="3313" spans="1:2">
      <c r="A3313" s="112">
        <v>40950</v>
      </c>
      <c r="B3313" s="1">
        <f t="shared" si="51"/>
        <v>18</v>
      </c>
    </row>
    <row r="3314" spans="1:2">
      <c r="A3314" s="112">
        <v>40951</v>
      </c>
      <c r="B3314" s="1">
        <f t="shared" si="51"/>
        <v>19</v>
      </c>
    </row>
    <row r="3315" spans="1:2">
      <c r="A3315" s="112">
        <v>40952</v>
      </c>
      <c r="B3315" s="1">
        <f t="shared" si="51"/>
        <v>20</v>
      </c>
    </row>
    <row r="3316" spans="1:2">
      <c r="A3316" s="112">
        <v>40953</v>
      </c>
      <c r="B3316" s="1">
        <f t="shared" si="51"/>
        <v>21</v>
      </c>
    </row>
    <row r="3317" spans="1:2">
      <c r="A3317" s="112">
        <v>40954</v>
      </c>
      <c r="B3317" s="1">
        <f t="shared" si="51"/>
        <v>22</v>
      </c>
    </row>
    <row r="3318" spans="1:2">
      <c r="A3318" s="112">
        <v>40955</v>
      </c>
      <c r="B3318" s="1">
        <f t="shared" si="51"/>
        <v>23</v>
      </c>
    </row>
    <row r="3319" spans="1:2">
      <c r="A3319" s="112">
        <v>40956</v>
      </c>
      <c r="B3319" s="1">
        <f t="shared" si="51"/>
        <v>24</v>
      </c>
    </row>
    <row r="3320" spans="1:2">
      <c r="A3320" s="112">
        <v>40957</v>
      </c>
      <c r="B3320" s="1">
        <f t="shared" si="51"/>
        <v>25</v>
      </c>
    </row>
    <row r="3321" spans="1:2">
      <c r="A3321" s="112">
        <v>40958</v>
      </c>
      <c r="B3321" s="1">
        <f t="shared" si="51"/>
        <v>26</v>
      </c>
    </row>
    <row r="3322" spans="1:2">
      <c r="A3322" s="112">
        <v>40959</v>
      </c>
      <c r="B3322" s="1">
        <f t="shared" si="51"/>
        <v>27</v>
      </c>
    </row>
    <row r="3323" spans="1:2">
      <c r="A3323" s="112">
        <v>40960</v>
      </c>
      <c r="B3323" s="1">
        <f t="shared" si="51"/>
        <v>28</v>
      </c>
    </row>
    <row r="3324" spans="1:2">
      <c r="A3324" s="112">
        <v>40961</v>
      </c>
      <c r="B3324" s="1">
        <f t="shared" si="51"/>
        <v>0</v>
      </c>
    </row>
    <row r="3325" spans="1:2">
      <c r="A3325" s="112">
        <v>40962</v>
      </c>
      <c r="B3325" s="1">
        <f t="shared" si="51"/>
        <v>1</v>
      </c>
    </row>
    <row r="3326" spans="1:2">
      <c r="A3326" s="112">
        <v>40963</v>
      </c>
      <c r="B3326" s="1">
        <f t="shared" si="51"/>
        <v>2</v>
      </c>
    </row>
    <row r="3327" spans="1:2">
      <c r="A3327" s="112">
        <v>40964</v>
      </c>
      <c r="B3327" s="1">
        <f t="shared" si="51"/>
        <v>3</v>
      </c>
    </row>
    <row r="3328" spans="1:2">
      <c r="A3328" s="112">
        <v>40965</v>
      </c>
      <c r="B3328" s="1">
        <f t="shared" si="51"/>
        <v>4</v>
      </c>
    </row>
    <row r="3329" spans="1:2">
      <c r="A3329" s="112">
        <v>40966</v>
      </c>
      <c r="B3329" s="1">
        <f t="shared" si="51"/>
        <v>5</v>
      </c>
    </row>
    <row r="3330" spans="1:2">
      <c r="A3330" s="112">
        <v>40967</v>
      </c>
      <c r="B3330" s="1">
        <f t="shared" si="51"/>
        <v>6</v>
      </c>
    </row>
    <row r="3331" spans="1:2">
      <c r="A3331" s="112">
        <v>40968</v>
      </c>
      <c r="B3331" s="1">
        <f t="shared" ref="B3331:B3394" si="52">INT(MOD($G$2+A3331-$F$2,29.53))</f>
        <v>7</v>
      </c>
    </row>
    <row r="3332" spans="1:2">
      <c r="A3332" s="112">
        <v>40969</v>
      </c>
      <c r="B3332" s="1">
        <f t="shared" si="52"/>
        <v>8</v>
      </c>
    </row>
    <row r="3333" spans="1:2">
      <c r="A3333" s="112">
        <v>40970</v>
      </c>
      <c r="B3333" s="1">
        <f t="shared" si="52"/>
        <v>9</v>
      </c>
    </row>
    <row r="3334" spans="1:2">
      <c r="A3334" s="112">
        <v>40971</v>
      </c>
      <c r="B3334" s="1">
        <f t="shared" si="52"/>
        <v>10</v>
      </c>
    </row>
    <row r="3335" spans="1:2">
      <c r="A3335" s="112">
        <v>40972</v>
      </c>
      <c r="B3335" s="1">
        <f t="shared" si="52"/>
        <v>11</v>
      </c>
    </row>
    <row r="3336" spans="1:2">
      <c r="A3336" s="112">
        <v>40973</v>
      </c>
      <c r="B3336" s="1">
        <f t="shared" si="52"/>
        <v>12</v>
      </c>
    </row>
    <row r="3337" spans="1:2">
      <c r="A3337" s="112">
        <v>40974</v>
      </c>
      <c r="B3337" s="1">
        <f t="shared" si="52"/>
        <v>13</v>
      </c>
    </row>
    <row r="3338" spans="1:2">
      <c r="A3338" s="112">
        <v>40975</v>
      </c>
      <c r="B3338" s="1">
        <f t="shared" si="52"/>
        <v>14</v>
      </c>
    </row>
    <row r="3339" spans="1:2">
      <c r="A3339" s="112">
        <v>40976</v>
      </c>
      <c r="B3339" s="1">
        <f t="shared" si="52"/>
        <v>15</v>
      </c>
    </row>
    <row r="3340" spans="1:2">
      <c r="A3340" s="112">
        <v>40977</v>
      </c>
      <c r="B3340" s="1">
        <f t="shared" si="52"/>
        <v>16</v>
      </c>
    </row>
    <row r="3341" spans="1:2">
      <c r="A3341" s="112">
        <v>40978</v>
      </c>
      <c r="B3341" s="1">
        <f t="shared" si="52"/>
        <v>17</v>
      </c>
    </row>
    <row r="3342" spans="1:2">
      <c r="A3342" s="112">
        <v>40979</v>
      </c>
      <c r="B3342" s="1">
        <f t="shared" si="52"/>
        <v>18</v>
      </c>
    </row>
    <row r="3343" spans="1:2">
      <c r="A3343" s="112">
        <v>40980</v>
      </c>
      <c r="B3343" s="1">
        <f t="shared" si="52"/>
        <v>19</v>
      </c>
    </row>
    <row r="3344" spans="1:2">
      <c r="A3344" s="112">
        <v>40981</v>
      </c>
      <c r="B3344" s="1">
        <f t="shared" si="52"/>
        <v>20</v>
      </c>
    </row>
    <row r="3345" spans="1:2">
      <c r="A3345" s="112">
        <v>40982</v>
      </c>
      <c r="B3345" s="1">
        <f t="shared" si="52"/>
        <v>21</v>
      </c>
    </row>
    <row r="3346" spans="1:2">
      <c r="A3346" s="112">
        <v>40983</v>
      </c>
      <c r="B3346" s="1">
        <f t="shared" si="52"/>
        <v>22</v>
      </c>
    </row>
    <row r="3347" spans="1:2">
      <c r="A3347" s="112">
        <v>40984</v>
      </c>
      <c r="B3347" s="1">
        <f t="shared" si="52"/>
        <v>23</v>
      </c>
    </row>
    <row r="3348" spans="1:2">
      <c r="A3348" s="112">
        <v>40985</v>
      </c>
      <c r="B3348" s="1">
        <f t="shared" si="52"/>
        <v>24</v>
      </c>
    </row>
    <row r="3349" spans="1:2">
      <c r="A3349" s="112">
        <v>40986</v>
      </c>
      <c r="B3349" s="1">
        <f t="shared" si="52"/>
        <v>25</v>
      </c>
    </row>
    <row r="3350" spans="1:2">
      <c r="A3350" s="112">
        <v>40987</v>
      </c>
      <c r="B3350" s="1">
        <f t="shared" si="52"/>
        <v>26</v>
      </c>
    </row>
    <row r="3351" spans="1:2">
      <c r="A3351" s="112">
        <v>40988</v>
      </c>
      <c r="B3351" s="1">
        <f t="shared" si="52"/>
        <v>27</v>
      </c>
    </row>
    <row r="3352" spans="1:2">
      <c r="A3352" s="112">
        <v>40989</v>
      </c>
      <c r="B3352" s="1">
        <f t="shared" si="52"/>
        <v>28</v>
      </c>
    </row>
    <row r="3353" spans="1:2">
      <c r="A3353" s="112">
        <v>40990</v>
      </c>
      <c r="B3353" s="1">
        <f t="shared" si="52"/>
        <v>29</v>
      </c>
    </row>
    <row r="3354" spans="1:2">
      <c r="A3354" s="112">
        <v>40991</v>
      </c>
      <c r="B3354" s="1">
        <f t="shared" si="52"/>
        <v>0</v>
      </c>
    </row>
    <row r="3355" spans="1:2">
      <c r="A3355" s="112">
        <v>40992</v>
      </c>
      <c r="B3355" s="1">
        <f t="shared" si="52"/>
        <v>1</v>
      </c>
    </row>
    <row r="3356" spans="1:2">
      <c r="A3356" s="112">
        <v>40993</v>
      </c>
      <c r="B3356" s="1">
        <f t="shared" si="52"/>
        <v>2</v>
      </c>
    </row>
    <row r="3357" spans="1:2">
      <c r="A3357" s="112">
        <v>40994</v>
      </c>
      <c r="B3357" s="1">
        <f t="shared" si="52"/>
        <v>3</v>
      </c>
    </row>
    <row r="3358" spans="1:2">
      <c r="A3358" s="112">
        <v>40995</v>
      </c>
      <c r="B3358" s="1">
        <f t="shared" si="52"/>
        <v>4</v>
      </c>
    </row>
    <row r="3359" spans="1:2">
      <c r="A3359" s="112">
        <v>40996</v>
      </c>
      <c r="B3359" s="1">
        <f t="shared" si="52"/>
        <v>5</v>
      </c>
    </row>
    <row r="3360" spans="1:2">
      <c r="A3360" s="112">
        <v>40997</v>
      </c>
      <c r="B3360" s="1">
        <f t="shared" si="52"/>
        <v>6</v>
      </c>
    </row>
    <row r="3361" spans="1:2">
      <c r="A3361" s="112">
        <v>40998</v>
      </c>
      <c r="B3361" s="1">
        <f t="shared" si="52"/>
        <v>7</v>
      </c>
    </row>
    <row r="3362" spans="1:2">
      <c r="A3362" s="112">
        <v>40999</v>
      </c>
      <c r="B3362" s="1">
        <f t="shared" si="52"/>
        <v>8</v>
      </c>
    </row>
    <row r="3363" spans="1:2">
      <c r="A3363" s="112">
        <v>41000</v>
      </c>
      <c r="B3363" s="1">
        <f t="shared" si="52"/>
        <v>9</v>
      </c>
    </row>
    <row r="3364" spans="1:2">
      <c r="A3364" s="112">
        <v>41001</v>
      </c>
      <c r="B3364" s="1">
        <f t="shared" si="52"/>
        <v>10</v>
      </c>
    </row>
    <row r="3365" spans="1:2">
      <c r="A3365" s="112">
        <v>41002</v>
      </c>
      <c r="B3365" s="1">
        <f t="shared" si="52"/>
        <v>11</v>
      </c>
    </row>
    <row r="3366" spans="1:2">
      <c r="A3366" s="112">
        <v>41003</v>
      </c>
      <c r="B3366" s="1">
        <f t="shared" si="52"/>
        <v>12</v>
      </c>
    </row>
    <row r="3367" spans="1:2">
      <c r="A3367" s="112">
        <v>41004</v>
      </c>
      <c r="B3367" s="1">
        <f t="shared" si="52"/>
        <v>13</v>
      </c>
    </row>
    <row r="3368" spans="1:2">
      <c r="A3368" s="112">
        <v>41005</v>
      </c>
      <c r="B3368" s="1">
        <f t="shared" si="52"/>
        <v>14</v>
      </c>
    </row>
    <row r="3369" spans="1:2">
      <c r="A3369" s="112">
        <v>41006</v>
      </c>
      <c r="B3369" s="1">
        <f t="shared" si="52"/>
        <v>15</v>
      </c>
    </row>
    <row r="3370" spans="1:2">
      <c r="A3370" s="112">
        <v>41007</v>
      </c>
      <c r="B3370" s="1">
        <f t="shared" si="52"/>
        <v>16</v>
      </c>
    </row>
    <row r="3371" spans="1:2">
      <c r="A3371" s="112">
        <v>41008</v>
      </c>
      <c r="B3371" s="1">
        <f t="shared" si="52"/>
        <v>17</v>
      </c>
    </row>
    <row r="3372" spans="1:2">
      <c r="A3372" s="112">
        <v>41009</v>
      </c>
      <c r="B3372" s="1">
        <f t="shared" si="52"/>
        <v>18</v>
      </c>
    </row>
    <row r="3373" spans="1:2">
      <c r="A3373" s="112">
        <v>41010</v>
      </c>
      <c r="B3373" s="1">
        <f t="shared" si="52"/>
        <v>19</v>
      </c>
    </row>
    <row r="3374" spans="1:2">
      <c r="A3374" s="112">
        <v>41011</v>
      </c>
      <c r="B3374" s="1">
        <f t="shared" si="52"/>
        <v>20</v>
      </c>
    </row>
    <row r="3375" spans="1:2">
      <c r="A3375" s="112">
        <v>41012</v>
      </c>
      <c r="B3375" s="1">
        <f t="shared" si="52"/>
        <v>21</v>
      </c>
    </row>
    <row r="3376" spans="1:2">
      <c r="A3376" s="112">
        <v>41013</v>
      </c>
      <c r="B3376" s="1">
        <f t="shared" si="52"/>
        <v>22</v>
      </c>
    </row>
    <row r="3377" spans="1:2">
      <c r="A3377" s="112">
        <v>41014</v>
      </c>
      <c r="B3377" s="1">
        <f t="shared" si="52"/>
        <v>23</v>
      </c>
    </row>
    <row r="3378" spans="1:2">
      <c r="A3378" s="112">
        <v>41015</v>
      </c>
      <c r="B3378" s="1">
        <f t="shared" si="52"/>
        <v>24</v>
      </c>
    </row>
    <row r="3379" spans="1:2">
      <c r="A3379" s="112">
        <v>41016</v>
      </c>
      <c r="B3379" s="1">
        <f t="shared" si="52"/>
        <v>25</v>
      </c>
    </row>
    <row r="3380" spans="1:2">
      <c r="A3380" s="112">
        <v>41017</v>
      </c>
      <c r="B3380" s="1">
        <f t="shared" si="52"/>
        <v>26</v>
      </c>
    </row>
    <row r="3381" spans="1:2">
      <c r="A3381" s="112">
        <v>41018</v>
      </c>
      <c r="B3381" s="1">
        <f t="shared" si="52"/>
        <v>27</v>
      </c>
    </row>
    <row r="3382" spans="1:2">
      <c r="A3382" s="112">
        <v>41019</v>
      </c>
      <c r="B3382" s="1">
        <f t="shared" si="52"/>
        <v>28</v>
      </c>
    </row>
    <row r="3383" spans="1:2">
      <c r="A3383" s="112">
        <v>41020</v>
      </c>
      <c r="B3383" s="1">
        <f t="shared" si="52"/>
        <v>0</v>
      </c>
    </row>
    <row r="3384" spans="1:2">
      <c r="A3384" s="112">
        <v>41021</v>
      </c>
      <c r="B3384" s="1">
        <f t="shared" si="52"/>
        <v>1</v>
      </c>
    </row>
    <row r="3385" spans="1:2">
      <c r="A3385" s="112">
        <v>41022</v>
      </c>
      <c r="B3385" s="1">
        <f t="shared" si="52"/>
        <v>2</v>
      </c>
    </row>
    <row r="3386" spans="1:2">
      <c r="A3386" s="112">
        <v>41023</v>
      </c>
      <c r="B3386" s="1">
        <f t="shared" si="52"/>
        <v>3</v>
      </c>
    </row>
    <row r="3387" spans="1:2">
      <c r="A3387" s="112">
        <v>41024</v>
      </c>
      <c r="B3387" s="1">
        <f t="shared" si="52"/>
        <v>4</v>
      </c>
    </row>
    <row r="3388" spans="1:2">
      <c r="A3388" s="112">
        <v>41025</v>
      </c>
      <c r="B3388" s="1">
        <f t="shared" si="52"/>
        <v>5</v>
      </c>
    </row>
    <row r="3389" spans="1:2">
      <c r="A3389" s="112">
        <v>41026</v>
      </c>
      <c r="B3389" s="1">
        <f t="shared" si="52"/>
        <v>6</v>
      </c>
    </row>
    <row r="3390" spans="1:2">
      <c r="A3390" s="112">
        <v>41027</v>
      </c>
      <c r="B3390" s="1">
        <f t="shared" si="52"/>
        <v>7</v>
      </c>
    </row>
    <row r="3391" spans="1:2">
      <c r="A3391" s="112">
        <v>41028</v>
      </c>
      <c r="B3391" s="1">
        <f t="shared" si="52"/>
        <v>8</v>
      </c>
    </row>
    <row r="3392" spans="1:2">
      <c r="A3392" s="112">
        <v>41029</v>
      </c>
      <c r="B3392" s="1">
        <f t="shared" si="52"/>
        <v>9</v>
      </c>
    </row>
    <row r="3393" spans="1:2">
      <c r="A3393" s="112">
        <v>41030</v>
      </c>
      <c r="B3393" s="1">
        <f t="shared" si="52"/>
        <v>10</v>
      </c>
    </row>
    <row r="3394" spans="1:2">
      <c r="A3394" s="112">
        <v>41031</v>
      </c>
      <c r="B3394" s="1">
        <f t="shared" si="52"/>
        <v>11</v>
      </c>
    </row>
    <row r="3395" spans="1:2">
      <c r="A3395" s="112">
        <v>41032</v>
      </c>
      <c r="B3395" s="1">
        <f t="shared" ref="B3395:B3458" si="53">INT(MOD($G$2+A3395-$F$2,29.53))</f>
        <v>12</v>
      </c>
    </row>
    <row r="3396" spans="1:2">
      <c r="A3396" s="112">
        <v>41033</v>
      </c>
      <c r="B3396" s="1">
        <f t="shared" si="53"/>
        <v>13</v>
      </c>
    </row>
    <row r="3397" spans="1:2">
      <c r="A3397" s="112">
        <v>41034</v>
      </c>
      <c r="B3397" s="1">
        <f t="shared" si="53"/>
        <v>14</v>
      </c>
    </row>
    <row r="3398" spans="1:2">
      <c r="A3398" s="112">
        <v>41035</v>
      </c>
      <c r="B3398" s="1">
        <f t="shared" si="53"/>
        <v>15</v>
      </c>
    </row>
    <row r="3399" spans="1:2">
      <c r="A3399" s="112">
        <v>41036</v>
      </c>
      <c r="B3399" s="1">
        <f t="shared" si="53"/>
        <v>16</v>
      </c>
    </row>
    <row r="3400" spans="1:2">
      <c r="A3400" s="112">
        <v>41037</v>
      </c>
      <c r="B3400" s="1">
        <f t="shared" si="53"/>
        <v>17</v>
      </c>
    </row>
    <row r="3401" spans="1:2">
      <c r="A3401" s="112">
        <v>41038</v>
      </c>
      <c r="B3401" s="1">
        <f t="shared" si="53"/>
        <v>18</v>
      </c>
    </row>
    <row r="3402" spans="1:2">
      <c r="A3402" s="112">
        <v>41039</v>
      </c>
      <c r="B3402" s="1">
        <f t="shared" si="53"/>
        <v>19</v>
      </c>
    </row>
    <row r="3403" spans="1:2">
      <c r="A3403" s="112">
        <v>41040</v>
      </c>
      <c r="B3403" s="1">
        <f t="shared" si="53"/>
        <v>20</v>
      </c>
    </row>
    <row r="3404" spans="1:2">
      <c r="A3404" s="112">
        <v>41041</v>
      </c>
      <c r="B3404" s="1">
        <f t="shared" si="53"/>
        <v>21</v>
      </c>
    </row>
    <row r="3405" spans="1:2">
      <c r="A3405" s="112">
        <v>41042</v>
      </c>
      <c r="B3405" s="1">
        <f t="shared" si="53"/>
        <v>22</v>
      </c>
    </row>
    <row r="3406" spans="1:2">
      <c r="A3406" s="112">
        <v>41043</v>
      </c>
      <c r="B3406" s="1">
        <f t="shared" si="53"/>
        <v>23</v>
      </c>
    </row>
    <row r="3407" spans="1:2">
      <c r="A3407" s="112">
        <v>41044</v>
      </c>
      <c r="B3407" s="1">
        <f t="shared" si="53"/>
        <v>24</v>
      </c>
    </row>
    <row r="3408" spans="1:2">
      <c r="A3408" s="112">
        <v>41045</v>
      </c>
      <c r="B3408" s="1">
        <f t="shared" si="53"/>
        <v>25</v>
      </c>
    </row>
    <row r="3409" spans="1:2">
      <c r="A3409" s="112">
        <v>41046</v>
      </c>
      <c r="B3409" s="1">
        <f t="shared" si="53"/>
        <v>26</v>
      </c>
    </row>
    <row r="3410" spans="1:2">
      <c r="A3410" s="112">
        <v>41047</v>
      </c>
      <c r="B3410" s="1">
        <f t="shared" si="53"/>
        <v>27</v>
      </c>
    </row>
    <row r="3411" spans="1:2">
      <c r="A3411" s="112">
        <v>41048</v>
      </c>
      <c r="B3411" s="1">
        <f t="shared" si="53"/>
        <v>28</v>
      </c>
    </row>
    <row r="3412" spans="1:2">
      <c r="A3412" s="112">
        <v>41049</v>
      </c>
      <c r="B3412" s="1">
        <f t="shared" si="53"/>
        <v>29</v>
      </c>
    </row>
    <row r="3413" spans="1:2">
      <c r="A3413" s="112">
        <v>41050</v>
      </c>
      <c r="B3413" s="1">
        <f t="shared" si="53"/>
        <v>0</v>
      </c>
    </row>
    <row r="3414" spans="1:2">
      <c r="A3414" s="112">
        <v>41051</v>
      </c>
      <c r="B3414" s="1">
        <f t="shared" si="53"/>
        <v>1</v>
      </c>
    </row>
    <row r="3415" spans="1:2">
      <c r="A3415" s="112">
        <v>41052</v>
      </c>
      <c r="B3415" s="1">
        <f t="shared" si="53"/>
        <v>2</v>
      </c>
    </row>
    <row r="3416" spans="1:2">
      <c r="A3416" s="112">
        <v>41053</v>
      </c>
      <c r="B3416" s="1">
        <f t="shared" si="53"/>
        <v>3</v>
      </c>
    </row>
    <row r="3417" spans="1:2">
      <c r="A3417" s="112">
        <v>41054</v>
      </c>
      <c r="B3417" s="1">
        <f t="shared" si="53"/>
        <v>4</v>
      </c>
    </row>
    <row r="3418" spans="1:2">
      <c r="A3418" s="112">
        <v>41055</v>
      </c>
      <c r="B3418" s="1">
        <f t="shared" si="53"/>
        <v>5</v>
      </c>
    </row>
    <row r="3419" spans="1:2">
      <c r="A3419" s="112">
        <v>41056</v>
      </c>
      <c r="B3419" s="1">
        <f t="shared" si="53"/>
        <v>6</v>
      </c>
    </row>
    <row r="3420" spans="1:2">
      <c r="A3420" s="112">
        <v>41057</v>
      </c>
      <c r="B3420" s="1">
        <f t="shared" si="53"/>
        <v>7</v>
      </c>
    </row>
    <row r="3421" spans="1:2">
      <c r="A3421" s="112">
        <v>41058</v>
      </c>
      <c r="B3421" s="1">
        <f t="shared" si="53"/>
        <v>8</v>
      </c>
    </row>
    <row r="3422" spans="1:2">
      <c r="A3422" s="112">
        <v>41059</v>
      </c>
      <c r="B3422" s="1">
        <f t="shared" si="53"/>
        <v>9</v>
      </c>
    </row>
    <row r="3423" spans="1:2">
      <c r="A3423" s="112">
        <v>41060</v>
      </c>
      <c r="B3423" s="1">
        <f t="shared" si="53"/>
        <v>10</v>
      </c>
    </row>
    <row r="3424" spans="1:2">
      <c r="A3424" s="112">
        <v>41061</v>
      </c>
      <c r="B3424" s="1">
        <f t="shared" si="53"/>
        <v>11</v>
      </c>
    </row>
    <row r="3425" spans="1:2">
      <c r="A3425" s="112">
        <v>41062</v>
      </c>
      <c r="B3425" s="1">
        <f t="shared" si="53"/>
        <v>12</v>
      </c>
    </row>
    <row r="3426" spans="1:2">
      <c r="A3426" s="112">
        <v>41063</v>
      </c>
      <c r="B3426" s="1">
        <f t="shared" si="53"/>
        <v>13</v>
      </c>
    </row>
    <row r="3427" spans="1:2">
      <c r="A3427" s="112">
        <v>41064</v>
      </c>
      <c r="B3427" s="1">
        <f t="shared" si="53"/>
        <v>14</v>
      </c>
    </row>
    <row r="3428" spans="1:2">
      <c r="A3428" s="112">
        <v>41065</v>
      </c>
      <c r="B3428" s="1">
        <f t="shared" si="53"/>
        <v>15</v>
      </c>
    </row>
    <row r="3429" spans="1:2">
      <c r="A3429" s="112">
        <v>41066</v>
      </c>
      <c r="B3429" s="1">
        <f t="shared" si="53"/>
        <v>16</v>
      </c>
    </row>
    <row r="3430" spans="1:2">
      <c r="A3430" s="112">
        <v>41067</v>
      </c>
      <c r="B3430" s="1">
        <f t="shared" si="53"/>
        <v>17</v>
      </c>
    </row>
    <row r="3431" spans="1:2">
      <c r="A3431" s="112">
        <v>41068</v>
      </c>
      <c r="B3431" s="1">
        <f t="shared" si="53"/>
        <v>18</v>
      </c>
    </row>
    <row r="3432" spans="1:2">
      <c r="A3432" s="112">
        <v>41069</v>
      </c>
      <c r="B3432" s="1">
        <f t="shared" si="53"/>
        <v>19</v>
      </c>
    </row>
    <row r="3433" spans="1:2">
      <c r="A3433" s="112">
        <v>41070</v>
      </c>
      <c r="B3433" s="1">
        <f t="shared" si="53"/>
        <v>20</v>
      </c>
    </row>
    <row r="3434" spans="1:2">
      <c r="A3434" s="112">
        <v>41071</v>
      </c>
      <c r="B3434" s="1">
        <f t="shared" si="53"/>
        <v>21</v>
      </c>
    </row>
    <row r="3435" spans="1:2">
      <c r="A3435" s="112">
        <v>41072</v>
      </c>
      <c r="B3435" s="1">
        <f t="shared" si="53"/>
        <v>22</v>
      </c>
    </row>
    <row r="3436" spans="1:2">
      <c r="A3436" s="112">
        <v>41073</v>
      </c>
      <c r="B3436" s="1">
        <f t="shared" si="53"/>
        <v>23</v>
      </c>
    </row>
    <row r="3437" spans="1:2">
      <c r="A3437" s="112">
        <v>41074</v>
      </c>
      <c r="B3437" s="1">
        <f t="shared" si="53"/>
        <v>24</v>
      </c>
    </row>
    <row r="3438" spans="1:2">
      <c r="A3438" s="112">
        <v>41075</v>
      </c>
      <c r="B3438" s="1">
        <f t="shared" si="53"/>
        <v>25</v>
      </c>
    </row>
    <row r="3439" spans="1:2">
      <c r="A3439" s="112">
        <v>41076</v>
      </c>
      <c r="B3439" s="1">
        <f t="shared" si="53"/>
        <v>26</v>
      </c>
    </row>
    <row r="3440" spans="1:2">
      <c r="A3440" s="112">
        <v>41077</v>
      </c>
      <c r="B3440" s="1">
        <f t="shared" si="53"/>
        <v>27</v>
      </c>
    </row>
    <row r="3441" spans="1:2">
      <c r="A3441" s="112">
        <v>41078</v>
      </c>
      <c r="B3441" s="1">
        <f t="shared" si="53"/>
        <v>28</v>
      </c>
    </row>
    <row r="3442" spans="1:2">
      <c r="A3442" s="112">
        <v>41079</v>
      </c>
      <c r="B3442" s="1">
        <f t="shared" si="53"/>
        <v>0</v>
      </c>
    </row>
    <row r="3443" spans="1:2">
      <c r="A3443" s="112">
        <v>41080</v>
      </c>
      <c r="B3443" s="1">
        <f t="shared" si="53"/>
        <v>1</v>
      </c>
    </row>
    <row r="3444" spans="1:2">
      <c r="A3444" s="112">
        <v>41081</v>
      </c>
      <c r="B3444" s="1">
        <f t="shared" si="53"/>
        <v>2</v>
      </c>
    </row>
    <row r="3445" spans="1:2">
      <c r="A3445" s="112">
        <v>41082</v>
      </c>
      <c r="B3445" s="1">
        <f t="shared" si="53"/>
        <v>3</v>
      </c>
    </row>
    <row r="3446" spans="1:2">
      <c r="A3446" s="112">
        <v>41083</v>
      </c>
      <c r="B3446" s="1">
        <f t="shared" si="53"/>
        <v>4</v>
      </c>
    </row>
    <row r="3447" spans="1:2">
      <c r="A3447" s="112">
        <v>41084</v>
      </c>
      <c r="B3447" s="1">
        <f t="shared" si="53"/>
        <v>5</v>
      </c>
    </row>
    <row r="3448" spans="1:2">
      <c r="A3448" s="112">
        <v>41085</v>
      </c>
      <c r="B3448" s="1">
        <f t="shared" si="53"/>
        <v>6</v>
      </c>
    </row>
    <row r="3449" spans="1:2">
      <c r="A3449" s="112">
        <v>41086</v>
      </c>
      <c r="B3449" s="1">
        <f t="shared" si="53"/>
        <v>7</v>
      </c>
    </row>
    <row r="3450" spans="1:2">
      <c r="A3450" s="112">
        <v>41087</v>
      </c>
      <c r="B3450" s="1">
        <f t="shared" si="53"/>
        <v>8</v>
      </c>
    </row>
    <row r="3451" spans="1:2">
      <c r="A3451" s="112">
        <v>41088</v>
      </c>
      <c r="B3451" s="1">
        <f t="shared" si="53"/>
        <v>9</v>
      </c>
    </row>
    <row r="3452" spans="1:2">
      <c r="A3452" s="112">
        <v>41089</v>
      </c>
      <c r="B3452" s="1">
        <f t="shared" si="53"/>
        <v>10</v>
      </c>
    </row>
    <row r="3453" spans="1:2">
      <c r="A3453" s="112">
        <v>41090</v>
      </c>
      <c r="B3453" s="1">
        <f t="shared" si="53"/>
        <v>11</v>
      </c>
    </row>
    <row r="3454" spans="1:2">
      <c r="A3454" s="112">
        <v>41091</v>
      </c>
      <c r="B3454" s="1">
        <f t="shared" si="53"/>
        <v>12</v>
      </c>
    </row>
    <row r="3455" spans="1:2">
      <c r="A3455" s="112">
        <v>41092</v>
      </c>
      <c r="B3455" s="1">
        <f t="shared" si="53"/>
        <v>13</v>
      </c>
    </row>
    <row r="3456" spans="1:2">
      <c r="A3456" s="112">
        <v>41093</v>
      </c>
      <c r="B3456" s="1">
        <f t="shared" si="53"/>
        <v>14</v>
      </c>
    </row>
    <row r="3457" spans="1:2">
      <c r="A3457" s="112">
        <v>41094</v>
      </c>
      <c r="B3457" s="1">
        <f t="shared" si="53"/>
        <v>15</v>
      </c>
    </row>
    <row r="3458" spans="1:2">
      <c r="A3458" s="112">
        <v>41095</v>
      </c>
      <c r="B3458" s="1">
        <f t="shared" si="53"/>
        <v>16</v>
      </c>
    </row>
    <row r="3459" spans="1:2">
      <c r="A3459" s="112">
        <v>41096</v>
      </c>
      <c r="B3459" s="1">
        <f t="shared" ref="B3459:B3522" si="54">INT(MOD($G$2+A3459-$F$2,29.53))</f>
        <v>17</v>
      </c>
    </row>
    <row r="3460" spans="1:2">
      <c r="A3460" s="112">
        <v>41097</v>
      </c>
      <c r="B3460" s="1">
        <f t="shared" si="54"/>
        <v>18</v>
      </c>
    </row>
    <row r="3461" spans="1:2">
      <c r="A3461" s="112">
        <v>41098</v>
      </c>
      <c r="B3461" s="1">
        <f t="shared" si="54"/>
        <v>19</v>
      </c>
    </row>
    <row r="3462" spans="1:2">
      <c r="A3462" s="112">
        <v>41099</v>
      </c>
      <c r="B3462" s="1">
        <f t="shared" si="54"/>
        <v>20</v>
      </c>
    </row>
    <row r="3463" spans="1:2">
      <c r="A3463" s="112">
        <v>41100</v>
      </c>
      <c r="B3463" s="1">
        <f t="shared" si="54"/>
        <v>21</v>
      </c>
    </row>
    <row r="3464" spans="1:2">
      <c r="A3464" s="112">
        <v>41101</v>
      </c>
      <c r="B3464" s="1">
        <f t="shared" si="54"/>
        <v>22</v>
      </c>
    </row>
    <row r="3465" spans="1:2">
      <c r="A3465" s="112">
        <v>41102</v>
      </c>
      <c r="B3465" s="1">
        <f t="shared" si="54"/>
        <v>23</v>
      </c>
    </row>
    <row r="3466" spans="1:2">
      <c r="A3466" s="112">
        <v>41103</v>
      </c>
      <c r="B3466" s="1">
        <f t="shared" si="54"/>
        <v>24</v>
      </c>
    </row>
    <row r="3467" spans="1:2">
      <c r="A3467" s="112">
        <v>41104</v>
      </c>
      <c r="B3467" s="1">
        <f t="shared" si="54"/>
        <v>25</v>
      </c>
    </row>
    <row r="3468" spans="1:2">
      <c r="A3468" s="112">
        <v>41105</v>
      </c>
      <c r="B3468" s="1">
        <f t="shared" si="54"/>
        <v>26</v>
      </c>
    </row>
    <row r="3469" spans="1:2">
      <c r="A3469" s="112">
        <v>41106</v>
      </c>
      <c r="B3469" s="1">
        <f t="shared" si="54"/>
        <v>27</v>
      </c>
    </row>
    <row r="3470" spans="1:2">
      <c r="A3470" s="112">
        <v>41107</v>
      </c>
      <c r="B3470" s="1">
        <f t="shared" si="54"/>
        <v>28</v>
      </c>
    </row>
    <row r="3471" spans="1:2">
      <c r="A3471" s="112">
        <v>41108</v>
      </c>
      <c r="B3471" s="1">
        <f t="shared" si="54"/>
        <v>29</v>
      </c>
    </row>
    <row r="3472" spans="1:2">
      <c r="A3472" s="112">
        <v>41109</v>
      </c>
      <c r="B3472" s="1">
        <f t="shared" si="54"/>
        <v>0</v>
      </c>
    </row>
    <row r="3473" spans="1:2">
      <c r="A3473" s="112">
        <v>41110</v>
      </c>
      <c r="B3473" s="1">
        <f t="shared" si="54"/>
        <v>1</v>
      </c>
    </row>
    <row r="3474" spans="1:2">
      <c r="A3474" s="112">
        <v>41111</v>
      </c>
      <c r="B3474" s="1">
        <f t="shared" si="54"/>
        <v>2</v>
      </c>
    </row>
    <row r="3475" spans="1:2">
      <c r="A3475" s="112">
        <v>41112</v>
      </c>
      <c r="B3475" s="1">
        <f t="shared" si="54"/>
        <v>3</v>
      </c>
    </row>
    <row r="3476" spans="1:2">
      <c r="A3476" s="112">
        <v>41113</v>
      </c>
      <c r="B3476" s="1">
        <f t="shared" si="54"/>
        <v>4</v>
      </c>
    </row>
    <row r="3477" spans="1:2">
      <c r="A3477" s="112">
        <v>41114</v>
      </c>
      <c r="B3477" s="1">
        <f t="shared" si="54"/>
        <v>5</v>
      </c>
    </row>
    <row r="3478" spans="1:2">
      <c r="A3478" s="112">
        <v>41115</v>
      </c>
      <c r="B3478" s="1">
        <f t="shared" si="54"/>
        <v>6</v>
      </c>
    </row>
    <row r="3479" spans="1:2">
      <c r="A3479" s="112">
        <v>41116</v>
      </c>
      <c r="B3479" s="1">
        <f t="shared" si="54"/>
        <v>7</v>
      </c>
    </row>
    <row r="3480" spans="1:2">
      <c r="A3480" s="112">
        <v>41117</v>
      </c>
      <c r="B3480" s="1">
        <f t="shared" si="54"/>
        <v>8</v>
      </c>
    </row>
    <row r="3481" spans="1:2">
      <c r="A3481" s="112">
        <v>41118</v>
      </c>
      <c r="B3481" s="1">
        <f t="shared" si="54"/>
        <v>9</v>
      </c>
    </row>
    <row r="3482" spans="1:2">
      <c r="A3482" s="112">
        <v>41119</v>
      </c>
      <c r="B3482" s="1">
        <f t="shared" si="54"/>
        <v>10</v>
      </c>
    </row>
    <row r="3483" spans="1:2">
      <c r="A3483" s="112">
        <v>41120</v>
      </c>
      <c r="B3483" s="1">
        <f t="shared" si="54"/>
        <v>11</v>
      </c>
    </row>
    <row r="3484" spans="1:2">
      <c r="A3484" s="112">
        <v>41121</v>
      </c>
      <c r="B3484" s="1">
        <f t="shared" si="54"/>
        <v>12</v>
      </c>
    </row>
    <row r="3485" spans="1:2">
      <c r="A3485" s="112">
        <v>41122</v>
      </c>
      <c r="B3485" s="1">
        <f t="shared" si="54"/>
        <v>13</v>
      </c>
    </row>
    <row r="3486" spans="1:2">
      <c r="A3486" s="112">
        <v>41123</v>
      </c>
      <c r="B3486" s="1">
        <f t="shared" si="54"/>
        <v>14</v>
      </c>
    </row>
    <row r="3487" spans="1:2">
      <c r="A3487" s="112">
        <v>41124</v>
      </c>
      <c r="B3487" s="1">
        <f t="shared" si="54"/>
        <v>15</v>
      </c>
    </row>
    <row r="3488" spans="1:2">
      <c r="A3488" s="112">
        <v>41125</v>
      </c>
      <c r="B3488" s="1">
        <f t="shared" si="54"/>
        <v>16</v>
      </c>
    </row>
    <row r="3489" spans="1:2">
      <c r="A3489" s="112">
        <v>41126</v>
      </c>
      <c r="B3489" s="1">
        <f t="shared" si="54"/>
        <v>17</v>
      </c>
    </row>
    <row r="3490" spans="1:2">
      <c r="A3490" s="112">
        <v>41127</v>
      </c>
      <c r="B3490" s="1">
        <f t="shared" si="54"/>
        <v>18</v>
      </c>
    </row>
    <row r="3491" spans="1:2">
      <c r="A3491" s="112">
        <v>41128</v>
      </c>
      <c r="B3491" s="1">
        <f t="shared" si="54"/>
        <v>19</v>
      </c>
    </row>
    <row r="3492" spans="1:2">
      <c r="A3492" s="112">
        <v>41129</v>
      </c>
      <c r="B3492" s="1">
        <f t="shared" si="54"/>
        <v>20</v>
      </c>
    </row>
    <row r="3493" spans="1:2">
      <c r="A3493" s="112">
        <v>41130</v>
      </c>
      <c r="B3493" s="1">
        <f t="shared" si="54"/>
        <v>21</v>
      </c>
    </row>
    <row r="3494" spans="1:2">
      <c r="A3494" s="112">
        <v>41131</v>
      </c>
      <c r="B3494" s="1">
        <f t="shared" si="54"/>
        <v>22</v>
      </c>
    </row>
    <row r="3495" spans="1:2">
      <c r="A3495" s="112">
        <v>41132</v>
      </c>
      <c r="B3495" s="1">
        <f t="shared" si="54"/>
        <v>23</v>
      </c>
    </row>
    <row r="3496" spans="1:2">
      <c r="A3496" s="112">
        <v>41133</v>
      </c>
      <c r="B3496" s="1">
        <f t="shared" si="54"/>
        <v>24</v>
      </c>
    </row>
    <row r="3497" spans="1:2">
      <c r="A3497" s="112">
        <v>41134</v>
      </c>
      <c r="B3497" s="1">
        <f t="shared" si="54"/>
        <v>25</v>
      </c>
    </row>
    <row r="3498" spans="1:2">
      <c r="A3498" s="112">
        <v>41135</v>
      </c>
      <c r="B3498" s="1">
        <f t="shared" si="54"/>
        <v>26</v>
      </c>
    </row>
    <row r="3499" spans="1:2">
      <c r="A3499" s="112">
        <v>41136</v>
      </c>
      <c r="B3499" s="1">
        <f t="shared" si="54"/>
        <v>27</v>
      </c>
    </row>
    <row r="3500" spans="1:2">
      <c r="A3500" s="112">
        <v>41137</v>
      </c>
      <c r="B3500" s="1">
        <f t="shared" si="54"/>
        <v>28</v>
      </c>
    </row>
    <row r="3501" spans="1:2">
      <c r="A3501" s="112">
        <v>41138</v>
      </c>
      <c r="B3501" s="1">
        <f t="shared" si="54"/>
        <v>0</v>
      </c>
    </row>
    <row r="3502" spans="1:2">
      <c r="A3502" s="112">
        <v>41139</v>
      </c>
      <c r="B3502" s="1">
        <f t="shared" si="54"/>
        <v>1</v>
      </c>
    </row>
    <row r="3503" spans="1:2">
      <c r="A3503" s="112">
        <v>41140</v>
      </c>
      <c r="B3503" s="1">
        <f t="shared" si="54"/>
        <v>2</v>
      </c>
    </row>
    <row r="3504" spans="1:2">
      <c r="A3504" s="112">
        <v>41141</v>
      </c>
      <c r="B3504" s="1">
        <f t="shared" si="54"/>
        <v>3</v>
      </c>
    </row>
    <row r="3505" spans="1:2">
      <c r="A3505" s="112">
        <v>41142</v>
      </c>
      <c r="B3505" s="1">
        <f t="shared" si="54"/>
        <v>4</v>
      </c>
    </row>
    <row r="3506" spans="1:2">
      <c r="A3506" s="112">
        <v>41143</v>
      </c>
      <c r="B3506" s="1">
        <f t="shared" si="54"/>
        <v>5</v>
      </c>
    </row>
    <row r="3507" spans="1:2">
      <c r="A3507" s="112">
        <v>41144</v>
      </c>
      <c r="B3507" s="1">
        <f t="shared" si="54"/>
        <v>6</v>
      </c>
    </row>
    <row r="3508" spans="1:2">
      <c r="A3508" s="112">
        <v>41145</v>
      </c>
      <c r="B3508" s="1">
        <f t="shared" si="54"/>
        <v>7</v>
      </c>
    </row>
    <row r="3509" spans="1:2">
      <c r="A3509" s="112">
        <v>41146</v>
      </c>
      <c r="B3509" s="1">
        <f t="shared" si="54"/>
        <v>8</v>
      </c>
    </row>
    <row r="3510" spans="1:2">
      <c r="A3510" s="112">
        <v>41147</v>
      </c>
      <c r="B3510" s="1">
        <f t="shared" si="54"/>
        <v>9</v>
      </c>
    </row>
    <row r="3511" spans="1:2">
      <c r="A3511" s="112">
        <v>41148</v>
      </c>
      <c r="B3511" s="1">
        <f t="shared" si="54"/>
        <v>10</v>
      </c>
    </row>
    <row r="3512" spans="1:2">
      <c r="A3512" s="112">
        <v>41149</v>
      </c>
      <c r="B3512" s="1">
        <f t="shared" si="54"/>
        <v>11</v>
      </c>
    </row>
    <row r="3513" spans="1:2">
      <c r="A3513" s="112">
        <v>41150</v>
      </c>
      <c r="B3513" s="1">
        <f t="shared" si="54"/>
        <v>12</v>
      </c>
    </row>
    <row r="3514" spans="1:2">
      <c r="A3514" s="112">
        <v>41151</v>
      </c>
      <c r="B3514" s="1">
        <f t="shared" si="54"/>
        <v>13</v>
      </c>
    </row>
    <row r="3515" spans="1:2">
      <c r="A3515" s="112">
        <v>41152</v>
      </c>
      <c r="B3515" s="1">
        <f t="shared" si="54"/>
        <v>14</v>
      </c>
    </row>
    <row r="3516" spans="1:2">
      <c r="A3516" s="112">
        <v>41153</v>
      </c>
      <c r="B3516" s="1">
        <f t="shared" si="54"/>
        <v>15</v>
      </c>
    </row>
    <row r="3517" spans="1:2">
      <c r="A3517" s="112">
        <v>41154</v>
      </c>
      <c r="B3517" s="1">
        <f t="shared" si="54"/>
        <v>16</v>
      </c>
    </row>
    <row r="3518" spans="1:2">
      <c r="A3518" s="112">
        <v>41155</v>
      </c>
      <c r="B3518" s="1">
        <f t="shared" si="54"/>
        <v>17</v>
      </c>
    </row>
    <row r="3519" spans="1:2">
      <c r="A3519" s="112">
        <v>41156</v>
      </c>
      <c r="B3519" s="1">
        <f t="shared" si="54"/>
        <v>18</v>
      </c>
    </row>
    <row r="3520" spans="1:2">
      <c r="A3520" s="112">
        <v>41157</v>
      </c>
      <c r="B3520" s="1">
        <f t="shared" si="54"/>
        <v>19</v>
      </c>
    </row>
    <row r="3521" spans="1:2">
      <c r="A3521" s="112">
        <v>41158</v>
      </c>
      <c r="B3521" s="1">
        <f t="shared" si="54"/>
        <v>20</v>
      </c>
    </row>
    <row r="3522" spans="1:2">
      <c r="A3522" s="112">
        <v>41159</v>
      </c>
      <c r="B3522" s="1">
        <f t="shared" si="54"/>
        <v>21</v>
      </c>
    </row>
    <row r="3523" spans="1:2">
      <c r="A3523" s="112">
        <v>41160</v>
      </c>
      <c r="B3523" s="1">
        <f t="shared" ref="B3523:B3586" si="55">INT(MOD($G$2+A3523-$F$2,29.53))</f>
        <v>22</v>
      </c>
    </row>
    <row r="3524" spans="1:2">
      <c r="A3524" s="112">
        <v>41161</v>
      </c>
      <c r="B3524" s="1">
        <f t="shared" si="55"/>
        <v>23</v>
      </c>
    </row>
    <row r="3525" spans="1:2">
      <c r="A3525" s="112">
        <v>41162</v>
      </c>
      <c r="B3525" s="1">
        <f t="shared" si="55"/>
        <v>24</v>
      </c>
    </row>
    <row r="3526" spans="1:2">
      <c r="A3526" s="112">
        <v>41163</v>
      </c>
      <c r="B3526" s="1">
        <f t="shared" si="55"/>
        <v>25</v>
      </c>
    </row>
    <row r="3527" spans="1:2">
      <c r="A3527" s="112">
        <v>41164</v>
      </c>
      <c r="B3527" s="1">
        <f t="shared" si="55"/>
        <v>26</v>
      </c>
    </row>
    <row r="3528" spans="1:2">
      <c r="A3528" s="112">
        <v>41165</v>
      </c>
      <c r="B3528" s="1">
        <f t="shared" si="55"/>
        <v>27</v>
      </c>
    </row>
    <row r="3529" spans="1:2">
      <c r="A3529" s="112">
        <v>41166</v>
      </c>
      <c r="B3529" s="1">
        <f t="shared" si="55"/>
        <v>28</v>
      </c>
    </row>
    <row r="3530" spans="1:2">
      <c r="A3530" s="112">
        <v>41167</v>
      </c>
      <c r="B3530" s="1">
        <f t="shared" si="55"/>
        <v>29</v>
      </c>
    </row>
    <row r="3531" spans="1:2">
      <c r="A3531" s="112">
        <v>41168</v>
      </c>
      <c r="B3531" s="1">
        <f t="shared" si="55"/>
        <v>0</v>
      </c>
    </row>
    <row r="3532" spans="1:2">
      <c r="A3532" s="112">
        <v>41169</v>
      </c>
      <c r="B3532" s="1">
        <f t="shared" si="55"/>
        <v>1</v>
      </c>
    </row>
    <row r="3533" spans="1:2">
      <c r="A3533" s="112">
        <v>41170</v>
      </c>
      <c r="B3533" s="1">
        <f t="shared" si="55"/>
        <v>2</v>
      </c>
    </row>
    <row r="3534" spans="1:2">
      <c r="A3534" s="112">
        <v>41171</v>
      </c>
      <c r="B3534" s="1">
        <f t="shared" si="55"/>
        <v>3</v>
      </c>
    </row>
    <row r="3535" spans="1:2">
      <c r="A3535" s="112">
        <v>41172</v>
      </c>
      <c r="B3535" s="1">
        <f t="shared" si="55"/>
        <v>4</v>
      </c>
    </row>
    <row r="3536" spans="1:2">
      <c r="A3536" s="112">
        <v>41173</v>
      </c>
      <c r="B3536" s="1">
        <f t="shared" si="55"/>
        <v>5</v>
      </c>
    </row>
    <row r="3537" spans="1:2">
      <c r="A3537" s="112">
        <v>41174</v>
      </c>
      <c r="B3537" s="1">
        <f t="shared" si="55"/>
        <v>6</v>
      </c>
    </row>
    <row r="3538" spans="1:2">
      <c r="A3538" s="112">
        <v>41175</v>
      </c>
      <c r="B3538" s="1">
        <f t="shared" si="55"/>
        <v>7</v>
      </c>
    </row>
    <row r="3539" spans="1:2">
      <c r="A3539" s="112">
        <v>41176</v>
      </c>
      <c r="B3539" s="1">
        <f t="shared" si="55"/>
        <v>8</v>
      </c>
    </row>
    <row r="3540" spans="1:2">
      <c r="A3540" s="112">
        <v>41177</v>
      </c>
      <c r="B3540" s="1">
        <f t="shared" si="55"/>
        <v>9</v>
      </c>
    </row>
    <row r="3541" spans="1:2">
      <c r="A3541" s="112">
        <v>41178</v>
      </c>
      <c r="B3541" s="1">
        <f t="shared" si="55"/>
        <v>10</v>
      </c>
    </row>
    <row r="3542" spans="1:2">
      <c r="A3542" s="112">
        <v>41179</v>
      </c>
      <c r="B3542" s="1">
        <f t="shared" si="55"/>
        <v>11</v>
      </c>
    </row>
    <row r="3543" spans="1:2">
      <c r="A3543" s="112">
        <v>41180</v>
      </c>
      <c r="B3543" s="1">
        <f t="shared" si="55"/>
        <v>12</v>
      </c>
    </row>
    <row r="3544" spans="1:2">
      <c r="A3544" s="112">
        <v>41181</v>
      </c>
      <c r="B3544" s="1">
        <f t="shared" si="55"/>
        <v>13</v>
      </c>
    </row>
    <row r="3545" spans="1:2">
      <c r="A3545" s="112">
        <v>41182</v>
      </c>
      <c r="B3545" s="1">
        <f t="shared" si="55"/>
        <v>14</v>
      </c>
    </row>
    <row r="3546" spans="1:2">
      <c r="A3546" s="112">
        <v>41183</v>
      </c>
      <c r="B3546" s="1">
        <f t="shared" si="55"/>
        <v>15</v>
      </c>
    </row>
    <row r="3547" spans="1:2">
      <c r="A3547" s="112">
        <v>41184</v>
      </c>
      <c r="B3547" s="1">
        <f t="shared" si="55"/>
        <v>16</v>
      </c>
    </row>
    <row r="3548" spans="1:2">
      <c r="A3548" s="112">
        <v>41185</v>
      </c>
      <c r="B3548" s="1">
        <f t="shared" si="55"/>
        <v>17</v>
      </c>
    </row>
    <row r="3549" spans="1:2">
      <c r="A3549" s="112">
        <v>41186</v>
      </c>
      <c r="B3549" s="1">
        <f t="shared" si="55"/>
        <v>18</v>
      </c>
    </row>
    <row r="3550" spans="1:2">
      <c r="A3550" s="112">
        <v>41187</v>
      </c>
      <c r="B3550" s="1">
        <f t="shared" si="55"/>
        <v>19</v>
      </c>
    </row>
    <row r="3551" spans="1:2">
      <c r="A3551" s="112">
        <v>41188</v>
      </c>
      <c r="B3551" s="1">
        <f t="shared" si="55"/>
        <v>20</v>
      </c>
    </row>
    <row r="3552" spans="1:2">
      <c r="A3552" s="112">
        <v>41189</v>
      </c>
      <c r="B3552" s="1">
        <f t="shared" si="55"/>
        <v>21</v>
      </c>
    </row>
    <row r="3553" spans="1:2">
      <c r="A3553" s="112">
        <v>41190</v>
      </c>
      <c r="B3553" s="1">
        <f t="shared" si="55"/>
        <v>22</v>
      </c>
    </row>
    <row r="3554" spans="1:2">
      <c r="A3554" s="112">
        <v>41191</v>
      </c>
      <c r="B3554" s="1">
        <f t="shared" si="55"/>
        <v>23</v>
      </c>
    </row>
    <row r="3555" spans="1:2">
      <c r="A3555" s="112">
        <v>41192</v>
      </c>
      <c r="B3555" s="1">
        <f t="shared" si="55"/>
        <v>24</v>
      </c>
    </row>
    <row r="3556" spans="1:2">
      <c r="A3556" s="112">
        <v>41193</v>
      </c>
      <c r="B3556" s="1">
        <f t="shared" si="55"/>
        <v>25</v>
      </c>
    </row>
    <row r="3557" spans="1:2">
      <c r="A3557" s="112">
        <v>41194</v>
      </c>
      <c r="B3557" s="1">
        <f t="shared" si="55"/>
        <v>26</v>
      </c>
    </row>
    <row r="3558" spans="1:2">
      <c r="A3558" s="112">
        <v>41195</v>
      </c>
      <c r="B3558" s="1">
        <f t="shared" si="55"/>
        <v>27</v>
      </c>
    </row>
    <row r="3559" spans="1:2">
      <c r="A3559" s="112">
        <v>41196</v>
      </c>
      <c r="B3559" s="1">
        <f t="shared" si="55"/>
        <v>28</v>
      </c>
    </row>
    <row r="3560" spans="1:2">
      <c r="A3560" s="112">
        <v>41197</v>
      </c>
      <c r="B3560" s="1">
        <f t="shared" si="55"/>
        <v>0</v>
      </c>
    </row>
    <row r="3561" spans="1:2">
      <c r="A3561" s="112">
        <v>41198</v>
      </c>
      <c r="B3561" s="1">
        <f t="shared" si="55"/>
        <v>1</v>
      </c>
    </row>
    <row r="3562" spans="1:2">
      <c r="A3562" s="112">
        <v>41199</v>
      </c>
      <c r="B3562" s="1">
        <f t="shared" si="55"/>
        <v>2</v>
      </c>
    </row>
    <row r="3563" spans="1:2">
      <c r="A3563" s="112">
        <v>41200</v>
      </c>
      <c r="B3563" s="1">
        <f t="shared" si="55"/>
        <v>3</v>
      </c>
    </row>
    <row r="3564" spans="1:2">
      <c r="A3564" s="112">
        <v>41201</v>
      </c>
      <c r="B3564" s="1">
        <f t="shared" si="55"/>
        <v>4</v>
      </c>
    </row>
    <row r="3565" spans="1:2">
      <c r="A3565" s="112">
        <v>41202</v>
      </c>
      <c r="B3565" s="1">
        <f t="shared" si="55"/>
        <v>5</v>
      </c>
    </row>
    <row r="3566" spans="1:2">
      <c r="A3566" s="112">
        <v>41203</v>
      </c>
      <c r="B3566" s="1">
        <f t="shared" si="55"/>
        <v>6</v>
      </c>
    </row>
    <row r="3567" spans="1:2">
      <c r="A3567" s="112">
        <v>41204</v>
      </c>
      <c r="B3567" s="1">
        <f t="shared" si="55"/>
        <v>7</v>
      </c>
    </row>
    <row r="3568" spans="1:2">
      <c r="A3568" s="112">
        <v>41205</v>
      </c>
      <c r="B3568" s="1">
        <f t="shared" si="55"/>
        <v>8</v>
      </c>
    </row>
    <row r="3569" spans="1:2">
      <c r="A3569" s="112">
        <v>41206</v>
      </c>
      <c r="B3569" s="1">
        <f t="shared" si="55"/>
        <v>9</v>
      </c>
    </row>
    <row r="3570" spans="1:2">
      <c r="A3570" s="112">
        <v>41207</v>
      </c>
      <c r="B3570" s="1">
        <f t="shared" si="55"/>
        <v>10</v>
      </c>
    </row>
    <row r="3571" spans="1:2">
      <c r="A3571" s="112">
        <v>41208</v>
      </c>
      <c r="B3571" s="1">
        <f t="shared" si="55"/>
        <v>11</v>
      </c>
    </row>
    <row r="3572" spans="1:2">
      <c r="A3572" s="112">
        <v>41209</v>
      </c>
      <c r="B3572" s="1">
        <f t="shared" si="55"/>
        <v>12</v>
      </c>
    </row>
    <row r="3573" spans="1:2">
      <c r="A3573" s="112">
        <v>41210</v>
      </c>
      <c r="B3573" s="1">
        <f t="shared" si="55"/>
        <v>13</v>
      </c>
    </row>
    <row r="3574" spans="1:2">
      <c r="A3574" s="112">
        <v>41211</v>
      </c>
      <c r="B3574" s="1">
        <f t="shared" si="55"/>
        <v>14</v>
      </c>
    </row>
    <row r="3575" spans="1:2">
      <c r="A3575" s="112">
        <v>41212</v>
      </c>
      <c r="B3575" s="1">
        <f t="shared" si="55"/>
        <v>15</v>
      </c>
    </row>
    <row r="3576" spans="1:2">
      <c r="A3576" s="112">
        <v>41213</v>
      </c>
      <c r="B3576" s="1">
        <f t="shared" si="55"/>
        <v>16</v>
      </c>
    </row>
    <row r="3577" spans="1:2">
      <c r="A3577" s="112">
        <v>41214</v>
      </c>
      <c r="B3577" s="1">
        <f t="shared" si="55"/>
        <v>17</v>
      </c>
    </row>
    <row r="3578" spans="1:2">
      <c r="A3578" s="112">
        <v>41215</v>
      </c>
      <c r="B3578" s="1">
        <f t="shared" si="55"/>
        <v>18</v>
      </c>
    </row>
    <row r="3579" spans="1:2">
      <c r="A3579" s="112">
        <v>41216</v>
      </c>
      <c r="B3579" s="1">
        <f t="shared" si="55"/>
        <v>19</v>
      </c>
    </row>
    <row r="3580" spans="1:2">
      <c r="A3580" s="112">
        <v>41217</v>
      </c>
      <c r="B3580" s="1">
        <f t="shared" si="55"/>
        <v>20</v>
      </c>
    </row>
    <row r="3581" spans="1:2">
      <c r="A3581" s="112">
        <v>41218</v>
      </c>
      <c r="B3581" s="1">
        <f t="shared" si="55"/>
        <v>21</v>
      </c>
    </row>
    <row r="3582" spans="1:2">
      <c r="A3582" s="112">
        <v>41219</v>
      </c>
      <c r="B3582" s="1">
        <f t="shared" si="55"/>
        <v>22</v>
      </c>
    </row>
    <row r="3583" spans="1:2">
      <c r="A3583" s="112">
        <v>41220</v>
      </c>
      <c r="B3583" s="1">
        <f t="shared" si="55"/>
        <v>23</v>
      </c>
    </row>
    <row r="3584" spans="1:2">
      <c r="A3584" s="112">
        <v>41221</v>
      </c>
      <c r="B3584" s="1">
        <f t="shared" si="55"/>
        <v>24</v>
      </c>
    </row>
    <row r="3585" spans="1:2">
      <c r="A3585" s="112">
        <v>41222</v>
      </c>
      <c r="B3585" s="1">
        <f t="shared" si="55"/>
        <v>25</v>
      </c>
    </row>
    <row r="3586" spans="1:2">
      <c r="A3586" s="112">
        <v>41223</v>
      </c>
      <c r="B3586" s="1">
        <f t="shared" si="55"/>
        <v>26</v>
      </c>
    </row>
    <row r="3587" spans="1:2">
      <c r="A3587" s="112">
        <v>41224</v>
      </c>
      <c r="B3587" s="1">
        <f t="shared" ref="B3587:B3650" si="56">INT(MOD($G$2+A3587-$F$2,29.53))</f>
        <v>27</v>
      </c>
    </row>
    <row r="3588" spans="1:2">
      <c r="A3588" s="112">
        <v>41225</v>
      </c>
      <c r="B3588" s="1">
        <f t="shared" si="56"/>
        <v>28</v>
      </c>
    </row>
    <row r="3589" spans="1:2">
      <c r="A3589" s="112">
        <v>41226</v>
      </c>
      <c r="B3589" s="1">
        <f t="shared" si="56"/>
        <v>29</v>
      </c>
    </row>
    <row r="3590" spans="1:2">
      <c r="A3590" s="112">
        <v>41227</v>
      </c>
      <c r="B3590" s="1">
        <f t="shared" si="56"/>
        <v>0</v>
      </c>
    </row>
    <row r="3591" spans="1:2">
      <c r="A3591" s="112">
        <v>41228</v>
      </c>
      <c r="B3591" s="1">
        <f t="shared" si="56"/>
        <v>1</v>
      </c>
    </row>
    <row r="3592" spans="1:2">
      <c r="A3592" s="112">
        <v>41229</v>
      </c>
      <c r="B3592" s="1">
        <f t="shared" si="56"/>
        <v>2</v>
      </c>
    </row>
    <row r="3593" spans="1:2">
      <c r="A3593" s="112">
        <v>41230</v>
      </c>
      <c r="B3593" s="1">
        <f t="shared" si="56"/>
        <v>3</v>
      </c>
    </row>
    <row r="3594" spans="1:2">
      <c r="A3594" s="112">
        <v>41231</v>
      </c>
      <c r="B3594" s="1">
        <f t="shared" si="56"/>
        <v>4</v>
      </c>
    </row>
    <row r="3595" spans="1:2">
      <c r="A3595" s="112">
        <v>41232</v>
      </c>
      <c r="B3595" s="1">
        <f t="shared" si="56"/>
        <v>5</v>
      </c>
    </row>
    <row r="3596" spans="1:2">
      <c r="A3596" s="112">
        <v>41233</v>
      </c>
      <c r="B3596" s="1">
        <f t="shared" si="56"/>
        <v>6</v>
      </c>
    </row>
    <row r="3597" spans="1:2">
      <c r="A3597" s="112">
        <v>41234</v>
      </c>
      <c r="B3597" s="1">
        <f t="shared" si="56"/>
        <v>7</v>
      </c>
    </row>
    <row r="3598" spans="1:2">
      <c r="A3598" s="112">
        <v>41235</v>
      </c>
      <c r="B3598" s="1">
        <f t="shared" si="56"/>
        <v>8</v>
      </c>
    </row>
    <row r="3599" spans="1:2">
      <c r="A3599" s="112">
        <v>41236</v>
      </c>
      <c r="B3599" s="1">
        <f t="shared" si="56"/>
        <v>9</v>
      </c>
    </row>
    <row r="3600" spans="1:2">
      <c r="A3600" s="112">
        <v>41237</v>
      </c>
      <c r="B3600" s="1">
        <f t="shared" si="56"/>
        <v>10</v>
      </c>
    </row>
    <row r="3601" spans="1:2">
      <c r="A3601" s="112">
        <v>41238</v>
      </c>
      <c r="B3601" s="1">
        <f t="shared" si="56"/>
        <v>11</v>
      </c>
    </row>
    <row r="3602" spans="1:2">
      <c r="A3602" s="112">
        <v>41239</v>
      </c>
      <c r="B3602" s="1">
        <f t="shared" si="56"/>
        <v>12</v>
      </c>
    </row>
    <row r="3603" spans="1:2">
      <c r="A3603" s="112">
        <v>41240</v>
      </c>
      <c r="B3603" s="1">
        <f t="shared" si="56"/>
        <v>13</v>
      </c>
    </row>
    <row r="3604" spans="1:2">
      <c r="A3604" s="112">
        <v>41241</v>
      </c>
      <c r="B3604" s="1">
        <f t="shared" si="56"/>
        <v>14</v>
      </c>
    </row>
    <row r="3605" spans="1:2">
      <c r="A3605" s="112">
        <v>41242</v>
      </c>
      <c r="B3605" s="1">
        <f t="shared" si="56"/>
        <v>15</v>
      </c>
    </row>
    <row r="3606" spans="1:2">
      <c r="A3606" s="112">
        <v>41243</v>
      </c>
      <c r="B3606" s="1">
        <f t="shared" si="56"/>
        <v>16</v>
      </c>
    </row>
    <row r="3607" spans="1:2">
      <c r="A3607" s="112">
        <v>41244</v>
      </c>
      <c r="B3607" s="1">
        <f t="shared" si="56"/>
        <v>17</v>
      </c>
    </row>
    <row r="3608" spans="1:2">
      <c r="A3608" s="112">
        <v>41245</v>
      </c>
      <c r="B3608" s="1">
        <f t="shared" si="56"/>
        <v>18</v>
      </c>
    </row>
    <row r="3609" spans="1:2">
      <c r="A3609" s="112">
        <v>41246</v>
      </c>
      <c r="B3609" s="1">
        <f t="shared" si="56"/>
        <v>19</v>
      </c>
    </row>
    <row r="3610" spans="1:2">
      <c r="A3610" s="112">
        <v>41247</v>
      </c>
      <c r="B3610" s="1">
        <f t="shared" si="56"/>
        <v>20</v>
      </c>
    </row>
    <row r="3611" spans="1:2">
      <c r="A3611" s="112">
        <v>41248</v>
      </c>
      <c r="B3611" s="1">
        <f t="shared" si="56"/>
        <v>21</v>
      </c>
    </row>
    <row r="3612" spans="1:2">
      <c r="A3612" s="112">
        <v>41249</v>
      </c>
      <c r="B3612" s="1">
        <f t="shared" si="56"/>
        <v>22</v>
      </c>
    </row>
    <row r="3613" spans="1:2">
      <c r="A3613" s="112">
        <v>41250</v>
      </c>
      <c r="B3613" s="1">
        <f t="shared" si="56"/>
        <v>23</v>
      </c>
    </row>
    <row r="3614" spans="1:2">
      <c r="A3614" s="112">
        <v>41251</v>
      </c>
      <c r="B3614" s="1">
        <f t="shared" si="56"/>
        <v>24</v>
      </c>
    </row>
    <row r="3615" spans="1:2">
      <c r="A3615" s="112">
        <v>41252</v>
      </c>
      <c r="B3615" s="1">
        <f t="shared" si="56"/>
        <v>25</v>
      </c>
    </row>
    <row r="3616" spans="1:2">
      <c r="A3616" s="112">
        <v>41253</v>
      </c>
      <c r="B3616" s="1">
        <f t="shared" si="56"/>
        <v>26</v>
      </c>
    </row>
    <row r="3617" spans="1:2">
      <c r="A3617" s="112">
        <v>41254</v>
      </c>
      <c r="B3617" s="1">
        <f t="shared" si="56"/>
        <v>27</v>
      </c>
    </row>
    <row r="3618" spans="1:2">
      <c r="A3618" s="112">
        <v>41255</v>
      </c>
      <c r="B3618" s="1">
        <f t="shared" si="56"/>
        <v>28</v>
      </c>
    </row>
    <row r="3619" spans="1:2">
      <c r="A3619" s="112">
        <v>41256</v>
      </c>
      <c r="B3619" s="1">
        <f t="shared" si="56"/>
        <v>29</v>
      </c>
    </row>
    <row r="3620" spans="1:2">
      <c r="A3620" s="112">
        <v>41257</v>
      </c>
      <c r="B3620" s="1">
        <f t="shared" si="56"/>
        <v>0</v>
      </c>
    </row>
    <row r="3621" spans="1:2">
      <c r="A3621" s="112">
        <v>41258</v>
      </c>
      <c r="B3621" s="1">
        <f t="shared" si="56"/>
        <v>1</v>
      </c>
    </row>
    <row r="3622" spans="1:2">
      <c r="A3622" s="112">
        <v>41259</v>
      </c>
      <c r="B3622" s="1">
        <f t="shared" si="56"/>
        <v>2</v>
      </c>
    </row>
    <row r="3623" spans="1:2">
      <c r="A3623" s="112">
        <v>41260</v>
      </c>
      <c r="B3623" s="1">
        <f t="shared" si="56"/>
        <v>3</v>
      </c>
    </row>
    <row r="3624" spans="1:2">
      <c r="A3624" s="112">
        <v>41261</v>
      </c>
      <c r="B3624" s="1">
        <f t="shared" si="56"/>
        <v>4</v>
      </c>
    </row>
    <row r="3625" spans="1:2">
      <c r="A3625" s="112">
        <v>41262</v>
      </c>
      <c r="B3625" s="1">
        <f t="shared" si="56"/>
        <v>5</v>
      </c>
    </row>
    <row r="3626" spans="1:2">
      <c r="A3626" s="112">
        <v>41263</v>
      </c>
      <c r="B3626" s="1">
        <f t="shared" si="56"/>
        <v>6</v>
      </c>
    </row>
    <row r="3627" spans="1:2">
      <c r="A3627" s="112">
        <v>41264</v>
      </c>
      <c r="B3627" s="1">
        <f t="shared" si="56"/>
        <v>7</v>
      </c>
    </row>
    <row r="3628" spans="1:2">
      <c r="A3628" s="112">
        <v>41265</v>
      </c>
      <c r="B3628" s="1">
        <f t="shared" si="56"/>
        <v>8</v>
      </c>
    </row>
    <row r="3629" spans="1:2">
      <c r="A3629" s="112">
        <v>41266</v>
      </c>
      <c r="B3629" s="1">
        <f t="shared" si="56"/>
        <v>9</v>
      </c>
    </row>
    <row r="3630" spans="1:2">
      <c r="A3630" s="112">
        <v>41267</v>
      </c>
      <c r="B3630" s="1">
        <f t="shared" si="56"/>
        <v>10</v>
      </c>
    </row>
    <row r="3631" spans="1:2">
      <c r="A3631" s="112">
        <v>41268</v>
      </c>
      <c r="B3631" s="1">
        <f t="shared" si="56"/>
        <v>11</v>
      </c>
    </row>
    <row r="3632" spans="1:2">
      <c r="A3632" s="112">
        <v>41269</v>
      </c>
      <c r="B3632" s="1">
        <f t="shared" si="56"/>
        <v>12</v>
      </c>
    </row>
    <row r="3633" spans="1:2">
      <c r="A3633" s="112">
        <v>41270</v>
      </c>
      <c r="B3633" s="1">
        <f t="shared" si="56"/>
        <v>13</v>
      </c>
    </row>
    <row r="3634" spans="1:2">
      <c r="A3634" s="112">
        <v>41271</v>
      </c>
      <c r="B3634" s="1">
        <f t="shared" si="56"/>
        <v>14</v>
      </c>
    </row>
    <row r="3635" spans="1:2">
      <c r="A3635" s="112">
        <v>41272</v>
      </c>
      <c r="B3635" s="1">
        <f t="shared" si="56"/>
        <v>15</v>
      </c>
    </row>
    <row r="3636" spans="1:2">
      <c r="A3636" s="112">
        <v>41273</v>
      </c>
      <c r="B3636" s="1">
        <f t="shared" si="56"/>
        <v>16</v>
      </c>
    </row>
    <row r="3637" spans="1:2">
      <c r="A3637" s="112">
        <v>41274</v>
      </c>
      <c r="B3637" s="1">
        <f t="shared" si="56"/>
        <v>17</v>
      </c>
    </row>
    <row r="3638" spans="1:2">
      <c r="A3638" s="112">
        <v>41275</v>
      </c>
      <c r="B3638" s="1">
        <f t="shared" si="56"/>
        <v>18</v>
      </c>
    </row>
    <row r="3639" spans="1:2">
      <c r="A3639" s="112">
        <v>41276</v>
      </c>
      <c r="B3639" s="1">
        <f t="shared" si="56"/>
        <v>19</v>
      </c>
    </row>
    <row r="3640" spans="1:2">
      <c r="A3640" s="112">
        <v>41277</v>
      </c>
      <c r="B3640" s="1">
        <f t="shared" si="56"/>
        <v>20</v>
      </c>
    </row>
    <row r="3641" spans="1:2">
      <c r="A3641" s="112">
        <v>41278</v>
      </c>
      <c r="B3641" s="1">
        <f t="shared" si="56"/>
        <v>21</v>
      </c>
    </row>
    <row r="3642" spans="1:2">
      <c r="A3642" s="112">
        <v>41279</v>
      </c>
      <c r="B3642" s="1">
        <f t="shared" si="56"/>
        <v>22</v>
      </c>
    </row>
    <row r="3643" spans="1:2">
      <c r="A3643" s="112">
        <v>41280</v>
      </c>
      <c r="B3643" s="1">
        <f t="shared" si="56"/>
        <v>23</v>
      </c>
    </row>
    <row r="3644" spans="1:2">
      <c r="A3644" s="112">
        <v>41281</v>
      </c>
      <c r="B3644" s="1">
        <f t="shared" si="56"/>
        <v>24</v>
      </c>
    </row>
    <row r="3645" spans="1:2">
      <c r="A3645" s="112">
        <v>41282</v>
      </c>
      <c r="B3645" s="1">
        <f t="shared" si="56"/>
        <v>25</v>
      </c>
    </row>
    <row r="3646" spans="1:2">
      <c r="A3646" s="112">
        <v>41283</v>
      </c>
      <c r="B3646" s="1">
        <f t="shared" si="56"/>
        <v>26</v>
      </c>
    </row>
    <row r="3647" spans="1:2">
      <c r="A3647" s="112">
        <v>41284</v>
      </c>
      <c r="B3647" s="1">
        <f t="shared" si="56"/>
        <v>27</v>
      </c>
    </row>
    <row r="3648" spans="1:2">
      <c r="A3648" s="112">
        <v>41285</v>
      </c>
      <c r="B3648" s="1">
        <f t="shared" si="56"/>
        <v>28</v>
      </c>
    </row>
    <row r="3649" spans="1:2">
      <c r="A3649" s="112">
        <v>41286</v>
      </c>
      <c r="B3649" s="1">
        <f t="shared" si="56"/>
        <v>0</v>
      </c>
    </row>
    <row r="3650" spans="1:2">
      <c r="A3650" s="112">
        <v>41287</v>
      </c>
      <c r="B3650" s="1">
        <f t="shared" si="56"/>
        <v>1</v>
      </c>
    </row>
    <row r="3651" spans="1:2">
      <c r="A3651" s="112">
        <v>41288</v>
      </c>
      <c r="B3651" s="1">
        <f t="shared" ref="B3651:B3714" si="57">INT(MOD($G$2+A3651-$F$2,29.53))</f>
        <v>2</v>
      </c>
    </row>
    <row r="3652" spans="1:2">
      <c r="A3652" s="112">
        <v>41289</v>
      </c>
      <c r="B3652" s="1">
        <f t="shared" si="57"/>
        <v>3</v>
      </c>
    </row>
    <row r="3653" spans="1:2">
      <c r="A3653" s="112">
        <v>41290</v>
      </c>
      <c r="B3653" s="1">
        <f t="shared" si="57"/>
        <v>4</v>
      </c>
    </row>
    <row r="3654" spans="1:2">
      <c r="A3654" s="112">
        <v>41291</v>
      </c>
      <c r="B3654" s="1">
        <f t="shared" si="57"/>
        <v>5</v>
      </c>
    </row>
    <row r="3655" spans="1:2">
      <c r="A3655" s="112">
        <v>41292</v>
      </c>
      <c r="B3655" s="1">
        <f t="shared" si="57"/>
        <v>6</v>
      </c>
    </row>
    <row r="3656" spans="1:2">
      <c r="A3656" s="112">
        <v>41293</v>
      </c>
      <c r="B3656" s="1">
        <f t="shared" si="57"/>
        <v>7</v>
      </c>
    </row>
    <row r="3657" spans="1:2">
      <c r="A3657" s="112">
        <v>41294</v>
      </c>
      <c r="B3657" s="1">
        <f t="shared" si="57"/>
        <v>8</v>
      </c>
    </row>
    <row r="3658" spans="1:2">
      <c r="A3658" s="112">
        <v>41295</v>
      </c>
      <c r="B3658" s="1">
        <f t="shared" si="57"/>
        <v>9</v>
      </c>
    </row>
    <row r="3659" spans="1:2">
      <c r="A3659" s="112">
        <v>41296</v>
      </c>
      <c r="B3659" s="1">
        <f t="shared" si="57"/>
        <v>10</v>
      </c>
    </row>
    <row r="3660" spans="1:2">
      <c r="A3660" s="112">
        <v>41297</v>
      </c>
      <c r="B3660" s="1">
        <f t="shared" si="57"/>
        <v>11</v>
      </c>
    </row>
    <row r="3661" spans="1:2">
      <c r="A3661" s="112">
        <v>41298</v>
      </c>
      <c r="B3661" s="1">
        <f t="shared" si="57"/>
        <v>12</v>
      </c>
    </row>
    <row r="3662" spans="1:2">
      <c r="A3662" s="112">
        <v>41299</v>
      </c>
      <c r="B3662" s="1">
        <f t="shared" si="57"/>
        <v>13</v>
      </c>
    </row>
    <row r="3663" spans="1:2">
      <c r="A3663" s="112">
        <v>41300</v>
      </c>
      <c r="B3663" s="1">
        <f t="shared" si="57"/>
        <v>14</v>
      </c>
    </row>
    <row r="3664" spans="1:2">
      <c r="A3664" s="112">
        <v>41301</v>
      </c>
      <c r="B3664" s="1">
        <f t="shared" si="57"/>
        <v>15</v>
      </c>
    </row>
    <row r="3665" spans="1:2">
      <c r="A3665" s="112">
        <v>41302</v>
      </c>
      <c r="B3665" s="1">
        <f t="shared" si="57"/>
        <v>16</v>
      </c>
    </row>
    <row r="3666" spans="1:2">
      <c r="A3666" s="112">
        <v>41303</v>
      </c>
      <c r="B3666" s="1">
        <f t="shared" si="57"/>
        <v>17</v>
      </c>
    </row>
    <row r="3667" spans="1:2">
      <c r="A3667" s="112">
        <v>41304</v>
      </c>
      <c r="B3667" s="1">
        <f t="shared" si="57"/>
        <v>18</v>
      </c>
    </row>
    <row r="3668" spans="1:2">
      <c r="A3668" s="112">
        <v>41305</v>
      </c>
      <c r="B3668" s="1">
        <f t="shared" si="57"/>
        <v>19</v>
      </c>
    </row>
    <row r="3669" spans="1:2">
      <c r="A3669" s="112">
        <v>41306</v>
      </c>
      <c r="B3669" s="1">
        <f t="shared" si="57"/>
        <v>20</v>
      </c>
    </row>
    <row r="3670" spans="1:2">
      <c r="A3670" s="112">
        <v>41307</v>
      </c>
      <c r="B3670" s="1">
        <f t="shared" si="57"/>
        <v>21</v>
      </c>
    </row>
    <row r="3671" spans="1:2">
      <c r="A3671" s="112">
        <v>41308</v>
      </c>
      <c r="B3671" s="1">
        <f t="shared" si="57"/>
        <v>22</v>
      </c>
    </row>
    <row r="3672" spans="1:2">
      <c r="A3672" s="112">
        <v>41309</v>
      </c>
      <c r="B3672" s="1">
        <f t="shared" si="57"/>
        <v>23</v>
      </c>
    </row>
    <row r="3673" spans="1:2">
      <c r="A3673" s="112">
        <v>41310</v>
      </c>
      <c r="B3673" s="1">
        <f t="shared" si="57"/>
        <v>24</v>
      </c>
    </row>
    <row r="3674" spans="1:2">
      <c r="A3674" s="112">
        <v>41311</v>
      </c>
      <c r="B3674" s="1">
        <f t="shared" si="57"/>
        <v>25</v>
      </c>
    </row>
    <row r="3675" spans="1:2">
      <c r="A3675" s="112">
        <v>41312</v>
      </c>
      <c r="B3675" s="1">
        <f t="shared" si="57"/>
        <v>26</v>
      </c>
    </row>
    <row r="3676" spans="1:2">
      <c r="A3676" s="112">
        <v>41313</v>
      </c>
      <c r="B3676" s="1">
        <f t="shared" si="57"/>
        <v>27</v>
      </c>
    </row>
    <row r="3677" spans="1:2">
      <c r="A3677" s="112">
        <v>41314</v>
      </c>
      <c r="B3677" s="1">
        <f t="shared" si="57"/>
        <v>28</v>
      </c>
    </row>
    <row r="3678" spans="1:2">
      <c r="A3678" s="112">
        <v>41315</v>
      </c>
      <c r="B3678" s="1">
        <f t="shared" si="57"/>
        <v>29</v>
      </c>
    </row>
    <row r="3679" spans="1:2">
      <c r="A3679" s="112">
        <v>41316</v>
      </c>
      <c r="B3679" s="1">
        <f t="shared" si="57"/>
        <v>0</v>
      </c>
    </row>
    <row r="3680" spans="1:2">
      <c r="A3680" s="112">
        <v>41317</v>
      </c>
      <c r="B3680" s="1">
        <f t="shared" si="57"/>
        <v>1</v>
      </c>
    </row>
    <row r="3681" spans="1:2">
      <c r="A3681" s="112">
        <v>41318</v>
      </c>
      <c r="B3681" s="1">
        <f t="shared" si="57"/>
        <v>2</v>
      </c>
    </row>
    <row r="3682" spans="1:2">
      <c r="A3682" s="112">
        <v>41319</v>
      </c>
      <c r="B3682" s="1">
        <f t="shared" si="57"/>
        <v>3</v>
      </c>
    </row>
    <row r="3683" spans="1:2">
      <c r="A3683" s="112">
        <v>41320</v>
      </c>
      <c r="B3683" s="1">
        <f t="shared" si="57"/>
        <v>4</v>
      </c>
    </row>
    <row r="3684" spans="1:2">
      <c r="A3684" s="112">
        <v>41321</v>
      </c>
      <c r="B3684" s="1">
        <f t="shared" si="57"/>
        <v>5</v>
      </c>
    </row>
    <row r="3685" spans="1:2">
      <c r="A3685" s="112">
        <v>41322</v>
      </c>
      <c r="B3685" s="1">
        <f t="shared" si="57"/>
        <v>6</v>
      </c>
    </row>
    <row r="3686" spans="1:2">
      <c r="A3686" s="112">
        <v>41323</v>
      </c>
      <c r="B3686" s="1">
        <f t="shared" si="57"/>
        <v>7</v>
      </c>
    </row>
    <row r="3687" spans="1:2">
      <c r="A3687" s="112">
        <v>41324</v>
      </c>
      <c r="B3687" s="1">
        <f t="shared" si="57"/>
        <v>8</v>
      </c>
    </row>
    <row r="3688" spans="1:2">
      <c r="A3688" s="112">
        <v>41325</v>
      </c>
      <c r="B3688" s="1">
        <f t="shared" si="57"/>
        <v>9</v>
      </c>
    </row>
    <row r="3689" spans="1:2">
      <c r="A3689" s="112">
        <v>41326</v>
      </c>
      <c r="B3689" s="1">
        <f t="shared" si="57"/>
        <v>10</v>
      </c>
    </row>
    <row r="3690" spans="1:2">
      <c r="A3690" s="112">
        <v>41327</v>
      </c>
      <c r="B3690" s="1">
        <f t="shared" si="57"/>
        <v>11</v>
      </c>
    </row>
    <row r="3691" spans="1:2">
      <c r="A3691" s="112">
        <v>41328</v>
      </c>
      <c r="B3691" s="1">
        <f t="shared" si="57"/>
        <v>12</v>
      </c>
    </row>
    <row r="3692" spans="1:2">
      <c r="A3692" s="112">
        <v>41329</v>
      </c>
      <c r="B3692" s="1">
        <f t="shared" si="57"/>
        <v>13</v>
      </c>
    </row>
    <row r="3693" spans="1:2">
      <c r="A3693" s="112">
        <v>41330</v>
      </c>
      <c r="B3693" s="1">
        <f t="shared" si="57"/>
        <v>14</v>
      </c>
    </row>
    <row r="3694" spans="1:2">
      <c r="A3694" s="112">
        <v>41331</v>
      </c>
      <c r="B3694" s="1">
        <f t="shared" si="57"/>
        <v>15</v>
      </c>
    </row>
    <row r="3695" spans="1:2">
      <c r="A3695" s="112">
        <v>41332</v>
      </c>
      <c r="B3695" s="1">
        <f t="shared" si="57"/>
        <v>16</v>
      </c>
    </row>
    <row r="3696" spans="1:2">
      <c r="A3696" s="112">
        <v>41333</v>
      </c>
      <c r="B3696" s="1">
        <f t="shared" si="57"/>
        <v>17</v>
      </c>
    </row>
    <row r="3697" spans="1:2">
      <c r="A3697" s="112">
        <v>41334</v>
      </c>
      <c r="B3697" s="1">
        <f t="shared" si="57"/>
        <v>18</v>
      </c>
    </row>
    <row r="3698" spans="1:2">
      <c r="A3698" s="112">
        <v>41335</v>
      </c>
      <c r="B3698" s="1">
        <f t="shared" si="57"/>
        <v>19</v>
      </c>
    </row>
    <row r="3699" spans="1:2">
      <c r="A3699" s="112">
        <v>41336</v>
      </c>
      <c r="B3699" s="1">
        <f t="shared" si="57"/>
        <v>20</v>
      </c>
    </row>
    <row r="3700" spans="1:2">
      <c r="A3700" s="112">
        <v>41337</v>
      </c>
      <c r="B3700" s="1">
        <f t="shared" si="57"/>
        <v>21</v>
      </c>
    </row>
    <row r="3701" spans="1:2">
      <c r="A3701" s="112">
        <v>41338</v>
      </c>
      <c r="B3701" s="1">
        <f t="shared" si="57"/>
        <v>22</v>
      </c>
    </row>
    <row r="3702" spans="1:2">
      <c r="A3702" s="112">
        <v>41339</v>
      </c>
      <c r="B3702" s="1">
        <f t="shared" si="57"/>
        <v>23</v>
      </c>
    </row>
    <row r="3703" spans="1:2">
      <c r="A3703" s="112">
        <v>41340</v>
      </c>
      <c r="B3703" s="1">
        <f t="shared" si="57"/>
        <v>24</v>
      </c>
    </row>
    <row r="3704" spans="1:2">
      <c r="A3704" s="112">
        <v>41341</v>
      </c>
      <c r="B3704" s="1">
        <f t="shared" si="57"/>
        <v>25</v>
      </c>
    </row>
    <row r="3705" spans="1:2">
      <c r="A3705" s="112">
        <v>41342</v>
      </c>
      <c r="B3705" s="1">
        <f t="shared" si="57"/>
        <v>26</v>
      </c>
    </row>
    <row r="3706" spans="1:2">
      <c r="A3706" s="112">
        <v>41343</v>
      </c>
      <c r="B3706" s="1">
        <f t="shared" si="57"/>
        <v>27</v>
      </c>
    </row>
    <row r="3707" spans="1:2">
      <c r="A3707" s="112">
        <v>41344</v>
      </c>
      <c r="B3707" s="1">
        <f t="shared" si="57"/>
        <v>28</v>
      </c>
    </row>
    <row r="3708" spans="1:2">
      <c r="A3708" s="112">
        <v>41345</v>
      </c>
      <c r="B3708" s="1">
        <f t="shared" si="57"/>
        <v>0</v>
      </c>
    </row>
    <row r="3709" spans="1:2">
      <c r="A3709" s="112">
        <v>41346</v>
      </c>
      <c r="B3709" s="1">
        <f t="shared" si="57"/>
        <v>1</v>
      </c>
    </row>
    <row r="3710" spans="1:2">
      <c r="A3710" s="112">
        <v>41347</v>
      </c>
      <c r="B3710" s="1">
        <f t="shared" si="57"/>
        <v>2</v>
      </c>
    </row>
    <row r="3711" spans="1:2">
      <c r="A3711" s="112">
        <v>41348</v>
      </c>
      <c r="B3711" s="1">
        <f t="shared" si="57"/>
        <v>3</v>
      </c>
    </row>
    <row r="3712" spans="1:2">
      <c r="A3712" s="112">
        <v>41349</v>
      </c>
      <c r="B3712" s="1">
        <f t="shared" si="57"/>
        <v>4</v>
      </c>
    </row>
    <row r="3713" spans="1:2">
      <c r="A3713" s="112">
        <v>41350</v>
      </c>
      <c r="B3713" s="1">
        <f t="shared" si="57"/>
        <v>5</v>
      </c>
    </row>
    <row r="3714" spans="1:2">
      <c r="A3714" s="112">
        <v>41351</v>
      </c>
      <c r="B3714" s="1">
        <f t="shared" si="57"/>
        <v>6</v>
      </c>
    </row>
    <row r="3715" spans="1:2">
      <c r="A3715" s="112">
        <v>41352</v>
      </c>
      <c r="B3715" s="1">
        <f t="shared" ref="B3715:B3778" si="58">INT(MOD($G$2+A3715-$F$2,29.53))</f>
        <v>7</v>
      </c>
    </row>
    <row r="3716" spans="1:2">
      <c r="A3716" s="112">
        <v>41353</v>
      </c>
      <c r="B3716" s="1">
        <f t="shared" si="58"/>
        <v>8</v>
      </c>
    </row>
    <row r="3717" spans="1:2">
      <c r="A3717" s="112">
        <v>41354</v>
      </c>
      <c r="B3717" s="1">
        <f t="shared" si="58"/>
        <v>9</v>
      </c>
    </row>
    <row r="3718" spans="1:2">
      <c r="A3718" s="112">
        <v>41355</v>
      </c>
      <c r="B3718" s="1">
        <f t="shared" si="58"/>
        <v>10</v>
      </c>
    </row>
    <row r="3719" spans="1:2">
      <c r="A3719" s="112">
        <v>41356</v>
      </c>
      <c r="B3719" s="1">
        <f t="shared" si="58"/>
        <v>11</v>
      </c>
    </row>
    <row r="3720" spans="1:2">
      <c r="A3720" s="112">
        <v>41357</v>
      </c>
      <c r="B3720" s="1">
        <f t="shared" si="58"/>
        <v>12</v>
      </c>
    </row>
    <row r="3721" spans="1:2">
      <c r="A3721" s="112">
        <v>41358</v>
      </c>
      <c r="B3721" s="1">
        <f t="shared" si="58"/>
        <v>13</v>
      </c>
    </row>
    <row r="3722" spans="1:2">
      <c r="A3722" s="112">
        <v>41359</v>
      </c>
      <c r="B3722" s="1">
        <f t="shared" si="58"/>
        <v>14</v>
      </c>
    </row>
    <row r="3723" spans="1:2">
      <c r="A3723" s="112">
        <v>41360</v>
      </c>
      <c r="B3723" s="1">
        <f t="shared" si="58"/>
        <v>15</v>
      </c>
    </row>
    <row r="3724" spans="1:2">
      <c r="A3724" s="112">
        <v>41361</v>
      </c>
      <c r="B3724" s="1">
        <f t="shared" si="58"/>
        <v>16</v>
      </c>
    </row>
    <row r="3725" spans="1:2">
      <c r="A3725" s="112">
        <v>41362</v>
      </c>
      <c r="B3725" s="1">
        <f t="shared" si="58"/>
        <v>17</v>
      </c>
    </row>
    <row r="3726" spans="1:2">
      <c r="A3726" s="112">
        <v>41363</v>
      </c>
      <c r="B3726" s="1">
        <f t="shared" si="58"/>
        <v>18</v>
      </c>
    </row>
    <row r="3727" spans="1:2">
      <c r="A3727" s="112">
        <v>41364</v>
      </c>
      <c r="B3727" s="1">
        <f t="shared" si="58"/>
        <v>19</v>
      </c>
    </row>
    <row r="3728" spans="1:2">
      <c r="A3728" s="112">
        <v>41365</v>
      </c>
      <c r="B3728" s="1">
        <f t="shared" si="58"/>
        <v>20</v>
      </c>
    </row>
    <row r="3729" spans="1:2">
      <c r="A3729" s="112">
        <v>41366</v>
      </c>
      <c r="B3729" s="1">
        <f t="shared" si="58"/>
        <v>21</v>
      </c>
    </row>
    <row r="3730" spans="1:2">
      <c r="A3730" s="112">
        <v>41367</v>
      </c>
      <c r="B3730" s="1">
        <f t="shared" si="58"/>
        <v>22</v>
      </c>
    </row>
    <row r="3731" spans="1:2">
      <c r="A3731" s="112">
        <v>41368</v>
      </c>
      <c r="B3731" s="1">
        <f t="shared" si="58"/>
        <v>23</v>
      </c>
    </row>
    <row r="3732" spans="1:2">
      <c r="A3732" s="112">
        <v>41369</v>
      </c>
      <c r="B3732" s="1">
        <f t="shared" si="58"/>
        <v>24</v>
      </c>
    </row>
    <row r="3733" spans="1:2">
      <c r="A3733" s="112">
        <v>41370</v>
      </c>
      <c r="B3733" s="1">
        <f t="shared" si="58"/>
        <v>25</v>
      </c>
    </row>
    <row r="3734" spans="1:2">
      <c r="A3734" s="112">
        <v>41371</v>
      </c>
      <c r="B3734" s="1">
        <f t="shared" si="58"/>
        <v>26</v>
      </c>
    </row>
    <row r="3735" spans="1:2">
      <c r="A3735" s="112">
        <v>41372</v>
      </c>
      <c r="B3735" s="1">
        <f t="shared" si="58"/>
        <v>27</v>
      </c>
    </row>
    <row r="3736" spans="1:2">
      <c r="A3736" s="112">
        <v>41373</v>
      </c>
      <c r="B3736" s="1">
        <f t="shared" si="58"/>
        <v>28</v>
      </c>
    </row>
    <row r="3737" spans="1:2">
      <c r="A3737" s="112">
        <v>41374</v>
      </c>
      <c r="B3737" s="1">
        <f t="shared" si="58"/>
        <v>29</v>
      </c>
    </row>
    <row r="3738" spans="1:2">
      <c r="A3738" s="112">
        <v>41375</v>
      </c>
      <c r="B3738" s="1">
        <f t="shared" si="58"/>
        <v>0</v>
      </c>
    </row>
    <row r="3739" spans="1:2">
      <c r="A3739" s="112">
        <v>41376</v>
      </c>
      <c r="B3739" s="1">
        <f t="shared" si="58"/>
        <v>1</v>
      </c>
    </row>
    <row r="3740" spans="1:2">
      <c r="A3740" s="112">
        <v>41377</v>
      </c>
      <c r="B3740" s="1">
        <f t="shared" si="58"/>
        <v>2</v>
      </c>
    </row>
    <row r="3741" spans="1:2">
      <c r="A3741" s="112">
        <v>41378</v>
      </c>
      <c r="B3741" s="1">
        <f t="shared" si="58"/>
        <v>3</v>
      </c>
    </row>
    <row r="3742" spans="1:2">
      <c r="A3742" s="112">
        <v>41379</v>
      </c>
      <c r="B3742" s="1">
        <f t="shared" si="58"/>
        <v>4</v>
      </c>
    </row>
    <row r="3743" spans="1:2">
      <c r="A3743" s="112">
        <v>41380</v>
      </c>
      <c r="B3743" s="1">
        <f t="shared" si="58"/>
        <v>5</v>
      </c>
    </row>
    <row r="3744" spans="1:2">
      <c r="A3744" s="112">
        <v>41381</v>
      </c>
      <c r="B3744" s="1">
        <f t="shared" si="58"/>
        <v>6</v>
      </c>
    </row>
    <row r="3745" spans="1:2">
      <c r="A3745" s="112">
        <v>41382</v>
      </c>
      <c r="B3745" s="1">
        <f t="shared" si="58"/>
        <v>7</v>
      </c>
    </row>
    <row r="3746" spans="1:2">
      <c r="A3746" s="112">
        <v>41383</v>
      </c>
      <c r="B3746" s="1">
        <f t="shared" si="58"/>
        <v>8</v>
      </c>
    </row>
    <row r="3747" spans="1:2">
      <c r="A3747" s="112">
        <v>41384</v>
      </c>
      <c r="B3747" s="1">
        <f t="shared" si="58"/>
        <v>9</v>
      </c>
    </row>
    <row r="3748" spans="1:2">
      <c r="A3748" s="112">
        <v>41385</v>
      </c>
      <c r="B3748" s="1">
        <f t="shared" si="58"/>
        <v>10</v>
      </c>
    </row>
    <row r="3749" spans="1:2">
      <c r="A3749" s="112">
        <v>41386</v>
      </c>
      <c r="B3749" s="1">
        <f t="shared" si="58"/>
        <v>11</v>
      </c>
    </row>
    <row r="3750" spans="1:2">
      <c r="A3750" s="112">
        <v>41387</v>
      </c>
      <c r="B3750" s="1">
        <f t="shared" si="58"/>
        <v>12</v>
      </c>
    </row>
    <row r="3751" spans="1:2">
      <c r="A3751" s="112">
        <v>41388</v>
      </c>
      <c r="B3751" s="1">
        <f t="shared" si="58"/>
        <v>13</v>
      </c>
    </row>
    <row r="3752" spans="1:2">
      <c r="A3752" s="112">
        <v>41389</v>
      </c>
      <c r="B3752" s="1">
        <f t="shared" si="58"/>
        <v>14</v>
      </c>
    </row>
    <row r="3753" spans="1:2">
      <c r="A3753" s="112">
        <v>41390</v>
      </c>
      <c r="B3753" s="1">
        <f t="shared" si="58"/>
        <v>15</v>
      </c>
    </row>
    <row r="3754" spans="1:2">
      <c r="A3754" s="112">
        <v>41391</v>
      </c>
      <c r="B3754" s="1">
        <f t="shared" si="58"/>
        <v>16</v>
      </c>
    </row>
    <row r="3755" spans="1:2">
      <c r="A3755" s="112">
        <v>41392</v>
      </c>
      <c r="B3755" s="1">
        <f t="shared" si="58"/>
        <v>17</v>
      </c>
    </row>
    <row r="3756" spans="1:2">
      <c r="A3756" s="112">
        <v>41393</v>
      </c>
      <c r="B3756" s="1">
        <f t="shared" si="58"/>
        <v>18</v>
      </c>
    </row>
    <row r="3757" spans="1:2">
      <c r="A3757" s="112">
        <v>41394</v>
      </c>
      <c r="B3757" s="1">
        <f t="shared" si="58"/>
        <v>19</v>
      </c>
    </row>
    <row r="3758" spans="1:2">
      <c r="A3758" s="112">
        <v>41395</v>
      </c>
      <c r="B3758" s="1">
        <f t="shared" si="58"/>
        <v>20</v>
      </c>
    </row>
    <row r="3759" spans="1:2">
      <c r="A3759" s="112">
        <v>41396</v>
      </c>
      <c r="B3759" s="1">
        <f t="shared" si="58"/>
        <v>21</v>
      </c>
    </row>
    <row r="3760" spans="1:2">
      <c r="A3760" s="112">
        <v>41397</v>
      </c>
      <c r="B3760" s="1">
        <f t="shared" si="58"/>
        <v>22</v>
      </c>
    </row>
    <row r="3761" spans="1:2">
      <c r="A3761" s="112">
        <v>41398</v>
      </c>
      <c r="B3761" s="1">
        <f t="shared" si="58"/>
        <v>23</v>
      </c>
    </row>
    <row r="3762" spans="1:2">
      <c r="A3762" s="112">
        <v>41399</v>
      </c>
      <c r="B3762" s="1">
        <f t="shared" si="58"/>
        <v>24</v>
      </c>
    </row>
    <row r="3763" spans="1:2">
      <c r="A3763" s="112">
        <v>41400</v>
      </c>
      <c r="B3763" s="1">
        <f t="shared" si="58"/>
        <v>25</v>
      </c>
    </row>
    <row r="3764" spans="1:2">
      <c r="A3764" s="112">
        <v>41401</v>
      </c>
      <c r="B3764" s="1">
        <f t="shared" si="58"/>
        <v>26</v>
      </c>
    </row>
    <row r="3765" spans="1:2">
      <c r="A3765" s="112">
        <v>41402</v>
      </c>
      <c r="B3765" s="1">
        <f t="shared" si="58"/>
        <v>27</v>
      </c>
    </row>
    <row r="3766" spans="1:2">
      <c r="A3766" s="112">
        <v>41403</v>
      </c>
      <c r="B3766" s="1">
        <f t="shared" si="58"/>
        <v>28</v>
      </c>
    </row>
    <row r="3767" spans="1:2">
      <c r="A3767" s="112">
        <v>41404</v>
      </c>
      <c r="B3767" s="1">
        <f t="shared" si="58"/>
        <v>0</v>
      </c>
    </row>
    <row r="3768" spans="1:2">
      <c r="A3768" s="112">
        <v>41405</v>
      </c>
      <c r="B3768" s="1">
        <f t="shared" si="58"/>
        <v>1</v>
      </c>
    </row>
    <row r="3769" spans="1:2">
      <c r="A3769" s="112">
        <v>41406</v>
      </c>
      <c r="B3769" s="1">
        <f t="shared" si="58"/>
        <v>2</v>
      </c>
    </row>
    <row r="3770" spans="1:2">
      <c r="A3770" s="112">
        <v>41407</v>
      </c>
      <c r="B3770" s="1">
        <f t="shared" si="58"/>
        <v>3</v>
      </c>
    </row>
    <row r="3771" spans="1:2">
      <c r="A3771" s="112">
        <v>41408</v>
      </c>
      <c r="B3771" s="1">
        <f t="shared" si="58"/>
        <v>4</v>
      </c>
    </row>
    <row r="3772" spans="1:2">
      <c r="A3772" s="112">
        <v>41409</v>
      </c>
      <c r="B3772" s="1">
        <f t="shared" si="58"/>
        <v>5</v>
      </c>
    </row>
    <row r="3773" spans="1:2">
      <c r="A3773" s="112">
        <v>41410</v>
      </c>
      <c r="B3773" s="1">
        <f t="shared" si="58"/>
        <v>6</v>
      </c>
    </row>
    <row r="3774" spans="1:2">
      <c r="A3774" s="112">
        <v>41411</v>
      </c>
      <c r="B3774" s="1">
        <f t="shared" si="58"/>
        <v>7</v>
      </c>
    </row>
    <row r="3775" spans="1:2">
      <c r="A3775" s="112">
        <v>41412</v>
      </c>
      <c r="B3775" s="1">
        <f t="shared" si="58"/>
        <v>8</v>
      </c>
    </row>
    <row r="3776" spans="1:2">
      <c r="A3776" s="112">
        <v>41413</v>
      </c>
      <c r="B3776" s="1">
        <f t="shared" si="58"/>
        <v>9</v>
      </c>
    </row>
    <row r="3777" spans="1:2">
      <c r="A3777" s="112">
        <v>41414</v>
      </c>
      <c r="B3777" s="1">
        <f t="shared" si="58"/>
        <v>10</v>
      </c>
    </row>
    <row r="3778" spans="1:2">
      <c r="A3778" s="112">
        <v>41415</v>
      </c>
      <c r="B3778" s="1">
        <f t="shared" si="58"/>
        <v>11</v>
      </c>
    </row>
    <row r="3779" spans="1:2">
      <c r="A3779" s="112">
        <v>41416</v>
      </c>
      <c r="B3779" s="1">
        <f t="shared" ref="B3779:B3842" si="59">INT(MOD($G$2+A3779-$F$2,29.53))</f>
        <v>12</v>
      </c>
    </row>
    <row r="3780" spans="1:2">
      <c r="A3780" s="112">
        <v>41417</v>
      </c>
      <c r="B3780" s="1">
        <f t="shared" si="59"/>
        <v>13</v>
      </c>
    </row>
    <row r="3781" spans="1:2">
      <c r="A3781" s="112">
        <v>41418</v>
      </c>
      <c r="B3781" s="1">
        <f t="shared" si="59"/>
        <v>14</v>
      </c>
    </row>
    <row r="3782" spans="1:2">
      <c r="A3782" s="112">
        <v>41419</v>
      </c>
      <c r="B3782" s="1">
        <f t="shared" si="59"/>
        <v>15</v>
      </c>
    </row>
    <row r="3783" spans="1:2">
      <c r="A3783" s="112">
        <v>41420</v>
      </c>
      <c r="B3783" s="1">
        <f t="shared" si="59"/>
        <v>16</v>
      </c>
    </row>
    <row r="3784" spans="1:2">
      <c r="A3784" s="112">
        <v>41421</v>
      </c>
      <c r="B3784" s="1">
        <f t="shared" si="59"/>
        <v>17</v>
      </c>
    </row>
    <row r="3785" spans="1:2">
      <c r="A3785" s="112">
        <v>41422</v>
      </c>
      <c r="B3785" s="1">
        <f t="shared" si="59"/>
        <v>18</v>
      </c>
    </row>
    <row r="3786" spans="1:2">
      <c r="A3786" s="112">
        <v>41423</v>
      </c>
      <c r="B3786" s="1">
        <f t="shared" si="59"/>
        <v>19</v>
      </c>
    </row>
    <row r="3787" spans="1:2">
      <c r="A3787" s="112">
        <v>41424</v>
      </c>
      <c r="B3787" s="1">
        <f t="shared" si="59"/>
        <v>20</v>
      </c>
    </row>
    <row r="3788" spans="1:2">
      <c r="A3788" s="112">
        <v>41425</v>
      </c>
      <c r="B3788" s="1">
        <f t="shared" si="59"/>
        <v>21</v>
      </c>
    </row>
    <row r="3789" spans="1:2">
      <c r="A3789" s="112">
        <v>41426</v>
      </c>
      <c r="B3789" s="1">
        <f t="shared" si="59"/>
        <v>22</v>
      </c>
    </row>
    <row r="3790" spans="1:2">
      <c r="A3790" s="112">
        <v>41427</v>
      </c>
      <c r="B3790" s="1">
        <f t="shared" si="59"/>
        <v>23</v>
      </c>
    </row>
    <row r="3791" spans="1:2">
      <c r="A3791" s="112">
        <v>41428</v>
      </c>
      <c r="B3791" s="1">
        <f t="shared" si="59"/>
        <v>24</v>
      </c>
    </row>
    <row r="3792" spans="1:2">
      <c r="A3792" s="112">
        <v>41429</v>
      </c>
      <c r="B3792" s="1">
        <f t="shared" si="59"/>
        <v>25</v>
      </c>
    </row>
    <row r="3793" spans="1:2">
      <c r="A3793" s="112">
        <v>41430</v>
      </c>
      <c r="B3793" s="1">
        <f t="shared" si="59"/>
        <v>26</v>
      </c>
    </row>
    <row r="3794" spans="1:2">
      <c r="A3794" s="112">
        <v>41431</v>
      </c>
      <c r="B3794" s="1">
        <f t="shared" si="59"/>
        <v>27</v>
      </c>
    </row>
    <row r="3795" spans="1:2">
      <c r="A3795" s="112">
        <v>41432</v>
      </c>
      <c r="B3795" s="1">
        <f t="shared" si="59"/>
        <v>28</v>
      </c>
    </row>
    <row r="3796" spans="1:2">
      <c r="A3796" s="112">
        <v>41433</v>
      </c>
      <c r="B3796" s="1">
        <f t="shared" si="59"/>
        <v>29</v>
      </c>
    </row>
    <row r="3797" spans="1:2">
      <c r="A3797" s="112">
        <v>41434</v>
      </c>
      <c r="B3797" s="1">
        <f t="shared" si="59"/>
        <v>0</v>
      </c>
    </row>
    <row r="3798" spans="1:2">
      <c r="A3798" s="112">
        <v>41435</v>
      </c>
      <c r="B3798" s="1">
        <f t="shared" si="59"/>
        <v>1</v>
      </c>
    </row>
    <row r="3799" spans="1:2">
      <c r="A3799" s="112">
        <v>41436</v>
      </c>
      <c r="B3799" s="1">
        <f t="shared" si="59"/>
        <v>2</v>
      </c>
    </row>
    <row r="3800" spans="1:2">
      <c r="A3800" s="112">
        <v>41437</v>
      </c>
      <c r="B3800" s="1">
        <f t="shared" si="59"/>
        <v>3</v>
      </c>
    </row>
    <row r="3801" spans="1:2">
      <c r="A3801" s="112">
        <v>41438</v>
      </c>
      <c r="B3801" s="1">
        <f t="shared" si="59"/>
        <v>4</v>
      </c>
    </row>
    <row r="3802" spans="1:2">
      <c r="A3802" s="112">
        <v>41439</v>
      </c>
      <c r="B3802" s="1">
        <f t="shared" si="59"/>
        <v>5</v>
      </c>
    </row>
    <row r="3803" spans="1:2">
      <c r="A3803" s="112">
        <v>41440</v>
      </c>
      <c r="B3803" s="1">
        <f t="shared" si="59"/>
        <v>6</v>
      </c>
    </row>
    <row r="3804" spans="1:2">
      <c r="A3804" s="112">
        <v>41441</v>
      </c>
      <c r="B3804" s="1">
        <f t="shared" si="59"/>
        <v>7</v>
      </c>
    </row>
    <row r="3805" spans="1:2">
      <c r="A3805" s="112">
        <v>41442</v>
      </c>
      <c r="B3805" s="1">
        <f t="shared" si="59"/>
        <v>8</v>
      </c>
    </row>
    <row r="3806" spans="1:2">
      <c r="A3806" s="112">
        <v>41443</v>
      </c>
      <c r="B3806" s="1">
        <f t="shared" si="59"/>
        <v>9</v>
      </c>
    </row>
    <row r="3807" spans="1:2">
      <c r="A3807" s="112">
        <v>41444</v>
      </c>
      <c r="B3807" s="1">
        <f t="shared" si="59"/>
        <v>10</v>
      </c>
    </row>
    <row r="3808" spans="1:2">
      <c r="A3808" s="112">
        <v>41445</v>
      </c>
      <c r="B3808" s="1">
        <f t="shared" si="59"/>
        <v>11</v>
      </c>
    </row>
    <row r="3809" spans="1:2">
      <c r="A3809" s="112">
        <v>41446</v>
      </c>
      <c r="B3809" s="1">
        <f t="shared" si="59"/>
        <v>12</v>
      </c>
    </row>
    <row r="3810" spans="1:2">
      <c r="A3810" s="112">
        <v>41447</v>
      </c>
      <c r="B3810" s="1">
        <f t="shared" si="59"/>
        <v>13</v>
      </c>
    </row>
    <row r="3811" spans="1:2">
      <c r="A3811" s="112">
        <v>41448</v>
      </c>
      <c r="B3811" s="1">
        <f t="shared" si="59"/>
        <v>14</v>
      </c>
    </row>
    <row r="3812" spans="1:2">
      <c r="A3812" s="112">
        <v>41449</v>
      </c>
      <c r="B3812" s="1">
        <f t="shared" si="59"/>
        <v>15</v>
      </c>
    </row>
    <row r="3813" spans="1:2">
      <c r="A3813" s="112">
        <v>41450</v>
      </c>
      <c r="B3813" s="1">
        <f t="shared" si="59"/>
        <v>16</v>
      </c>
    </row>
    <row r="3814" spans="1:2">
      <c r="A3814" s="112">
        <v>41451</v>
      </c>
      <c r="B3814" s="1">
        <f t="shared" si="59"/>
        <v>17</v>
      </c>
    </row>
    <row r="3815" spans="1:2">
      <c r="A3815" s="112">
        <v>41452</v>
      </c>
      <c r="B3815" s="1">
        <f t="shared" si="59"/>
        <v>18</v>
      </c>
    </row>
    <row r="3816" spans="1:2">
      <c r="A3816" s="112">
        <v>41453</v>
      </c>
      <c r="B3816" s="1">
        <f t="shared" si="59"/>
        <v>19</v>
      </c>
    </row>
    <row r="3817" spans="1:2">
      <c r="A3817" s="112">
        <v>41454</v>
      </c>
      <c r="B3817" s="1">
        <f t="shared" si="59"/>
        <v>20</v>
      </c>
    </row>
    <row r="3818" spans="1:2">
      <c r="A3818" s="112">
        <v>41455</v>
      </c>
      <c r="B3818" s="1">
        <f t="shared" si="59"/>
        <v>21</v>
      </c>
    </row>
    <row r="3819" spans="1:2">
      <c r="A3819" s="112">
        <v>41456</v>
      </c>
      <c r="B3819" s="1">
        <f t="shared" si="59"/>
        <v>22</v>
      </c>
    </row>
    <row r="3820" spans="1:2">
      <c r="A3820" s="112">
        <v>41457</v>
      </c>
      <c r="B3820" s="1">
        <f t="shared" si="59"/>
        <v>23</v>
      </c>
    </row>
    <row r="3821" spans="1:2">
      <c r="A3821" s="112">
        <v>41458</v>
      </c>
      <c r="B3821" s="1">
        <f t="shared" si="59"/>
        <v>24</v>
      </c>
    </row>
    <row r="3822" spans="1:2">
      <c r="A3822" s="112">
        <v>41459</v>
      </c>
      <c r="B3822" s="1">
        <f t="shared" si="59"/>
        <v>25</v>
      </c>
    </row>
    <row r="3823" spans="1:2">
      <c r="A3823" s="112">
        <v>41460</v>
      </c>
      <c r="B3823" s="1">
        <f t="shared" si="59"/>
        <v>26</v>
      </c>
    </row>
    <row r="3824" spans="1:2">
      <c r="A3824" s="112">
        <v>41461</v>
      </c>
      <c r="B3824" s="1">
        <f t="shared" si="59"/>
        <v>27</v>
      </c>
    </row>
    <row r="3825" spans="1:2">
      <c r="A3825" s="112">
        <v>41462</v>
      </c>
      <c r="B3825" s="1">
        <f t="shared" si="59"/>
        <v>28</v>
      </c>
    </row>
    <row r="3826" spans="1:2">
      <c r="A3826" s="112">
        <v>41463</v>
      </c>
      <c r="B3826" s="1">
        <f t="shared" si="59"/>
        <v>0</v>
      </c>
    </row>
    <row r="3827" spans="1:2">
      <c r="A3827" s="112">
        <v>41464</v>
      </c>
      <c r="B3827" s="1">
        <f t="shared" si="59"/>
        <v>1</v>
      </c>
    </row>
    <row r="3828" spans="1:2">
      <c r="A3828" s="112">
        <v>41465</v>
      </c>
      <c r="B3828" s="1">
        <f t="shared" si="59"/>
        <v>2</v>
      </c>
    </row>
    <row r="3829" spans="1:2">
      <c r="A3829" s="112">
        <v>41466</v>
      </c>
      <c r="B3829" s="1">
        <f t="shared" si="59"/>
        <v>3</v>
      </c>
    </row>
    <row r="3830" spans="1:2">
      <c r="A3830" s="112">
        <v>41467</v>
      </c>
      <c r="B3830" s="1">
        <f t="shared" si="59"/>
        <v>4</v>
      </c>
    </row>
    <row r="3831" spans="1:2">
      <c r="A3831" s="112">
        <v>41468</v>
      </c>
      <c r="B3831" s="1">
        <f t="shared" si="59"/>
        <v>5</v>
      </c>
    </row>
    <row r="3832" spans="1:2">
      <c r="A3832" s="112">
        <v>41469</v>
      </c>
      <c r="B3832" s="1">
        <f t="shared" si="59"/>
        <v>6</v>
      </c>
    </row>
    <row r="3833" spans="1:2">
      <c r="A3833" s="112">
        <v>41470</v>
      </c>
      <c r="B3833" s="1">
        <f t="shared" si="59"/>
        <v>7</v>
      </c>
    </row>
    <row r="3834" spans="1:2">
      <c r="A3834" s="112">
        <v>41471</v>
      </c>
      <c r="B3834" s="1">
        <f t="shared" si="59"/>
        <v>8</v>
      </c>
    </row>
    <row r="3835" spans="1:2">
      <c r="A3835" s="112">
        <v>41472</v>
      </c>
      <c r="B3835" s="1">
        <f t="shared" si="59"/>
        <v>9</v>
      </c>
    </row>
    <row r="3836" spans="1:2">
      <c r="A3836" s="112">
        <v>41473</v>
      </c>
      <c r="B3836" s="1">
        <f t="shared" si="59"/>
        <v>10</v>
      </c>
    </row>
    <row r="3837" spans="1:2">
      <c r="A3837" s="112">
        <v>41474</v>
      </c>
      <c r="B3837" s="1">
        <f t="shared" si="59"/>
        <v>11</v>
      </c>
    </row>
    <row r="3838" spans="1:2">
      <c r="A3838" s="112">
        <v>41475</v>
      </c>
      <c r="B3838" s="1">
        <f t="shared" si="59"/>
        <v>12</v>
      </c>
    </row>
    <row r="3839" spans="1:2">
      <c r="A3839" s="112">
        <v>41476</v>
      </c>
      <c r="B3839" s="1">
        <f t="shared" si="59"/>
        <v>13</v>
      </c>
    </row>
    <row r="3840" spans="1:2">
      <c r="A3840" s="112">
        <v>41477</v>
      </c>
      <c r="B3840" s="1">
        <f t="shared" si="59"/>
        <v>14</v>
      </c>
    </row>
    <row r="3841" spans="1:2">
      <c r="A3841" s="112">
        <v>41478</v>
      </c>
      <c r="B3841" s="1">
        <f t="shared" si="59"/>
        <v>15</v>
      </c>
    </row>
    <row r="3842" spans="1:2">
      <c r="A3842" s="112">
        <v>41479</v>
      </c>
      <c r="B3842" s="1">
        <f t="shared" si="59"/>
        <v>16</v>
      </c>
    </row>
    <row r="3843" spans="1:2">
      <c r="A3843" s="112">
        <v>41480</v>
      </c>
      <c r="B3843" s="1">
        <f t="shared" ref="B3843:B3906" si="60">INT(MOD($G$2+A3843-$F$2,29.53))</f>
        <v>17</v>
      </c>
    </row>
    <row r="3844" spans="1:2">
      <c r="A3844" s="112">
        <v>41481</v>
      </c>
      <c r="B3844" s="1">
        <f t="shared" si="60"/>
        <v>18</v>
      </c>
    </row>
    <row r="3845" spans="1:2">
      <c r="A3845" s="112">
        <v>41482</v>
      </c>
      <c r="B3845" s="1">
        <f t="shared" si="60"/>
        <v>19</v>
      </c>
    </row>
    <row r="3846" spans="1:2">
      <c r="A3846" s="112">
        <v>41483</v>
      </c>
      <c r="B3846" s="1">
        <f t="shared" si="60"/>
        <v>20</v>
      </c>
    </row>
    <row r="3847" spans="1:2">
      <c r="A3847" s="112">
        <v>41484</v>
      </c>
      <c r="B3847" s="1">
        <f t="shared" si="60"/>
        <v>21</v>
      </c>
    </row>
    <row r="3848" spans="1:2">
      <c r="A3848" s="112">
        <v>41485</v>
      </c>
      <c r="B3848" s="1">
        <f t="shared" si="60"/>
        <v>22</v>
      </c>
    </row>
    <row r="3849" spans="1:2">
      <c r="A3849" s="112">
        <v>41486</v>
      </c>
      <c r="B3849" s="1">
        <f t="shared" si="60"/>
        <v>23</v>
      </c>
    </row>
    <row r="3850" spans="1:2">
      <c r="A3850" s="112">
        <v>41487</v>
      </c>
      <c r="B3850" s="1">
        <f t="shared" si="60"/>
        <v>24</v>
      </c>
    </row>
    <row r="3851" spans="1:2">
      <c r="A3851" s="112">
        <v>41488</v>
      </c>
      <c r="B3851" s="1">
        <f t="shared" si="60"/>
        <v>25</v>
      </c>
    </row>
    <row r="3852" spans="1:2">
      <c r="A3852" s="112">
        <v>41489</v>
      </c>
      <c r="B3852" s="1">
        <f t="shared" si="60"/>
        <v>26</v>
      </c>
    </row>
    <row r="3853" spans="1:2">
      <c r="A3853" s="112">
        <v>41490</v>
      </c>
      <c r="B3853" s="1">
        <f t="shared" si="60"/>
        <v>27</v>
      </c>
    </row>
    <row r="3854" spans="1:2">
      <c r="A3854" s="112">
        <v>41491</v>
      </c>
      <c r="B3854" s="1">
        <f t="shared" si="60"/>
        <v>28</v>
      </c>
    </row>
    <row r="3855" spans="1:2">
      <c r="A3855" s="112">
        <v>41492</v>
      </c>
      <c r="B3855" s="1">
        <f t="shared" si="60"/>
        <v>29</v>
      </c>
    </row>
    <row r="3856" spans="1:2">
      <c r="A3856" s="112">
        <v>41493</v>
      </c>
      <c r="B3856" s="1">
        <f t="shared" si="60"/>
        <v>0</v>
      </c>
    </row>
    <row r="3857" spans="1:2">
      <c r="A3857" s="112">
        <v>41494</v>
      </c>
      <c r="B3857" s="1">
        <f t="shared" si="60"/>
        <v>1</v>
      </c>
    </row>
    <row r="3858" spans="1:2">
      <c r="A3858" s="112">
        <v>41495</v>
      </c>
      <c r="B3858" s="1">
        <f t="shared" si="60"/>
        <v>2</v>
      </c>
    </row>
    <row r="3859" spans="1:2">
      <c r="A3859" s="112">
        <v>41496</v>
      </c>
      <c r="B3859" s="1">
        <f t="shared" si="60"/>
        <v>3</v>
      </c>
    </row>
    <row r="3860" spans="1:2">
      <c r="A3860" s="112">
        <v>41497</v>
      </c>
      <c r="B3860" s="1">
        <f t="shared" si="60"/>
        <v>4</v>
      </c>
    </row>
    <row r="3861" spans="1:2">
      <c r="A3861" s="112">
        <v>41498</v>
      </c>
      <c r="B3861" s="1">
        <f t="shared" si="60"/>
        <v>5</v>
      </c>
    </row>
    <row r="3862" spans="1:2">
      <c r="A3862" s="112">
        <v>41499</v>
      </c>
      <c r="B3862" s="1">
        <f t="shared" si="60"/>
        <v>6</v>
      </c>
    </row>
    <row r="3863" spans="1:2">
      <c r="A3863" s="112">
        <v>41500</v>
      </c>
      <c r="B3863" s="1">
        <f t="shared" si="60"/>
        <v>7</v>
      </c>
    </row>
    <row r="3864" spans="1:2">
      <c r="A3864" s="112">
        <v>41501</v>
      </c>
      <c r="B3864" s="1">
        <f t="shared" si="60"/>
        <v>8</v>
      </c>
    </row>
    <row r="3865" spans="1:2">
      <c r="A3865" s="112">
        <v>41502</v>
      </c>
      <c r="B3865" s="1">
        <f t="shared" si="60"/>
        <v>9</v>
      </c>
    </row>
    <row r="3866" spans="1:2">
      <c r="A3866" s="112">
        <v>41503</v>
      </c>
      <c r="B3866" s="1">
        <f t="shared" si="60"/>
        <v>10</v>
      </c>
    </row>
    <row r="3867" spans="1:2">
      <c r="A3867" s="112">
        <v>41504</v>
      </c>
      <c r="B3867" s="1">
        <f t="shared" si="60"/>
        <v>11</v>
      </c>
    </row>
    <row r="3868" spans="1:2">
      <c r="A3868" s="112">
        <v>41505</v>
      </c>
      <c r="B3868" s="1">
        <f t="shared" si="60"/>
        <v>12</v>
      </c>
    </row>
    <row r="3869" spans="1:2">
      <c r="A3869" s="112">
        <v>41506</v>
      </c>
      <c r="B3869" s="1">
        <f t="shared" si="60"/>
        <v>13</v>
      </c>
    </row>
    <row r="3870" spans="1:2">
      <c r="A3870" s="112">
        <v>41507</v>
      </c>
      <c r="B3870" s="1">
        <f t="shared" si="60"/>
        <v>14</v>
      </c>
    </row>
    <row r="3871" spans="1:2">
      <c r="A3871" s="112">
        <v>41508</v>
      </c>
      <c r="B3871" s="1">
        <f t="shared" si="60"/>
        <v>15</v>
      </c>
    </row>
    <row r="3872" spans="1:2">
      <c r="A3872" s="112">
        <v>41509</v>
      </c>
      <c r="B3872" s="1">
        <f t="shared" si="60"/>
        <v>16</v>
      </c>
    </row>
    <row r="3873" spans="1:2">
      <c r="A3873" s="112">
        <v>41510</v>
      </c>
      <c r="B3873" s="1">
        <f t="shared" si="60"/>
        <v>17</v>
      </c>
    </row>
    <row r="3874" spans="1:2">
      <c r="A3874" s="112">
        <v>41511</v>
      </c>
      <c r="B3874" s="1">
        <f t="shared" si="60"/>
        <v>18</v>
      </c>
    </row>
    <row r="3875" spans="1:2">
      <c r="A3875" s="112">
        <v>41512</v>
      </c>
      <c r="B3875" s="1">
        <f t="shared" si="60"/>
        <v>19</v>
      </c>
    </row>
    <row r="3876" spans="1:2">
      <c r="A3876" s="112">
        <v>41513</v>
      </c>
      <c r="B3876" s="1">
        <f t="shared" si="60"/>
        <v>20</v>
      </c>
    </row>
    <row r="3877" spans="1:2">
      <c r="A3877" s="112">
        <v>41514</v>
      </c>
      <c r="B3877" s="1">
        <f t="shared" si="60"/>
        <v>21</v>
      </c>
    </row>
    <row r="3878" spans="1:2">
      <c r="A3878" s="112">
        <v>41515</v>
      </c>
      <c r="B3878" s="1">
        <f t="shared" si="60"/>
        <v>22</v>
      </c>
    </row>
    <row r="3879" spans="1:2">
      <c r="A3879" s="112">
        <v>41516</v>
      </c>
      <c r="B3879" s="1">
        <f t="shared" si="60"/>
        <v>23</v>
      </c>
    </row>
    <row r="3880" spans="1:2">
      <c r="A3880" s="112">
        <v>41517</v>
      </c>
      <c r="B3880" s="1">
        <f t="shared" si="60"/>
        <v>24</v>
      </c>
    </row>
    <row r="3881" spans="1:2">
      <c r="A3881" s="112">
        <v>41518</v>
      </c>
      <c r="B3881" s="1">
        <f t="shared" si="60"/>
        <v>25</v>
      </c>
    </row>
    <row r="3882" spans="1:2">
      <c r="A3882" s="112">
        <v>41519</v>
      </c>
      <c r="B3882" s="1">
        <f t="shared" si="60"/>
        <v>26</v>
      </c>
    </row>
    <row r="3883" spans="1:2">
      <c r="A3883" s="112">
        <v>41520</v>
      </c>
      <c r="B3883" s="1">
        <f t="shared" si="60"/>
        <v>27</v>
      </c>
    </row>
    <row r="3884" spans="1:2">
      <c r="A3884" s="112">
        <v>41521</v>
      </c>
      <c r="B3884" s="1">
        <f t="shared" si="60"/>
        <v>28</v>
      </c>
    </row>
    <row r="3885" spans="1:2">
      <c r="A3885" s="112">
        <v>41522</v>
      </c>
      <c r="B3885" s="1">
        <f t="shared" si="60"/>
        <v>0</v>
      </c>
    </row>
    <row r="3886" spans="1:2">
      <c r="A3886" s="112">
        <v>41523</v>
      </c>
      <c r="B3886" s="1">
        <f t="shared" si="60"/>
        <v>1</v>
      </c>
    </row>
    <row r="3887" spans="1:2">
      <c r="A3887" s="112">
        <v>41524</v>
      </c>
      <c r="B3887" s="1">
        <f t="shared" si="60"/>
        <v>2</v>
      </c>
    </row>
    <row r="3888" spans="1:2">
      <c r="A3888" s="112">
        <v>41525</v>
      </c>
      <c r="B3888" s="1">
        <f t="shared" si="60"/>
        <v>3</v>
      </c>
    </row>
    <row r="3889" spans="1:2">
      <c r="A3889" s="112">
        <v>41526</v>
      </c>
      <c r="B3889" s="1">
        <f t="shared" si="60"/>
        <v>4</v>
      </c>
    </row>
    <row r="3890" spans="1:2">
      <c r="A3890" s="112">
        <v>41527</v>
      </c>
      <c r="B3890" s="1">
        <f t="shared" si="60"/>
        <v>5</v>
      </c>
    </row>
    <row r="3891" spans="1:2">
      <c r="A3891" s="112">
        <v>41528</v>
      </c>
      <c r="B3891" s="1">
        <f t="shared" si="60"/>
        <v>6</v>
      </c>
    </row>
    <row r="3892" spans="1:2">
      <c r="A3892" s="112">
        <v>41529</v>
      </c>
      <c r="B3892" s="1">
        <f t="shared" si="60"/>
        <v>7</v>
      </c>
    </row>
    <row r="3893" spans="1:2">
      <c r="A3893" s="112">
        <v>41530</v>
      </c>
      <c r="B3893" s="1">
        <f t="shared" si="60"/>
        <v>8</v>
      </c>
    </row>
    <row r="3894" spans="1:2">
      <c r="A3894" s="112">
        <v>41531</v>
      </c>
      <c r="B3894" s="1">
        <f t="shared" si="60"/>
        <v>9</v>
      </c>
    </row>
    <row r="3895" spans="1:2">
      <c r="A3895" s="112">
        <v>41532</v>
      </c>
      <c r="B3895" s="1">
        <f t="shared" si="60"/>
        <v>10</v>
      </c>
    </row>
    <row r="3896" spans="1:2">
      <c r="A3896" s="112">
        <v>41533</v>
      </c>
      <c r="B3896" s="1">
        <f t="shared" si="60"/>
        <v>11</v>
      </c>
    </row>
    <row r="3897" spans="1:2">
      <c r="A3897" s="112">
        <v>41534</v>
      </c>
      <c r="B3897" s="1">
        <f t="shared" si="60"/>
        <v>12</v>
      </c>
    </row>
    <row r="3898" spans="1:2">
      <c r="A3898" s="112">
        <v>41535</v>
      </c>
      <c r="B3898" s="1">
        <f t="shared" si="60"/>
        <v>13</v>
      </c>
    </row>
    <row r="3899" spans="1:2">
      <c r="A3899" s="112">
        <v>41536</v>
      </c>
      <c r="B3899" s="1">
        <f t="shared" si="60"/>
        <v>14</v>
      </c>
    </row>
    <row r="3900" spans="1:2">
      <c r="A3900" s="112">
        <v>41537</v>
      </c>
      <c r="B3900" s="1">
        <f t="shared" si="60"/>
        <v>15</v>
      </c>
    </row>
    <row r="3901" spans="1:2">
      <c r="A3901" s="112">
        <v>41538</v>
      </c>
      <c r="B3901" s="1">
        <f t="shared" si="60"/>
        <v>16</v>
      </c>
    </row>
    <row r="3902" spans="1:2">
      <c r="A3902" s="112">
        <v>41539</v>
      </c>
      <c r="B3902" s="1">
        <f t="shared" si="60"/>
        <v>17</v>
      </c>
    </row>
    <row r="3903" spans="1:2">
      <c r="A3903" s="112">
        <v>41540</v>
      </c>
      <c r="B3903" s="1">
        <f t="shared" si="60"/>
        <v>18</v>
      </c>
    </row>
    <row r="3904" spans="1:2">
      <c r="A3904" s="112">
        <v>41541</v>
      </c>
      <c r="B3904" s="1">
        <f t="shared" si="60"/>
        <v>19</v>
      </c>
    </row>
    <row r="3905" spans="1:2">
      <c r="A3905" s="112">
        <v>41542</v>
      </c>
      <c r="B3905" s="1">
        <f t="shared" si="60"/>
        <v>20</v>
      </c>
    </row>
    <row r="3906" spans="1:2">
      <c r="A3906" s="112">
        <v>41543</v>
      </c>
      <c r="B3906" s="1">
        <f t="shared" si="60"/>
        <v>21</v>
      </c>
    </row>
    <row r="3907" spans="1:2">
      <c r="A3907" s="112">
        <v>41544</v>
      </c>
      <c r="B3907" s="1">
        <f t="shared" ref="B3907:B3970" si="61">INT(MOD($G$2+A3907-$F$2,29.53))</f>
        <v>22</v>
      </c>
    </row>
    <row r="3908" spans="1:2">
      <c r="A3908" s="112">
        <v>41545</v>
      </c>
      <c r="B3908" s="1">
        <f t="shared" si="61"/>
        <v>23</v>
      </c>
    </row>
    <row r="3909" spans="1:2">
      <c r="A3909" s="112">
        <v>41546</v>
      </c>
      <c r="B3909" s="1">
        <f t="shared" si="61"/>
        <v>24</v>
      </c>
    </row>
    <row r="3910" spans="1:2">
      <c r="A3910" s="112">
        <v>41547</v>
      </c>
      <c r="B3910" s="1">
        <f t="shared" si="61"/>
        <v>25</v>
      </c>
    </row>
    <row r="3911" spans="1:2">
      <c r="A3911" s="112">
        <v>41548</v>
      </c>
      <c r="B3911" s="1">
        <f t="shared" si="61"/>
        <v>26</v>
      </c>
    </row>
    <row r="3912" spans="1:2">
      <c r="A3912" s="112">
        <v>41549</v>
      </c>
      <c r="B3912" s="1">
        <f t="shared" si="61"/>
        <v>27</v>
      </c>
    </row>
    <row r="3913" spans="1:2">
      <c r="A3913" s="112">
        <v>41550</v>
      </c>
      <c r="B3913" s="1">
        <f t="shared" si="61"/>
        <v>28</v>
      </c>
    </row>
    <row r="3914" spans="1:2">
      <c r="A3914" s="112">
        <v>41551</v>
      </c>
      <c r="B3914" s="1">
        <f t="shared" si="61"/>
        <v>29</v>
      </c>
    </row>
    <row r="3915" spans="1:2">
      <c r="A3915" s="112">
        <v>41552</v>
      </c>
      <c r="B3915" s="1">
        <f t="shared" si="61"/>
        <v>0</v>
      </c>
    </row>
    <row r="3916" spans="1:2">
      <c r="A3916" s="112">
        <v>41553</v>
      </c>
      <c r="B3916" s="1">
        <f t="shared" si="61"/>
        <v>1</v>
      </c>
    </row>
    <row r="3917" spans="1:2">
      <c r="A3917" s="112">
        <v>41554</v>
      </c>
      <c r="B3917" s="1">
        <f t="shared" si="61"/>
        <v>2</v>
      </c>
    </row>
    <row r="3918" spans="1:2">
      <c r="A3918" s="112">
        <v>41555</v>
      </c>
      <c r="B3918" s="1">
        <f t="shared" si="61"/>
        <v>3</v>
      </c>
    </row>
    <row r="3919" spans="1:2">
      <c r="A3919" s="112">
        <v>41556</v>
      </c>
      <c r="B3919" s="1">
        <f t="shared" si="61"/>
        <v>4</v>
      </c>
    </row>
    <row r="3920" spans="1:2">
      <c r="A3920" s="112">
        <v>41557</v>
      </c>
      <c r="B3920" s="1">
        <f t="shared" si="61"/>
        <v>5</v>
      </c>
    </row>
    <row r="3921" spans="1:2">
      <c r="A3921" s="112">
        <v>41558</v>
      </c>
      <c r="B3921" s="1">
        <f t="shared" si="61"/>
        <v>6</v>
      </c>
    </row>
    <row r="3922" spans="1:2">
      <c r="A3922" s="112">
        <v>41559</v>
      </c>
      <c r="B3922" s="1">
        <f t="shared" si="61"/>
        <v>7</v>
      </c>
    </row>
    <row r="3923" spans="1:2">
      <c r="A3923" s="112">
        <v>41560</v>
      </c>
      <c r="B3923" s="1">
        <f t="shared" si="61"/>
        <v>8</v>
      </c>
    </row>
    <row r="3924" spans="1:2">
      <c r="A3924" s="112">
        <v>41561</v>
      </c>
      <c r="B3924" s="1">
        <f t="shared" si="61"/>
        <v>9</v>
      </c>
    </row>
    <row r="3925" spans="1:2">
      <c r="A3925" s="112">
        <v>41562</v>
      </c>
      <c r="B3925" s="1">
        <f t="shared" si="61"/>
        <v>10</v>
      </c>
    </row>
    <row r="3926" spans="1:2">
      <c r="A3926" s="112">
        <v>41563</v>
      </c>
      <c r="B3926" s="1">
        <f t="shared" si="61"/>
        <v>11</v>
      </c>
    </row>
    <row r="3927" spans="1:2">
      <c r="A3927" s="112">
        <v>41564</v>
      </c>
      <c r="B3927" s="1">
        <f t="shared" si="61"/>
        <v>12</v>
      </c>
    </row>
    <row r="3928" spans="1:2">
      <c r="A3928" s="112">
        <v>41565</v>
      </c>
      <c r="B3928" s="1">
        <f t="shared" si="61"/>
        <v>13</v>
      </c>
    </row>
    <row r="3929" spans="1:2">
      <c r="A3929" s="112">
        <v>41566</v>
      </c>
      <c r="B3929" s="1">
        <f t="shared" si="61"/>
        <v>14</v>
      </c>
    </row>
    <row r="3930" spans="1:2">
      <c r="A3930" s="112">
        <v>41567</v>
      </c>
      <c r="B3930" s="1">
        <f t="shared" si="61"/>
        <v>15</v>
      </c>
    </row>
    <row r="3931" spans="1:2">
      <c r="A3931" s="112">
        <v>41568</v>
      </c>
      <c r="B3931" s="1">
        <f t="shared" si="61"/>
        <v>16</v>
      </c>
    </row>
    <row r="3932" spans="1:2">
      <c r="A3932" s="112">
        <v>41569</v>
      </c>
      <c r="B3932" s="1">
        <f t="shared" si="61"/>
        <v>17</v>
      </c>
    </row>
    <row r="3933" spans="1:2">
      <c r="A3933" s="112">
        <v>41570</v>
      </c>
      <c r="B3933" s="1">
        <f t="shared" si="61"/>
        <v>18</v>
      </c>
    </row>
    <row r="3934" spans="1:2">
      <c r="A3934" s="112">
        <v>41571</v>
      </c>
      <c r="B3934" s="1">
        <f t="shared" si="61"/>
        <v>19</v>
      </c>
    </row>
    <row r="3935" spans="1:2">
      <c r="A3935" s="112">
        <v>41572</v>
      </c>
      <c r="B3935" s="1">
        <f t="shared" si="61"/>
        <v>20</v>
      </c>
    </row>
    <row r="3936" spans="1:2">
      <c r="A3936" s="112">
        <v>41573</v>
      </c>
      <c r="B3936" s="1">
        <f t="shared" si="61"/>
        <v>21</v>
      </c>
    </row>
    <row r="3937" spans="1:2">
      <c r="A3937" s="112">
        <v>41574</v>
      </c>
      <c r="B3937" s="1">
        <f t="shared" si="61"/>
        <v>22</v>
      </c>
    </row>
    <row r="3938" spans="1:2">
      <c r="A3938" s="112">
        <v>41575</v>
      </c>
      <c r="B3938" s="1">
        <f t="shared" si="61"/>
        <v>23</v>
      </c>
    </row>
    <row r="3939" spans="1:2">
      <c r="A3939" s="112">
        <v>41576</v>
      </c>
      <c r="B3939" s="1">
        <f t="shared" si="61"/>
        <v>24</v>
      </c>
    </row>
    <row r="3940" spans="1:2">
      <c r="A3940" s="112">
        <v>41577</v>
      </c>
      <c r="B3940" s="1">
        <f t="shared" si="61"/>
        <v>25</v>
      </c>
    </row>
    <row r="3941" spans="1:2">
      <c r="A3941" s="112">
        <v>41578</v>
      </c>
      <c r="B3941" s="1">
        <f t="shared" si="61"/>
        <v>26</v>
      </c>
    </row>
    <row r="3942" spans="1:2">
      <c r="A3942" s="112">
        <v>41579</v>
      </c>
      <c r="B3942" s="1">
        <f t="shared" si="61"/>
        <v>27</v>
      </c>
    </row>
    <row r="3943" spans="1:2">
      <c r="A3943" s="112">
        <v>41580</v>
      </c>
      <c r="B3943" s="1">
        <f t="shared" si="61"/>
        <v>28</v>
      </c>
    </row>
    <row r="3944" spans="1:2">
      <c r="A3944" s="112">
        <v>41581</v>
      </c>
      <c r="B3944" s="1">
        <f t="shared" si="61"/>
        <v>0</v>
      </c>
    </row>
    <row r="3945" spans="1:2">
      <c r="A3945" s="112">
        <v>41582</v>
      </c>
      <c r="B3945" s="1">
        <f t="shared" si="61"/>
        <v>1</v>
      </c>
    </row>
    <row r="3946" spans="1:2">
      <c r="A3946" s="112">
        <v>41583</v>
      </c>
      <c r="B3946" s="1">
        <f t="shared" si="61"/>
        <v>2</v>
      </c>
    </row>
    <row r="3947" spans="1:2">
      <c r="A3947" s="112">
        <v>41584</v>
      </c>
      <c r="B3947" s="1">
        <f t="shared" si="61"/>
        <v>3</v>
      </c>
    </row>
    <row r="3948" spans="1:2">
      <c r="A3948" s="112">
        <v>41585</v>
      </c>
      <c r="B3948" s="1">
        <f t="shared" si="61"/>
        <v>4</v>
      </c>
    </row>
    <row r="3949" spans="1:2">
      <c r="A3949" s="112">
        <v>41586</v>
      </c>
      <c r="B3949" s="1">
        <f t="shared" si="61"/>
        <v>5</v>
      </c>
    </row>
    <row r="3950" spans="1:2">
      <c r="A3950" s="112">
        <v>41587</v>
      </c>
      <c r="B3950" s="1">
        <f t="shared" si="61"/>
        <v>6</v>
      </c>
    </row>
    <row r="3951" spans="1:2">
      <c r="A3951" s="112">
        <v>41588</v>
      </c>
      <c r="B3951" s="1">
        <f t="shared" si="61"/>
        <v>7</v>
      </c>
    </row>
    <row r="3952" spans="1:2">
      <c r="A3952" s="112">
        <v>41589</v>
      </c>
      <c r="B3952" s="1">
        <f t="shared" si="61"/>
        <v>8</v>
      </c>
    </row>
    <row r="3953" spans="1:2">
      <c r="A3953" s="112">
        <v>41590</v>
      </c>
      <c r="B3953" s="1">
        <f t="shared" si="61"/>
        <v>9</v>
      </c>
    </row>
    <row r="3954" spans="1:2">
      <c r="A3954" s="112">
        <v>41591</v>
      </c>
      <c r="B3954" s="1">
        <f t="shared" si="61"/>
        <v>10</v>
      </c>
    </row>
    <row r="3955" spans="1:2">
      <c r="A3955" s="112">
        <v>41592</v>
      </c>
      <c r="B3955" s="1">
        <f t="shared" si="61"/>
        <v>11</v>
      </c>
    </row>
    <row r="3956" spans="1:2">
      <c r="A3956" s="112">
        <v>41593</v>
      </c>
      <c r="B3956" s="1">
        <f t="shared" si="61"/>
        <v>12</v>
      </c>
    </row>
    <row r="3957" spans="1:2">
      <c r="A3957" s="112">
        <v>41594</v>
      </c>
      <c r="B3957" s="1">
        <f t="shared" si="61"/>
        <v>13</v>
      </c>
    </row>
    <row r="3958" spans="1:2">
      <c r="A3958" s="112">
        <v>41595</v>
      </c>
      <c r="B3958" s="1">
        <f t="shared" si="61"/>
        <v>14</v>
      </c>
    </row>
    <row r="3959" spans="1:2">
      <c r="A3959" s="112">
        <v>41596</v>
      </c>
      <c r="B3959" s="1">
        <f t="shared" si="61"/>
        <v>15</v>
      </c>
    </row>
    <row r="3960" spans="1:2">
      <c r="A3960" s="112">
        <v>41597</v>
      </c>
      <c r="B3960" s="1">
        <f t="shared" si="61"/>
        <v>16</v>
      </c>
    </row>
    <row r="3961" spans="1:2">
      <c r="A3961" s="112">
        <v>41598</v>
      </c>
      <c r="B3961" s="1">
        <f t="shared" si="61"/>
        <v>17</v>
      </c>
    </row>
    <row r="3962" spans="1:2">
      <c r="A3962" s="112">
        <v>41599</v>
      </c>
      <c r="B3962" s="1">
        <f t="shared" si="61"/>
        <v>18</v>
      </c>
    </row>
    <row r="3963" spans="1:2">
      <c r="A3963" s="112">
        <v>41600</v>
      </c>
      <c r="B3963" s="1">
        <f t="shared" si="61"/>
        <v>19</v>
      </c>
    </row>
    <row r="3964" spans="1:2">
      <c r="A3964" s="112">
        <v>41601</v>
      </c>
      <c r="B3964" s="1">
        <f t="shared" si="61"/>
        <v>20</v>
      </c>
    </row>
    <row r="3965" spans="1:2">
      <c r="A3965" s="112">
        <v>41602</v>
      </c>
      <c r="B3965" s="1">
        <f t="shared" si="61"/>
        <v>21</v>
      </c>
    </row>
    <row r="3966" spans="1:2">
      <c r="A3966" s="112">
        <v>41603</v>
      </c>
      <c r="B3966" s="1">
        <f t="shared" si="61"/>
        <v>22</v>
      </c>
    </row>
    <row r="3967" spans="1:2">
      <c r="A3967" s="112">
        <v>41604</v>
      </c>
      <c r="B3967" s="1">
        <f t="shared" si="61"/>
        <v>23</v>
      </c>
    </row>
    <row r="3968" spans="1:2">
      <c r="A3968" s="112">
        <v>41605</v>
      </c>
      <c r="B3968" s="1">
        <f t="shared" si="61"/>
        <v>24</v>
      </c>
    </row>
    <row r="3969" spans="1:2">
      <c r="A3969" s="112">
        <v>41606</v>
      </c>
      <c r="B3969" s="1">
        <f t="shared" si="61"/>
        <v>25</v>
      </c>
    </row>
    <row r="3970" spans="1:2">
      <c r="A3970" s="112">
        <v>41607</v>
      </c>
      <c r="B3970" s="1">
        <f t="shared" si="61"/>
        <v>26</v>
      </c>
    </row>
    <row r="3971" spans="1:2">
      <c r="A3971" s="112">
        <v>41608</v>
      </c>
      <c r="B3971" s="1">
        <f t="shared" ref="B3971:B4034" si="62">INT(MOD($G$2+A3971-$F$2,29.53))</f>
        <v>27</v>
      </c>
    </row>
    <row r="3972" spans="1:2">
      <c r="A3972" s="112">
        <v>41609</v>
      </c>
      <c r="B3972" s="1">
        <f t="shared" si="62"/>
        <v>28</v>
      </c>
    </row>
    <row r="3973" spans="1:2">
      <c r="A3973" s="112">
        <v>41610</v>
      </c>
      <c r="B3973" s="1">
        <f t="shared" si="62"/>
        <v>29</v>
      </c>
    </row>
    <row r="3974" spans="1:2">
      <c r="A3974" s="112">
        <v>41611</v>
      </c>
      <c r="B3974" s="1">
        <f t="shared" si="62"/>
        <v>0</v>
      </c>
    </row>
    <row r="3975" spans="1:2">
      <c r="A3975" s="112">
        <v>41612</v>
      </c>
      <c r="B3975" s="1">
        <f t="shared" si="62"/>
        <v>1</v>
      </c>
    </row>
    <row r="3976" spans="1:2">
      <c r="A3976" s="112">
        <v>41613</v>
      </c>
      <c r="B3976" s="1">
        <f t="shared" si="62"/>
        <v>2</v>
      </c>
    </row>
    <row r="3977" spans="1:2">
      <c r="A3977" s="112">
        <v>41614</v>
      </c>
      <c r="B3977" s="1">
        <f t="shared" si="62"/>
        <v>3</v>
      </c>
    </row>
    <row r="3978" spans="1:2">
      <c r="A3978" s="112">
        <v>41615</v>
      </c>
      <c r="B3978" s="1">
        <f t="shared" si="62"/>
        <v>4</v>
      </c>
    </row>
    <row r="3979" spans="1:2">
      <c r="A3979" s="112">
        <v>41616</v>
      </c>
      <c r="B3979" s="1">
        <f t="shared" si="62"/>
        <v>5</v>
      </c>
    </row>
    <row r="3980" spans="1:2">
      <c r="A3980" s="112">
        <v>41617</v>
      </c>
      <c r="B3980" s="1">
        <f t="shared" si="62"/>
        <v>6</v>
      </c>
    </row>
    <row r="3981" spans="1:2">
      <c r="A3981" s="112">
        <v>41618</v>
      </c>
      <c r="B3981" s="1">
        <f t="shared" si="62"/>
        <v>7</v>
      </c>
    </row>
    <row r="3982" spans="1:2">
      <c r="A3982" s="112">
        <v>41619</v>
      </c>
      <c r="B3982" s="1">
        <f t="shared" si="62"/>
        <v>8</v>
      </c>
    </row>
    <row r="3983" spans="1:2">
      <c r="A3983" s="112">
        <v>41620</v>
      </c>
      <c r="B3983" s="1">
        <f t="shared" si="62"/>
        <v>9</v>
      </c>
    </row>
    <row r="3984" spans="1:2">
      <c r="A3984" s="112">
        <v>41621</v>
      </c>
      <c r="B3984" s="1">
        <f t="shared" si="62"/>
        <v>10</v>
      </c>
    </row>
    <row r="3985" spans="1:2">
      <c r="A3985" s="112">
        <v>41622</v>
      </c>
      <c r="B3985" s="1">
        <f t="shared" si="62"/>
        <v>11</v>
      </c>
    </row>
    <row r="3986" spans="1:2">
      <c r="A3986" s="112">
        <v>41623</v>
      </c>
      <c r="B3986" s="1">
        <f t="shared" si="62"/>
        <v>12</v>
      </c>
    </row>
    <row r="3987" spans="1:2">
      <c r="A3987" s="112">
        <v>41624</v>
      </c>
      <c r="B3987" s="1">
        <f t="shared" si="62"/>
        <v>13</v>
      </c>
    </row>
    <row r="3988" spans="1:2">
      <c r="A3988" s="112">
        <v>41625</v>
      </c>
      <c r="B3988" s="1">
        <f t="shared" si="62"/>
        <v>14</v>
      </c>
    </row>
    <row r="3989" spans="1:2">
      <c r="A3989" s="112">
        <v>41626</v>
      </c>
      <c r="B3989" s="1">
        <f t="shared" si="62"/>
        <v>15</v>
      </c>
    </row>
    <row r="3990" spans="1:2">
      <c r="A3990" s="112">
        <v>41627</v>
      </c>
      <c r="B3990" s="1">
        <f t="shared" si="62"/>
        <v>16</v>
      </c>
    </row>
    <row r="3991" spans="1:2">
      <c r="A3991" s="112">
        <v>41628</v>
      </c>
      <c r="B3991" s="1">
        <f t="shared" si="62"/>
        <v>17</v>
      </c>
    </row>
    <row r="3992" spans="1:2">
      <c r="A3992" s="112">
        <v>41629</v>
      </c>
      <c r="B3992" s="1">
        <f t="shared" si="62"/>
        <v>18</v>
      </c>
    </row>
    <row r="3993" spans="1:2">
      <c r="A3993" s="112">
        <v>41630</v>
      </c>
      <c r="B3993" s="1">
        <f t="shared" si="62"/>
        <v>19</v>
      </c>
    </row>
    <row r="3994" spans="1:2">
      <c r="A3994" s="112">
        <v>41631</v>
      </c>
      <c r="B3994" s="1">
        <f t="shared" si="62"/>
        <v>20</v>
      </c>
    </row>
    <row r="3995" spans="1:2">
      <c r="A3995" s="112">
        <v>41632</v>
      </c>
      <c r="B3995" s="1">
        <f t="shared" si="62"/>
        <v>21</v>
      </c>
    </row>
    <row r="3996" spans="1:2">
      <c r="A3996" s="112">
        <v>41633</v>
      </c>
      <c r="B3996" s="1">
        <f t="shared" si="62"/>
        <v>22</v>
      </c>
    </row>
    <row r="3997" spans="1:2">
      <c r="A3997" s="112">
        <v>41634</v>
      </c>
      <c r="B3997" s="1">
        <f t="shared" si="62"/>
        <v>23</v>
      </c>
    </row>
    <row r="3998" spans="1:2">
      <c r="A3998" s="112">
        <v>41635</v>
      </c>
      <c r="B3998" s="1">
        <f t="shared" si="62"/>
        <v>24</v>
      </c>
    </row>
    <row r="3999" spans="1:2">
      <c r="A3999" s="112">
        <v>41636</v>
      </c>
      <c r="B3999" s="1">
        <f t="shared" si="62"/>
        <v>25</v>
      </c>
    </row>
    <row r="4000" spans="1:2">
      <c r="A4000" s="112">
        <v>41637</v>
      </c>
      <c r="B4000" s="1">
        <f t="shared" si="62"/>
        <v>26</v>
      </c>
    </row>
    <row r="4001" spans="1:2">
      <c r="A4001" s="112">
        <v>41638</v>
      </c>
      <c r="B4001" s="1">
        <f t="shared" si="62"/>
        <v>27</v>
      </c>
    </row>
    <row r="4002" spans="1:2">
      <c r="A4002" s="112">
        <v>41639</v>
      </c>
      <c r="B4002" s="1">
        <f t="shared" si="62"/>
        <v>28</v>
      </c>
    </row>
    <row r="4003" spans="1:2">
      <c r="A4003" s="112">
        <v>41640</v>
      </c>
      <c r="B4003" s="1">
        <f t="shared" si="62"/>
        <v>0</v>
      </c>
    </row>
    <row r="4004" spans="1:2">
      <c r="A4004" s="112">
        <v>41641</v>
      </c>
      <c r="B4004" s="1">
        <f t="shared" si="62"/>
        <v>1</v>
      </c>
    </row>
    <row r="4005" spans="1:2">
      <c r="A4005" s="112">
        <v>41642</v>
      </c>
      <c r="B4005" s="1">
        <f t="shared" si="62"/>
        <v>2</v>
      </c>
    </row>
    <row r="4006" spans="1:2">
      <c r="A4006" s="112">
        <v>41643</v>
      </c>
      <c r="B4006" s="1">
        <f t="shared" si="62"/>
        <v>3</v>
      </c>
    </row>
    <row r="4007" spans="1:2">
      <c r="A4007" s="112">
        <v>41644</v>
      </c>
      <c r="B4007" s="1">
        <f t="shared" si="62"/>
        <v>4</v>
      </c>
    </row>
    <row r="4008" spans="1:2">
      <c r="A4008" s="112">
        <v>41645</v>
      </c>
      <c r="B4008" s="1">
        <f t="shared" si="62"/>
        <v>5</v>
      </c>
    </row>
    <row r="4009" spans="1:2">
      <c r="A4009" s="112">
        <v>41646</v>
      </c>
      <c r="B4009" s="1">
        <f t="shared" si="62"/>
        <v>6</v>
      </c>
    </row>
    <row r="4010" spans="1:2">
      <c r="A4010" s="112">
        <v>41647</v>
      </c>
      <c r="B4010" s="1">
        <f t="shared" si="62"/>
        <v>7</v>
      </c>
    </row>
    <row r="4011" spans="1:2">
      <c r="A4011" s="112">
        <v>41648</v>
      </c>
      <c r="B4011" s="1">
        <f t="shared" si="62"/>
        <v>8</v>
      </c>
    </row>
    <row r="4012" spans="1:2">
      <c r="A4012" s="112">
        <v>41649</v>
      </c>
      <c r="B4012" s="1">
        <f t="shared" si="62"/>
        <v>9</v>
      </c>
    </row>
    <row r="4013" spans="1:2">
      <c r="A4013" s="112">
        <v>41650</v>
      </c>
      <c r="B4013" s="1">
        <f t="shared" si="62"/>
        <v>10</v>
      </c>
    </row>
    <row r="4014" spans="1:2">
      <c r="A4014" s="112">
        <v>41651</v>
      </c>
      <c r="B4014" s="1">
        <f t="shared" si="62"/>
        <v>11</v>
      </c>
    </row>
    <row r="4015" spans="1:2">
      <c r="A4015" s="112">
        <v>41652</v>
      </c>
      <c r="B4015" s="1">
        <f t="shared" si="62"/>
        <v>12</v>
      </c>
    </row>
    <row r="4016" spans="1:2">
      <c r="A4016" s="112">
        <v>41653</v>
      </c>
      <c r="B4016" s="1">
        <f t="shared" si="62"/>
        <v>13</v>
      </c>
    </row>
    <row r="4017" spans="1:2">
      <c r="A4017" s="112">
        <v>41654</v>
      </c>
      <c r="B4017" s="1">
        <f t="shared" si="62"/>
        <v>14</v>
      </c>
    </row>
    <row r="4018" spans="1:2">
      <c r="A4018" s="112">
        <v>41655</v>
      </c>
      <c r="B4018" s="1">
        <f t="shared" si="62"/>
        <v>15</v>
      </c>
    </row>
    <row r="4019" spans="1:2">
      <c r="A4019" s="112">
        <v>41656</v>
      </c>
      <c r="B4019" s="1">
        <f t="shared" si="62"/>
        <v>16</v>
      </c>
    </row>
    <row r="4020" spans="1:2">
      <c r="A4020" s="112">
        <v>41657</v>
      </c>
      <c r="B4020" s="1">
        <f t="shared" si="62"/>
        <v>17</v>
      </c>
    </row>
    <row r="4021" spans="1:2">
      <c r="A4021" s="112">
        <v>41658</v>
      </c>
      <c r="B4021" s="1">
        <f t="shared" si="62"/>
        <v>18</v>
      </c>
    </row>
    <row r="4022" spans="1:2">
      <c r="A4022" s="112">
        <v>41659</v>
      </c>
      <c r="B4022" s="1">
        <f t="shared" si="62"/>
        <v>19</v>
      </c>
    </row>
    <row r="4023" spans="1:2">
      <c r="A4023" s="112">
        <v>41660</v>
      </c>
      <c r="B4023" s="1">
        <f t="shared" si="62"/>
        <v>20</v>
      </c>
    </row>
    <row r="4024" spans="1:2">
      <c r="A4024" s="112">
        <v>41661</v>
      </c>
      <c r="B4024" s="1">
        <f t="shared" si="62"/>
        <v>21</v>
      </c>
    </row>
    <row r="4025" spans="1:2">
      <c r="A4025" s="112">
        <v>41662</v>
      </c>
      <c r="B4025" s="1">
        <f t="shared" si="62"/>
        <v>22</v>
      </c>
    </row>
    <row r="4026" spans="1:2">
      <c r="A4026" s="112">
        <v>41663</v>
      </c>
      <c r="B4026" s="1">
        <f t="shared" si="62"/>
        <v>23</v>
      </c>
    </row>
    <row r="4027" spans="1:2">
      <c r="A4027" s="112">
        <v>41664</v>
      </c>
      <c r="B4027" s="1">
        <f t="shared" si="62"/>
        <v>24</v>
      </c>
    </row>
    <row r="4028" spans="1:2">
      <c r="A4028" s="112">
        <v>41665</v>
      </c>
      <c r="B4028" s="1">
        <f t="shared" si="62"/>
        <v>25</v>
      </c>
    </row>
    <row r="4029" spans="1:2">
      <c r="A4029" s="112">
        <v>41666</v>
      </c>
      <c r="B4029" s="1">
        <f t="shared" si="62"/>
        <v>26</v>
      </c>
    </row>
    <row r="4030" spans="1:2">
      <c r="A4030" s="112">
        <v>41667</v>
      </c>
      <c r="B4030" s="1">
        <f t="shared" si="62"/>
        <v>27</v>
      </c>
    </row>
    <row r="4031" spans="1:2">
      <c r="A4031" s="112">
        <v>41668</v>
      </c>
      <c r="B4031" s="1">
        <f t="shared" si="62"/>
        <v>28</v>
      </c>
    </row>
    <row r="4032" spans="1:2">
      <c r="A4032" s="112">
        <v>41669</v>
      </c>
      <c r="B4032" s="1">
        <f t="shared" si="62"/>
        <v>29</v>
      </c>
    </row>
    <row r="4033" spans="1:2">
      <c r="A4033" s="112">
        <v>41670</v>
      </c>
      <c r="B4033" s="1">
        <f t="shared" si="62"/>
        <v>0</v>
      </c>
    </row>
    <row r="4034" spans="1:2">
      <c r="A4034" s="112">
        <v>41671</v>
      </c>
      <c r="B4034" s="1">
        <f t="shared" si="62"/>
        <v>1</v>
      </c>
    </row>
    <row r="4035" spans="1:2">
      <c r="A4035" s="112">
        <v>41672</v>
      </c>
      <c r="B4035" s="1">
        <f t="shared" ref="B4035:B4098" si="63">INT(MOD($G$2+A4035-$F$2,29.53))</f>
        <v>2</v>
      </c>
    </row>
    <row r="4036" spans="1:2">
      <c r="A4036" s="112">
        <v>41673</v>
      </c>
      <c r="B4036" s="1">
        <f t="shared" si="63"/>
        <v>3</v>
      </c>
    </row>
    <row r="4037" spans="1:2">
      <c r="A4037" s="112">
        <v>41674</v>
      </c>
      <c r="B4037" s="1">
        <f t="shared" si="63"/>
        <v>4</v>
      </c>
    </row>
    <row r="4038" spans="1:2">
      <c r="A4038" s="112">
        <v>41675</v>
      </c>
      <c r="B4038" s="1">
        <f t="shared" si="63"/>
        <v>5</v>
      </c>
    </row>
    <row r="4039" spans="1:2">
      <c r="A4039" s="112">
        <v>41676</v>
      </c>
      <c r="B4039" s="1">
        <f t="shared" si="63"/>
        <v>6</v>
      </c>
    </row>
    <row r="4040" spans="1:2">
      <c r="A4040" s="112">
        <v>41677</v>
      </c>
      <c r="B4040" s="1">
        <f t="shared" si="63"/>
        <v>7</v>
      </c>
    </row>
    <row r="4041" spans="1:2">
      <c r="A4041" s="112">
        <v>41678</v>
      </c>
      <c r="B4041" s="1">
        <f t="shared" si="63"/>
        <v>8</v>
      </c>
    </row>
    <row r="4042" spans="1:2">
      <c r="A4042" s="112">
        <v>41679</v>
      </c>
      <c r="B4042" s="1">
        <f t="shared" si="63"/>
        <v>9</v>
      </c>
    </row>
    <row r="4043" spans="1:2">
      <c r="A4043" s="112">
        <v>41680</v>
      </c>
      <c r="B4043" s="1">
        <f t="shared" si="63"/>
        <v>10</v>
      </c>
    </row>
    <row r="4044" spans="1:2">
      <c r="A4044" s="112">
        <v>41681</v>
      </c>
      <c r="B4044" s="1">
        <f t="shared" si="63"/>
        <v>11</v>
      </c>
    </row>
    <row r="4045" spans="1:2">
      <c r="A4045" s="112">
        <v>41682</v>
      </c>
      <c r="B4045" s="1">
        <f t="shared" si="63"/>
        <v>12</v>
      </c>
    </row>
    <row r="4046" spans="1:2">
      <c r="A4046" s="112">
        <v>41683</v>
      </c>
      <c r="B4046" s="1">
        <f t="shared" si="63"/>
        <v>13</v>
      </c>
    </row>
    <row r="4047" spans="1:2">
      <c r="A4047" s="112">
        <v>41684</v>
      </c>
      <c r="B4047" s="1">
        <f t="shared" si="63"/>
        <v>14</v>
      </c>
    </row>
    <row r="4048" spans="1:2">
      <c r="A4048" s="112">
        <v>41685</v>
      </c>
      <c r="B4048" s="1">
        <f t="shared" si="63"/>
        <v>15</v>
      </c>
    </row>
    <row r="4049" spans="1:2">
      <c r="A4049" s="112">
        <v>41686</v>
      </c>
      <c r="B4049" s="1">
        <f t="shared" si="63"/>
        <v>16</v>
      </c>
    </row>
    <row r="4050" spans="1:2">
      <c r="A4050" s="112">
        <v>41687</v>
      </c>
      <c r="B4050" s="1">
        <f t="shared" si="63"/>
        <v>17</v>
      </c>
    </row>
    <row r="4051" spans="1:2">
      <c r="A4051" s="112">
        <v>41688</v>
      </c>
      <c r="B4051" s="1">
        <f t="shared" si="63"/>
        <v>18</v>
      </c>
    </row>
    <row r="4052" spans="1:2">
      <c r="A4052" s="112">
        <v>41689</v>
      </c>
      <c r="B4052" s="1">
        <f t="shared" si="63"/>
        <v>19</v>
      </c>
    </row>
    <row r="4053" spans="1:2">
      <c r="A4053" s="112">
        <v>41690</v>
      </c>
      <c r="B4053" s="1">
        <f t="shared" si="63"/>
        <v>20</v>
      </c>
    </row>
    <row r="4054" spans="1:2">
      <c r="A4054" s="112">
        <v>41691</v>
      </c>
      <c r="B4054" s="1">
        <f t="shared" si="63"/>
        <v>21</v>
      </c>
    </row>
    <row r="4055" spans="1:2">
      <c r="A4055" s="112">
        <v>41692</v>
      </c>
      <c r="B4055" s="1">
        <f t="shared" si="63"/>
        <v>22</v>
      </c>
    </row>
    <row r="4056" spans="1:2">
      <c r="A4056" s="112">
        <v>41693</v>
      </c>
      <c r="B4056" s="1">
        <f t="shared" si="63"/>
        <v>23</v>
      </c>
    </row>
    <row r="4057" spans="1:2">
      <c r="A4057" s="112">
        <v>41694</v>
      </c>
      <c r="B4057" s="1">
        <f t="shared" si="63"/>
        <v>24</v>
      </c>
    </row>
    <row r="4058" spans="1:2">
      <c r="A4058" s="112">
        <v>41695</v>
      </c>
      <c r="B4058" s="1">
        <f t="shared" si="63"/>
        <v>25</v>
      </c>
    </row>
    <row r="4059" spans="1:2">
      <c r="A4059" s="112">
        <v>41696</v>
      </c>
      <c r="B4059" s="1">
        <f t="shared" si="63"/>
        <v>26</v>
      </c>
    </row>
    <row r="4060" spans="1:2">
      <c r="A4060" s="112">
        <v>41697</v>
      </c>
      <c r="B4060" s="1">
        <f t="shared" si="63"/>
        <v>27</v>
      </c>
    </row>
    <row r="4061" spans="1:2">
      <c r="A4061" s="112">
        <v>41698</v>
      </c>
      <c r="B4061" s="1">
        <f t="shared" si="63"/>
        <v>28</v>
      </c>
    </row>
    <row r="4062" spans="1:2">
      <c r="A4062" s="112">
        <v>41699</v>
      </c>
      <c r="B4062" s="1">
        <f t="shared" si="63"/>
        <v>0</v>
      </c>
    </row>
    <row r="4063" spans="1:2">
      <c r="A4063" s="112">
        <v>41700</v>
      </c>
      <c r="B4063" s="1">
        <f t="shared" si="63"/>
        <v>1</v>
      </c>
    </row>
    <row r="4064" spans="1:2">
      <c r="A4064" s="112">
        <v>41701</v>
      </c>
      <c r="B4064" s="1">
        <f t="shared" si="63"/>
        <v>2</v>
      </c>
    </row>
    <row r="4065" spans="1:2">
      <c r="A4065" s="112">
        <v>41702</v>
      </c>
      <c r="B4065" s="1">
        <f t="shared" si="63"/>
        <v>3</v>
      </c>
    </row>
    <row r="4066" spans="1:2">
      <c r="A4066" s="112">
        <v>41703</v>
      </c>
      <c r="B4066" s="1">
        <f t="shared" si="63"/>
        <v>4</v>
      </c>
    </row>
    <row r="4067" spans="1:2">
      <c r="A4067" s="112">
        <v>41704</v>
      </c>
      <c r="B4067" s="1">
        <f t="shared" si="63"/>
        <v>5</v>
      </c>
    </row>
    <row r="4068" spans="1:2">
      <c r="A4068" s="112">
        <v>41705</v>
      </c>
      <c r="B4068" s="1">
        <f t="shared" si="63"/>
        <v>6</v>
      </c>
    </row>
    <row r="4069" spans="1:2">
      <c r="A4069" s="112">
        <v>41706</v>
      </c>
      <c r="B4069" s="1">
        <f t="shared" si="63"/>
        <v>7</v>
      </c>
    </row>
    <row r="4070" spans="1:2">
      <c r="A4070" s="112">
        <v>41707</v>
      </c>
      <c r="B4070" s="1">
        <f t="shared" si="63"/>
        <v>8</v>
      </c>
    </row>
    <row r="4071" spans="1:2">
      <c r="A4071" s="112">
        <v>41708</v>
      </c>
      <c r="B4071" s="1">
        <f t="shared" si="63"/>
        <v>9</v>
      </c>
    </row>
    <row r="4072" spans="1:2">
      <c r="A4072" s="112">
        <v>41709</v>
      </c>
      <c r="B4072" s="1">
        <f t="shared" si="63"/>
        <v>10</v>
      </c>
    </row>
    <row r="4073" spans="1:2">
      <c r="A4073" s="112">
        <v>41710</v>
      </c>
      <c r="B4073" s="1">
        <f t="shared" si="63"/>
        <v>11</v>
      </c>
    </row>
    <row r="4074" spans="1:2">
      <c r="A4074" s="112">
        <v>41711</v>
      </c>
      <c r="B4074" s="1">
        <f t="shared" si="63"/>
        <v>12</v>
      </c>
    </row>
    <row r="4075" spans="1:2">
      <c r="A4075" s="112">
        <v>41712</v>
      </c>
      <c r="B4075" s="1">
        <f t="shared" si="63"/>
        <v>13</v>
      </c>
    </row>
    <row r="4076" spans="1:2">
      <c r="A4076" s="112">
        <v>41713</v>
      </c>
      <c r="B4076" s="1">
        <f t="shared" si="63"/>
        <v>14</v>
      </c>
    </row>
    <row r="4077" spans="1:2">
      <c r="A4077" s="112">
        <v>41714</v>
      </c>
      <c r="B4077" s="1">
        <f t="shared" si="63"/>
        <v>15</v>
      </c>
    </row>
    <row r="4078" spans="1:2">
      <c r="A4078" s="112">
        <v>41715</v>
      </c>
      <c r="B4078" s="1">
        <f t="shared" si="63"/>
        <v>16</v>
      </c>
    </row>
    <row r="4079" spans="1:2">
      <c r="A4079" s="112">
        <v>41716</v>
      </c>
      <c r="B4079" s="1">
        <f t="shared" si="63"/>
        <v>17</v>
      </c>
    </row>
    <row r="4080" spans="1:2">
      <c r="A4080" s="112">
        <v>41717</v>
      </c>
      <c r="B4080" s="1">
        <f t="shared" si="63"/>
        <v>18</v>
      </c>
    </row>
    <row r="4081" spans="1:2">
      <c r="A4081" s="112">
        <v>41718</v>
      </c>
      <c r="B4081" s="1">
        <f t="shared" si="63"/>
        <v>19</v>
      </c>
    </row>
    <row r="4082" spans="1:2">
      <c r="A4082" s="112">
        <v>41719</v>
      </c>
      <c r="B4082" s="1">
        <f t="shared" si="63"/>
        <v>20</v>
      </c>
    </row>
    <row r="4083" spans="1:2">
      <c r="A4083" s="112">
        <v>41720</v>
      </c>
      <c r="B4083" s="1">
        <f t="shared" si="63"/>
        <v>21</v>
      </c>
    </row>
    <row r="4084" spans="1:2">
      <c r="A4084" s="112">
        <v>41721</v>
      </c>
      <c r="B4084" s="1">
        <f t="shared" si="63"/>
        <v>22</v>
      </c>
    </row>
    <row r="4085" spans="1:2">
      <c r="A4085" s="112">
        <v>41722</v>
      </c>
      <c r="B4085" s="1">
        <f t="shared" si="63"/>
        <v>23</v>
      </c>
    </row>
    <row r="4086" spans="1:2">
      <c r="A4086" s="112">
        <v>41723</v>
      </c>
      <c r="B4086" s="1">
        <f t="shared" si="63"/>
        <v>24</v>
      </c>
    </row>
    <row r="4087" spans="1:2">
      <c r="A4087" s="112">
        <v>41724</v>
      </c>
      <c r="B4087" s="1">
        <f t="shared" si="63"/>
        <v>25</v>
      </c>
    </row>
    <row r="4088" spans="1:2">
      <c r="A4088" s="112">
        <v>41725</v>
      </c>
      <c r="B4088" s="1">
        <f t="shared" si="63"/>
        <v>26</v>
      </c>
    </row>
    <row r="4089" spans="1:2">
      <c r="A4089" s="112">
        <v>41726</v>
      </c>
      <c r="B4089" s="1">
        <f t="shared" si="63"/>
        <v>27</v>
      </c>
    </row>
    <row r="4090" spans="1:2">
      <c r="A4090" s="112">
        <v>41727</v>
      </c>
      <c r="B4090" s="1">
        <f t="shared" si="63"/>
        <v>28</v>
      </c>
    </row>
    <row r="4091" spans="1:2">
      <c r="A4091" s="112">
        <v>41728</v>
      </c>
      <c r="B4091" s="1">
        <f t="shared" si="63"/>
        <v>29</v>
      </c>
    </row>
    <row r="4092" spans="1:2">
      <c r="A4092" s="112">
        <v>41729</v>
      </c>
      <c r="B4092" s="1">
        <f t="shared" si="63"/>
        <v>0</v>
      </c>
    </row>
    <row r="4093" spans="1:2">
      <c r="A4093" s="112">
        <v>41730</v>
      </c>
      <c r="B4093" s="1">
        <f t="shared" si="63"/>
        <v>1</v>
      </c>
    </row>
    <row r="4094" spans="1:2">
      <c r="A4094" s="112">
        <v>41731</v>
      </c>
      <c r="B4094" s="1">
        <f t="shared" si="63"/>
        <v>2</v>
      </c>
    </row>
    <row r="4095" spans="1:2">
      <c r="A4095" s="112">
        <v>41732</v>
      </c>
      <c r="B4095" s="1">
        <f t="shared" si="63"/>
        <v>3</v>
      </c>
    </row>
    <row r="4096" spans="1:2">
      <c r="A4096" s="112">
        <v>41733</v>
      </c>
      <c r="B4096" s="1">
        <f t="shared" si="63"/>
        <v>4</v>
      </c>
    </row>
    <row r="4097" spans="1:2">
      <c r="A4097" s="112">
        <v>41734</v>
      </c>
      <c r="B4097" s="1">
        <f t="shared" si="63"/>
        <v>5</v>
      </c>
    </row>
    <row r="4098" spans="1:2">
      <c r="A4098" s="112">
        <v>41735</v>
      </c>
      <c r="B4098" s="1">
        <f t="shared" si="63"/>
        <v>6</v>
      </c>
    </row>
    <row r="4099" spans="1:2">
      <c r="A4099" s="112">
        <v>41736</v>
      </c>
      <c r="B4099" s="1">
        <f t="shared" ref="B4099:B4162" si="64">INT(MOD($G$2+A4099-$F$2,29.53))</f>
        <v>7</v>
      </c>
    </row>
    <row r="4100" spans="1:2">
      <c r="A4100" s="112">
        <v>41737</v>
      </c>
      <c r="B4100" s="1">
        <f t="shared" si="64"/>
        <v>8</v>
      </c>
    </row>
    <row r="4101" spans="1:2">
      <c r="A4101" s="112">
        <v>41738</v>
      </c>
      <c r="B4101" s="1">
        <f t="shared" si="64"/>
        <v>9</v>
      </c>
    </row>
    <row r="4102" spans="1:2">
      <c r="A4102" s="112">
        <v>41739</v>
      </c>
      <c r="B4102" s="1">
        <f t="shared" si="64"/>
        <v>10</v>
      </c>
    </row>
    <row r="4103" spans="1:2">
      <c r="A4103" s="112">
        <v>41740</v>
      </c>
      <c r="B4103" s="1">
        <f t="shared" si="64"/>
        <v>11</v>
      </c>
    </row>
    <row r="4104" spans="1:2">
      <c r="A4104" s="112">
        <v>41741</v>
      </c>
      <c r="B4104" s="1">
        <f t="shared" si="64"/>
        <v>12</v>
      </c>
    </row>
    <row r="4105" spans="1:2">
      <c r="A4105" s="112">
        <v>41742</v>
      </c>
      <c r="B4105" s="1">
        <f t="shared" si="64"/>
        <v>13</v>
      </c>
    </row>
    <row r="4106" spans="1:2">
      <c r="A4106" s="112">
        <v>41743</v>
      </c>
      <c r="B4106" s="1">
        <f t="shared" si="64"/>
        <v>14</v>
      </c>
    </row>
    <row r="4107" spans="1:2">
      <c r="A4107" s="112">
        <v>41744</v>
      </c>
      <c r="B4107" s="1">
        <f t="shared" si="64"/>
        <v>15</v>
      </c>
    </row>
    <row r="4108" spans="1:2">
      <c r="A4108" s="112">
        <v>41745</v>
      </c>
      <c r="B4108" s="1">
        <f t="shared" si="64"/>
        <v>16</v>
      </c>
    </row>
    <row r="4109" spans="1:2">
      <c r="A4109" s="112">
        <v>41746</v>
      </c>
      <c r="B4109" s="1">
        <f t="shared" si="64"/>
        <v>17</v>
      </c>
    </row>
    <row r="4110" spans="1:2">
      <c r="A4110" s="112">
        <v>41747</v>
      </c>
      <c r="B4110" s="1">
        <f t="shared" si="64"/>
        <v>18</v>
      </c>
    </row>
    <row r="4111" spans="1:2">
      <c r="A4111" s="112">
        <v>41748</v>
      </c>
      <c r="B4111" s="1">
        <f t="shared" si="64"/>
        <v>19</v>
      </c>
    </row>
    <row r="4112" spans="1:2">
      <c r="A4112" s="112">
        <v>41749</v>
      </c>
      <c r="B4112" s="1">
        <f t="shared" si="64"/>
        <v>20</v>
      </c>
    </row>
    <row r="4113" spans="1:2">
      <c r="A4113" s="112">
        <v>41750</v>
      </c>
      <c r="B4113" s="1">
        <f t="shared" si="64"/>
        <v>21</v>
      </c>
    </row>
    <row r="4114" spans="1:2">
      <c r="A4114" s="112">
        <v>41751</v>
      </c>
      <c r="B4114" s="1">
        <f t="shared" si="64"/>
        <v>22</v>
      </c>
    </row>
    <row r="4115" spans="1:2">
      <c r="A4115" s="112">
        <v>41752</v>
      </c>
      <c r="B4115" s="1">
        <f t="shared" si="64"/>
        <v>23</v>
      </c>
    </row>
    <row r="4116" spans="1:2">
      <c r="A4116" s="112">
        <v>41753</v>
      </c>
      <c r="B4116" s="1">
        <f t="shared" si="64"/>
        <v>24</v>
      </c>
    </row>
    <row r="4117" spans="1:2">
      <c r="A4117" s="112">
        <v>41754</v>
      </c>
      <c r="B4117" s="1">
        <f t="shared" si="64"/>
        <v>25</v>
      </c>
    </row>
    <row r="4118" spans="1:2">
      <c r="A4118" s="112">
        <v>41755</v>
      </c>
      <c r="B4118" s="1">
        <f t="shared" si="64"/>
        <v>26</v>
      </c>
    </row>
    <row r="4119" spans="1:2">
      <c r="A4119" s="112">
        <v>41756</v>
      </c>
      <c r="B4119" s="1">
        <f t="shared" si="64"/>
        <v>27</v>
      </c>
    </row>
    <row r="4120" spans="1:2">
      <c r="A4120" s="112">
        <v>41757</v>
      </c>
      <c r="B4120" s="1">
        <f t="shared" si="64"/>
        <v>28</v>
      </c>
    </row>
    <row r="4121" spans="1:2">
      <c r="A4121" s="112">
        <v>41758</v>
      </c>
      <c r="B4121" s="1">
        <f t="shared" si="64"/>
        <v>29</v>
      </c>
    </row>
    <row r="4122" spans="1:2">
      <c r="A4122" s="112">
        <v>41759</v>
      </c>
      <c r="B4122" s="1">
        <f t="shared" si="64"/>
        <v>0</v>
      </c>
    </row>
    <row r="4123" spans="1:2">
      <c r="A4123" s="112">
        <v>41760</v>
      </c>
      <c r="B4123" s="1">
        <f t="shared" si="64"/>
        <v>1</v>
      </c>
    </row>
    <row r="4124" spans="1:2">
      <c r="A4124" s="112">
        <v>41761</v>
      </c>
      <c r="B4124" s="1">
        <f t="shared" si="64"/>
        <v>2</v>
      </c>
    </row>
    <row r="4125" spans="1:2">
      <c r="A4125" s="112">
        <v>41762</v>
      </c>
      <c r="B4125" s="1">
        <f t="shared" si="64"/>
        <v>3</v>
      </c>
    </row>
    <row r="4126" spans="1:2">
      <c r="A4126" s="112">
        <v>41763</v>
      </c>
      <c r="B4126" s="1">
        <f t="shared" si="64"/>
        <v>4</v>
      </c>
    </row>
    <row r="4127" spans="1:2">
      <c r="A4127" s="112">
        <v>41764</v>
      </c>
      <c r="B4127" s="1">
        <f t="shared" si="64"/>
        <v>5</v>
      </c>
    </row>
    <row r="4128" spans="1:2">
      <c r="A4128" s="112">
        <v>41765</v>
      </c>
      <c r="B4128" s="1">
        <f t="shared" si="64"/>
        <v>6</v>
      </c>
    </row>
    <row r="4129" spans="1:2">
      <c r="A4129" s="112">
        <v>41766</v>
      </c>
      <c r="B4129" s="1">
        <f t="shared" si="64"/>
        <v>7</v>
      </c>
    </row>
    <row r="4130" spans="1:2">
      <c r="A4130" s="112">
        <v>41767</v>
      </c>
      <c r="B4130" s="1">
        <f t="shared" si="64"/>
        <v>8</v>
      </c>
    </row>
    <row r="4131" spans="1:2">
      <c r="A4131" s="112">
        <v>41768</v>
      </c>
      <c r="B4131" s="1">
        <f t="shared" si="64"/>
        <v>9</v>
      </c>
    </row>
    <row r="4132" spans="1:2">
      <c r="A4132" s="112">
        <v>41769</v>
      </c>
      <c r="B4132" s="1">
        <f t="shared" si="64"/>
        <v>10</v>
      </c>
    </row>
    <row r="4133" spans="1:2">
      <c r="A4133" s="112">
        <v>41770</v>
      </c>
      <c r="B4133" s="1">
        <f t="shared" si="64"/>
        <v>11</v>
      </c>
    </row>
    <row r="4134" spans="1:2">
      <c r="A4134" s="112">
        <v>41771</v>
      </c>
      <c r="B4134" s="1">
        <f t="shared" si="64"/>
        <v>12</v>
      </c>
    </row>
    <row r="4135" spans="1:2">
      <c r="A4135" s="112">
        <v>41772</v>
      </c>
      <c r="B4135" s="1">
        <f t="shared" si="64"/>
        <v>13</v>
      </c>
    </row>
    <row r="4136" spans="1:2">
      <c r="A4136" s="112">
        <v>41773</v>
      </c>
      <c r="B4136" s="1">
        <f t="shared" si="64"/>
        <v>14</v>
      </c>
    </row>
    <row r="4137" spans="1:2">
      <c r="A4137" s="112">
        <v>41774</v>
      </c>
      <c r="B4137" s="1">
        <f t="shared" si="64"/>
        <v>15</v>
      </c>
    </row>
    <row r="4138" spans="1:2">
      <c r="A4138" s="112">
        <v>41775</v>
      </c>
      <c r="B4138" s="1">
        <f t="shared" si="64"/>
        <v>16</v>
      </c>
    </row>
    <row r="4139" spans="1:2">
      <c r="A4139" s="112">
        <v>41776</v>
      </c>
      <c r="B4139" s="1">
        <f t="shared" si="64"/>
        <v>17</v>
      </c>
    </row>
    <row r="4140" spans="1:2">
      <c r="A4140" s="112">
        <v>41777</v>
      </c>
      <c r="B4140" s="1">
        <f t="shared" si="64"/>
        <v>18</v>
      </c>
    </row>
    <row r="4141" spans="1:2">
      <c r="A4141" s="112">
        <v>41778</v>
      </c>
      <c r="B4141" s="1">
        <f t="shared" si="64"/>
        <v>19</v>
      </c>
    </row>
    <row r="4142" spans="1:2">
      <c r="A4142" s="112">
        <v>41779</v>
      </c>
      <c r="B4142" s="1">
        <f t="shared" si="64"/>
        <v>20</v>
      </c>
    </row>
    <row r="4143" spans="1:2">
      <c r="A4143" s="112">
        <v>41780</v>
      </c>
      <c r="B4143" s="1">
        <f t="shared" si="64"/>
        <v>21</v>
      </c>
    </row>
    <row r="4144" spans="1:2">
      <c r="A4144" s="112">
        <v>41781</v>
      </c>
      <c r="B4144" s="1">
        <f t="shared" si="64"/>
        <v>22</v>
      </c>
    </row>
    <row r="4145" spans="1:2">
      <c r="A4145" s="112">
        <v>41782</v>
      </c>
      <c r="B4145" s="1">
        <f t="shared" si="64"/>
        <v>23</v>
      </c>
    </row>
    <row r="4146" spans="1:2">
      <c r="A4146" s="112">
        <v>41783</v>
      </c>
      <c r="B4146" s="1">
        <f t="shared" si="64"/>
        <v>24</v>
      </c>
    </row>
    <row r="4147" spans="1:2">
      <c r="A4147" s="112">
        <v>41784</v>
      </c>
      <c r="B4147" s="1">
        <f t="shared" si="64"/>
        <v>25</v>
      </c>
    </row>
    <row r="4148" spans="1:2">
      <c r="A4148" s="112">
        <v>41785</v>
      </c>
      <c r="B4148" s="1">
        <f t="shared" si="64"/>
        <v>26</v>
      </c>
    </row>
    <row r="4149" spans="1:2">
      <c r="A4149" s="112">
        <v>41786</v>
      </c>
      <c r="B4149" s="1">
        <f t="shared" si="64"/>
        <v>27</v>
      </c>
    </row>
    <row r="4150" spans="1:2">
      <c r="A4150" s="112">
        <v>41787</v>
      </c>
      <c r="B4150" s="1">
        <f t="shared" si="64"/>
        <v>28</v>
      </c>
    </row>
    <row r="4151" spans="1:2">
      <c r="A4151" s="112">
        <v>41788</v>
      </c>
      <c r="B4151" s="1">
        <f t="shared" si="64"/>
        <v>0</v>
      </c>
    </row>
    <row r="4152" spans="1:2">
      <c r="A4152" s="112">
        <v>41789</v>
      </c>
      <c r="B4152" s="1">
        <f t="shared" si="64"/>
        <v>1</v>
      </c>
    </row>
    <row r="4153" spans="1:2">
      <c r="A4153" s="112">
        <v>41790</v>
      </c>
      <c r="B4153" s="1">
        <f t="shared" si="64"/>
        <v>2</v>
      </c>
    </row>
    <row r="4154" spans="1:2">
      <c r="A4154" s="112">
        <v>41791</v>
      </c>
      <c r="B4154" s="1">
        <f t="shared" si="64"/>
        <v>3</v>
      </c>
    </row>
    <row r="4155" spans="1:2">
      <c r="A4155" s="112">
        <v>41792</v>
      </c>
      <c r="B4155" s="1">
        <f t="shared" si="64"/>
        <v>4</v>
      </c>
    </row>
    <row r="4156" spans="1:2">
      <c r="A4156" s="112">
        <v>41793</v>
      </c>
      <c r="B4156" s="1">
        <f t="shared" si="64"/>
        <v>5</v>
      </c>
    </row>
    <row r="4157" spans="1:2">
      <c r="A4157" s="112">
        <v>41794</v>
      </c>
      <c r="B4157" s="1">
        <f t="shared" si="64"/>
        <v>6</v>
      </c>
    </row>
    <row r="4158" spans="1:2">
      <c r="A4158" s="112">
        <v>41795</v>
      </c>
      <c r="B4158" s="1">
        <f t="shared" si="64"/>
        <v>7</v>
      </c>
    </row>
    <row r="4159" spans="1:2">
      <c r="A4159" s="112">
        <v>41796</v>
      </c>
      <c r="B4159" s="1">
        <f t="shared" si="64"/>
        <v>8</v>
      </c>
    </row>
    <row r="4160" spans="1:2">
      <c r="A4160" s="112">
        <v>41797</v>
      </c>
      <c r="B4160" s="1">
        <f t="shared" si="64"/>
        <v>9</v>
      </c>
    </row>
    <row r="4161" spans="1:2">
      <c r="A4161" s="112">
        <v>41798</v>
      </c>
      <c r="B4161" s="1">
        <f t="shared" si="64"/>
        <v>10</v>
      </c>
    </row>
    <row r="4162" spans="1:2">
      <c r="A4162" s="112">
        <v>41799</v>
      </c>
      <c r="B4162" s="1">
        <f t="shared" si="64"/>
        <v>11</v>
      </c>
    </row>
    <row r="4163" spans="1:2">
      <c r="A4163" s="112">
        <v>41800</v>
      </c>
      <c r="B4163" s="1">
        <f t="shared" ref="B4163:B4226" si="65">INT(MOD($G$2+A4163-$F$2,29.53))</f>
        <v>12</v>
      </c>
    </row>
    <row r="4164" spans="1:2">
      <c r="A4164" s="112">
        <v>41801</v>
      </c>
      <c r="B4164" s="1">
        <f t="shared" si="65"/>
        <v>13</v>
      </c>
    </row>
    <row r="4165" spans="1:2">
      <c r="A4165" s="112">
        <v>41802</v>
      </c>
      <c r="B4165" s="1">
        <f t="shared" si="65"/>
        <v>14</v>
      </c>
    </row>
    <row r="4166" spans="1:2">
      <c r="A4166" s="112">
        <v>41803</v>
      </c>
      <c r="B4166" s="1">
        <f t="shared" si="65"/>
        <v>15</v>
      </c>
    </row>
    <row r="4167" spans="1:2">
      <c r="A4167" s="112">
        <v>41804</v>
      </c>
      <c r="B4167" s="1">
        <f t="shared" si="65"/>
        <v>16</v>
      </c>
    </row>
    <row r="4168" spans="1:2">
      <c r="A4168" s="112">
        <v>41805</v>
      </c>
      <c r="B4168" s="1">
        <f t="shared" si="65"/>
        <v>17</v>
      </c>
    </row>
    <row r="4169" spans="1:2">
      <c r="A4169" s="112">
        <v>41806</v>
      </c>
      <c r="B4169" s="1">
        <f t="shared" si="65"/>
        <v>18</v>
      </c>
    </row>
    <row r="4170" spans="1:2">
      <c r="A4170" s="112">
        <v>41807</v>
      </c>
      <c r="B4170" s="1">
        <f t="shared" si="65"/>
        <v>19</v>
      </c>
    </row>
    <row r="4171" spans="1:2">
      <c r="A4171" s="112">
        <v>41808</v>
      </c>
      <c r="B4171" s="1">
        <f t="shared" si="65"/>
        <v>20</v>
      </c>
    </row>
    <row r="4172" spans="1:2">
      <c r="A4172" s="112">
        <v>41809</v>
      </c>
      <c r="B4172" s="1">
        <f t="shared" si="65"/>
        <v>21</v>
      </c>
    </row>
    <row r="4173" spans="1:2">
      <c r="A4173" s="112">
        <v>41810</v>
      </c>
      <c r="B4173" s="1">
        <f t="shared" si="65"/>
        <v>22</v>
      </c>
    </row>
    <row r="4174" spans="1:2">
      <c r="A4174" s="112">
        <v>41811</v>
      </c>
      <c r="B4174" s="1">
        <f t="shared" si="65"/>
        <v>23</v>
      </c>
    </row>
    <row r="4175" spans="1:2">
      <c r="A4175" s="112">
        <v>41812</v>
      </c>
      <c r="B4175" s="1">
        <f t="shared" si="65"/>
        <v>24</v>
      </c>
    </row>
    <row r="4176" spans="1:2">
      <c r="A4176" s="112">
        <v>41813</v>
      </c>
      <c r="B4176" s="1">
        <f t="shared" si="65"/>
        <v>25</v>
      </c>
    </row>
    <row r="4177" spans="1:2">
      <c r="A4177" s="112">
        <v>41814</v>
      </c>
      <c r="B4177" s="1">
        <f t="shared" si="65"/>
        <v>26</v>
      </c>
    </row>
    <row r="4178" spans="1:2">
      <c r="A4178" s="112">
        <v>41815</v>
      </c>
      <c r="B4178" s="1">
        <f t="shared" si="65"/>
        <v>27</v>
      </c>
    </row>
    <row r="4179" spans="1:2">
      <c r="A4179" s="112">
        <v>41816</v>
      </c>
      <c r="B4179" s="1">
        <f t="shared" si="65"/>
        <v>28</v>
      </c>
    </row>
    <row r="4180" spans="1:2">
      <c r="A4180" s="112">
        <v>41817</v>
      </c>
      <c r="B4180" s="1">
        <f t="shared" si="65"/>
        <v>29</v>
      </c>
    </row>
    <row r="4181" spans="1:2">
      <c r="A4181" s="112">
        <v>41818</v>
      </c>
      <c r="B4181" s="1">
        <f t="shared" si="65"/>
        <v>0</v>
      </c>
    </row>
    <row r="4182" spans="1:2">
      <c r="A4182" s="112">
        <v>41819</v>
      </c>
      <c r="B4182" s="1">
        <f t="shared" si="65"/>
        <v>1</v>
      </c>
    </row>
    <row r="4183" spans="1:2">
      <c r="A4183" s="112">
        <v>41820</v>
      </c>
      <c r="B4183" s="1">
        <f t="shared" si="65"/>
        <v>2</v>
      </c>
    </row>
    <row r="4184" spans="1:2">
      <c r="A4184" s="112">
        <v>41821</v>
      </c>
      <c r="B4184" s="1">
        <f t="shared" si="65"/>
        <v>3</v>
      </c>
    </row>
    <row r="4185" spans="1:2">
      <c r="A4185" s="112">
        <v>41822</v>
      </c>
      <c r="B4185" s="1">
        <f t="shared" si="65"/>
        <v>4</v>
      </c>
    </row>
    <row r="4186" spans="1:2">
      <c r="A4186" s="112">
        <v>41823</v>
      </c>
      <c r="B4186" s="1">
        <f t="shared" si="65"/>
        <v>5</v>
      </c>
    </row>
    <row r="4187" spans="1:2">
      <c r="A4187" s="112">
        <v>41824</v>
      </c>
      <c r="B4187" s="1">
        <f t="shared" si="65"/>
        <v>6</v>
      </c>
    </row>
    <row r="4188" spans="1:2">
      <c r="A4188" s="112">
        <v>41825</v>
      </c>
      <c r="B4188" s="1">
        <f t="shared" si="65"/>
        <v>7</v>
      </c>
    </row>
    <row r="4189" spans="1:2">
      <c r="A4189" s="112">
        <v>41826</v>
      </c>
      <c r="B4189" s="1">
        <f t="shared" si="65"/>
        <v>8</v>
      </c>
    </row>
    <row r="4190" spans="1:2">
      <c r="A4190" s="112">
        <v>41827</v>
      </c>
      <c r="B4190" s="1">
        <f t="shared" si="65"/>
        <v>9</v>
      </c>
    </row>
    <row r="4191" spans="1:2">
      <c r="A4191" s="112">
        <v>41828</v>
      </c>
      <c r="B4191" s="1">
        <f t="shared" si="65"/>
        <v>10</v>
      </c>
    </row>
    <row r="4192" spans="1:2">
      <c r="A4192" s="112">
        <v>41829</v>
      </c>
      <c r="B4192" s="1">
        <f t="shared" si="65"/>
        <v>11</v>
      </c>
    </row>
    <row r="4193" spans="1:2">
      <c r="A4193" s="112">
        <v>41830</v>
      </c>
      <c r="B4193" s="1">
        <f t="shared" si="65"/>
        <v>12</v>
      </c>
    </row>
    <row r="4194" spans="1:2">
      <c r="A4194" s="112">
        <v>41831</v>
      </c>
      <c r="B4194" s="1">
        <f t="shared" si="65"/>
        <v>13</v>
      </c>
    </row>
    <row r="4195" spans="1:2">
      <c r="A4195" s="112">
        <v>41832</v>
      </c>
      <c r="B4195" s="1">
        <f t="shared" si="65"/>
        <v>14</v>
      </c>
    </row>
    <row r="4196" spans="1:2">
      <c r="A4196" s="112">
        <v>41833</v>
      </c>
      <c r="B4196" s="1">
        <f t="shared" si="65"/>
        <v>15</v>
      </c>
    </row>
    <row r="4197" spans="1:2">
      <c r="A4197" s="112">
        <v>41834</v>
      </c>
      <c r="B4197" s="1">
        <f t="shared" si="65"/>
        <v>16</v>
      </c>
    </row>
    <row r="4198" spans="1:2">
      <c r="A4198" s="112">
        <v>41835</v>
      </c>
      <c r="B4198" s="1">
        <f t="shared" si="65"/>
        <v>17</v>
      </c>
    </row>
    <row r="4199" spans="1:2">
      <c r="A4199" s="112">
        <v>41836</v>
      </c>
      <c r="B4199" s="1">
        <f t="shared" si="65"/>
        <v>18</v>
      </c>
    </row>
    <row r="4200" spans="1:2">
      <c r="A4200" s="112">
        <v>41837</v>
      </c>
      <c r="B4200" s="1">
        <f t="shared" si="65"/>
        <v>19</v>
      </c>
    </row>
    <row r="4201" spans="1:2">
      <c r="A4201" s="112">
        <v>41838</v>
      </c>
      <c r="B4201" s="1">
        <f t="shared" si="65"/>
        <v>20</v>
      </c>
    </row>
    <row r="4202" spans="1:2">
      <c r="A4202" s="112">
        <v>41839</v>
      </c>
      <c r="B4202" s="1">
        <f t="shared" si="65"/>
        <v>21</v>
      </c>
    </row>
    <row r="4203" spans="1:2">
      <c r="A4203" s="112">
        <v>41840</v>
      </c>
      <c r="B4203" s="1">
        <f t="shared" si="65"/>
        <v>22</v>
      </c>
    </row>
    <row r="4204" spans="1:2">
      <c r="A4204" s="112">
        <v>41841</v>
      </c>
      <c r="B4204" s="1">
        <f t="shared" si="65"/>
        <v>23</v>
      </c>
    </row>
    <row r="4205" spans="1:2">
      <c r="A4205" s="112">
        <v>41842</v>
      </c>
      <c r="B4205" s="1">
        <f t="shared" si="65"/>
        <v>24</v>
      </c>
    </row>
    <row r="4206" spans="1:2">
      <c r="A4206" s="112">
        <v>41843</v>
      </c>
      <c r="B4206" s="1">
        <f t="shared" si="65"/>
        <v>25</v>
      </c>
    </row>
    <row r="4207" spans="1:2">
      <c r="A4207" s="112">
        <v>41844</v>
      </c>
      <c r="B4207" s="1">
        <f t="shared" si="65"/>
        <v>26</v>
      </c>
    </row>
    <row r="4208" spans="1:2">
      <c r="A4208" s="112">
        <v>41845</v>
      </c>
      <c r="B4208" s="1">
        <f t="shared" si="65"/>
        <v>27</v>
      </c>
    </row>
    <row r="4209" spans="1:2">
      <c r="A4209" s="112">
        <v>41846</v>
      </c>
      <c r="B4209" s="1">
        <f t="shared" si="65"/>
        <v>28</v>
      </c>
    </row>
    <row r="4210" spans="1:2">
      <c r="A4210" s="112">
        <v>41847</v>
      </c>
      <c r="B4210" s="1">
        <f t="shared" si="65"/>
        <v>0</v>
      </c>
    </row>
    <row r="4211" spans="1:2">
      <c r="A4211" s="112">
        <v>41848</v>
      </c>
      <c r="B4211" s="1">
        <f t="shared" si="65"/>
        <v>1</v>
      </c>
    </row>
    <row r="4212" spans="1:2">
      <c r="A4212" s="112">
        <v>41849</v>
      </c>
      <c r="B4212" s="1">
        <f t="shared" si="65"/>
        <v>2</v>
      </c>
    </row>
    <row r="4213" spans="1:2">
      <c r="A4213" s="112">
        <v>41850</v>
      </c>
      <c r="B4213" s="1">
        <f t="shared" si="65"/>
        <v>3</v>
      </c>
    </row>
    <row r="4214" spans="1:2">
      <c r="A4214" s="112">
        <v>41851</v>
      </c>
      <c r="B4214" s="1">
        <f t="shared" si="65"/>
        <v>4</v>
      </c>
    </row>
    <row r="4215" spans="1:2">
      <c r="A4215" s="112">
        <v>41852</v>
      </c>
      <c r="B4215" s="1">
        <f t="shared" si="65"/>
        <v>5</v>
      </c>
    </row>
    <row r="4216" spans="1:2">
      <c r="A4216" s="112">
        <v>41853</v>
      </c>
      <c r="B4216" s="1">
        <f t="shared" si="65"/>
        <v>6</v>
      </c>
    </row>
    <row r="4217" spans="1:2">
      <c r="A4217" s="112">
        <v>41854</v>
      </c>
      <c r="B4217" s="1">
        <f t="shared" si="65"/>
        <v>7</v>
      </c>
    </row>
    <row r="4218" spans="1:2">
      <c r="A4218" s="112">
        <v>41855</v>
      </c>
      <c r="B4218" s="1">
        <f t="shared" si="65"/>
        <v>8</v>
      </c>
    </row>
    <row r="4219" spans="1:2">
      <c r="A4219" s="112">
        <v>41856</v>
      </c>
      <c r="B4219" s="1">
        <f t="shared" si="65"/>
        <v>9</v>
      </c>
    </row>
    <row r="4220" spans="1:2">
      <c r="A4220" s="112">
        <v>41857</v>
      </c>
      <c r="B4220" s="1">
        <f t="shared" si="65"/>
        <v>10</v>
      </c>
    </row>
    <row r="4221" spans="1:2">
      <c r="A4221" s="112">
        <v>41858</v>
      </c>
      <c r="B4221" s="1">
        <f t="shared" si="65"/>
        <v>11</v>
      </c>
    </row>
    <row r="4222" spans="1:2">
      <c r="A4222" s="112">
        <v>41859</v>
      </c>
      <c r="B4222" s="1">
        <f t="shared" si="65"/>
        <v>12</v>
      </c>
    </row>
    <row r="4223" spans="1:2">
      <c r="A4223" s="112">
        <v>41860</v>
      </c>
      <c r="B4223" s="1">
        <f t="shared" si="65"/>
        <v>13</v>
      </c>
    </row>
    <row r="4224" spans="1:2">
      <c r="A4224" s="112">
        <v>41861</v>
      </c>
      <c r="B4224" s="1">
        <f t="shared" si="65"/>
        <v>14</v>
      </c>
    </row>
    <row r="4225" spans="1:2">
      <c r="A4225" s="112">
        <v>41862</v>
      </c>
      <c r="B4225" s="1">
        <f t="shared" si="65"/>
        <v>15</v>
      </c>
    </row>
    <row r="4226" spans="1:2">
      <c r="A4226" s="112">
        <v>41863</v>
      </c>
      <c r="B4226" s="1">
        <f t="shared" si="65"/>
        <v>16</v>
      </c>
    </row>
    <row r="4227" spans="1:2">
      <c r="A4227" s="112">
        <v>41864</v>
      </c>
      <c r="B4227" s="1">
        <f t="shared" ref="B4227:B4290" si="66">INT(MOD($G$2+A4227-$F$2,29.53))</f>
        <v>17</v>
      </c>
    </row>
    <row r="4228" spans="1:2">
      <c r="A4228" s="112">
        <v>41865</v>
      </c>
      <c r="B4228" s="1">
        <f t="shared" si="66"/>
        <v>18</v>
      </c>
    </row>
    <row r="4229" spans="1:2">
      <c r="A4229" s="112">
        <v>41866</v>
      </c>
      <c r="B4229" s="1">
        <f t="shared" si="66"/>
        <v>19</v>
      </c>
    </row>
    <row r="4230" spans="1:2">
      <c r="A4230" s="112">
        <v>41867</v>
      </c>
      <c r="B4230" s="1">
        <f t="shared" si="66"/>
        <v>20</v>
      </c>
    </row>
    <row r="4231" spans="1:2">
      <c r="A4231" s="112">
        <v>41868</v>
      </c>
      <c r="B4231" s="1">
        <f t="shared" si="66"/>
        <v>21</v>
      </c>
    </row>
    <row r="4232" spans="1:2">
      <c r="A4232" s="112">
        <v>41869</v>
      </c>
      <c r="B4232" s="1">
        <f t="shared" si="66"/>
        <v>22</v>
      </c>
    </row>
    <row r="4233" spans="1:2">
      <c r="A4233" s="112">
        <v>41870</v>
      </c>
      <c r="B4233" s="1">
        <f t="shared" si="66"/>
        <v>23</v>
      </c>
    </row>
    <row r="4234" spans="1:2">
      <c r="A4234" s="112">
        <v>41871</v>
      </c>
      <c r="B4234" s="1">
        <f t="shared" si="66"/>
        <v>24</v>
      </c>
    </row>
    <row r="4235" spans="1:2">
      <c r="A4235" s="112">
        <v>41872</v>
      </c>
      <c r="B4235" s="1">
        <f t="shared" si="66"/>
        <v>25</v>
      </c>
    </row>
    <row r="4236" spans="1:2">
      <c r="A4236" s="112">
        <v>41873</v>
      </c>
      <c r="B4236" s="1">
        <f t="shared" si="66"/>
        <v>26</v>
      </c>
    </row>
    <row r="4237" spans="1:2">
      <c r="A4237" s="112">
        <v>41874</v>
      </c>
      <c r="B4237" s="1">
        <f t="shared" si="66"/>
        <v>27</v>
      </c>
    </row>
    <row r="4238" spans="1:2">
      <c r="A4238" s="112">
        <v>41875</v>
      </c>
      <c r="B4238" s="1">
        <f t="shared" si="66"/>
        <v>28</v>
      </c>
    </row>
    <row r="4239" spans="1:2">
      <c r="A4239" s="112">
        <v>41876</v>
      </c>
      <c r="B4239" s="1">
        <f t="shared" si="66"/>
        <v>29</v>
      </c>
    </row>
    <row r="4240" spans="1:2">
      <c r="A4240" s="112">
        <v>41877</v>
      </c>
      <c r="B4240" s="1">
        <f t="shared" si="66"/>
        <v>0</v>
      </c>
    </row>
    <row r="4241" spans="1:2">
      <c r="A4241" s="112">
        <v>41878</v>
      </c>
      <c r="B4241" s="1">
        <f t="shared" si="66"/>
        <v>1</v>
      </c>
    </row>
    <row r="4242" spans="1:2">
      <c r="A4242" s="112">
        <v>41879</v>
      </c>
      <c r="B4242" s="1">
        <f t="shared" si="66"/>
        <v>2</v>
      </c>
    </row>
    <row r="4243" spans="1:2">
      <c r="A4243" s="112">
        <v>41880</v>
      </c>
      <c r="B4243" s="1">
        <f t="shared" si="66"/>
        <v>3</v>
      </c>
    </row>
    <row r="4244" spans="1:2">
      <c r="A4244" s="112">
        <v>41881</v>
      </c>
      <c r="B4244" s="1">
        <f t="shared" si="66"/>
        <v>4</v>
      </c>
    </row>
    <row r="4245" spans="1:2">
      <c r="A4245" s="112">
        <v>41882</v>
      </c>
      <c r="B4245" s="1">
        <f t="shared" si="66"/>
        <v>5</v>
      </c>
    </row>
    <row r="4246" spans="1:2">
      <c r="A4246" s="112">
        <v>41883</v>
      </c>
      <c r="B4246" s="1">
        <f t="shared" si="66"/>
        <v>6</v>
      </c>
    </row>
    <row r="4247" spans="1:2">
      <c r="A4247" s="112">
        <v>41884</v>
      </c>
      <c r="B4247" s="1">
        <f t="shared" si="66"/>
        <v>7</v>
      </c>
    </row>
    <row r="4248" spans="1:2">
      <c r="A4248" s="112">
        <v>41885</v>
      </c>
      <c r="B4248" s="1">
        <f t="shared" si="66"/>
        <v>8</v>
      </c>
    </row>
    <row r="4249" spans="1:2">
      <c r="A4249" s="112">
        <v>41886</v>
      </c>
      <c r="B4249" s="1">
        <f t="shared" si="66"/>
        <v>9</v>
      </c>
    </row>
    <row r="4250" spans="1:2">
      <c r="A4250" s="112">
        <v>41887</v>
      </c>
      <c r="B4250" s="1">
        <f t="shared" si="66"/>
        <v>10</v>
      </c>
    </row>
    <row r="4251" spans="1:2">
      <c r="A4251" s="112">
        <v>41888</v>
      </c>
      <c r="B4251" s="1">
        <f t="shared" si="66"/>
        <v>11</v>
      </c>
    </row>
    <row r="4252" spans="1:2">
      <c r="A4252" s="112">
        <v>41889</v>
      </c>
      <c r="B4252" s="1">
        <f t="shared" si="66"/>
        <v>12</v>
      </c>
    </row>
    <row r="4253" spans="1:2">
      <c r="A4253" s="112">
        <v>41890</v>
      </c>
      <c r="B4253" s="1">
        <f t="shared" si="66"/>
        <v>13</v>
      </c>
    </row>
    <row r="4254" spans="1:2">
      <c r="A4254" s="112">
        <v>41891</v>
      </c>
      <c r="B4254" s="1">
        <f t="shared" si="66"/>
        <v>14</v>
      </c>
    </row>
    <row r="4255" spans="1:2">
      <c r="A4255" s="112">
        <v>41892</v>
      </c>
      <c r="B4255" s="1">
        <f t="shared" si="66"/>
        <v>15</v>
      </c>
    </row>
    <row r="4256" spans="1:2">
      <c r="A4256" s="112">
        <v>41893</v>
      </c>
      <c r="B4256" s="1">
        <f t="shared" si="66"/>
        <v>16</v>
      </c>
    </row>
    <row r="4257" spans="1:2">
      <c r="A4257" s="112">
        <v>41894</v>
      </c>
      <c r="B4257" s="1">
        <f t="shared" si="66"/>
        <v>17</v>
      </c>
    </row>
    <row r="4258" spans="1:2">
      <c r="A4258" s="112">
        <v>41895</v>
      </c>
      <c r="B4258" s="1">
        <f t="shared" si="66"/>
        <v>18</v>
      </c>
    </row>
    <row r="4259" spans="1:2">
      <c r="A4259" s="112">
        <v>41896</v>
      </c>
      <c r="B4259" s="1">
        <f t="shared" si="66"/>
        <v>19</v>
      </c>
    </row>
    <row r="4260" spans="1:2">
      <c r="A4260" s="112">
        <v>41897</v>
      </c>
      <c r="B4260" s="1">
        <f t="shared" si="66"/>
        <v>20</v>
      </c>
    </row>
    <row r="4261" spans="1:2">
      <c r="A4261" s="112">
        <v>41898</v>
      </c>
      <c r="B4261" s="1">
        <f t="shared" si="66"/>
        <v>21</v>
      </c>
    </row>
    <row r="4262" spans="1:2">
      <c r="A4262" s="112">
        <v>41899</v>
      </c>
      <c r="B4262" s="1">
        <f t="shared" si="66"/>
        <v>22</v>
      </c>
    </row>
    <row r="4263" spans="1:2">
      <c r="A4263" s="112">
        <v>41900</v>
      </c>
      <c r="B4263" s="1">
        <f t="shared" si="66"/>
        <v>23</v>
      </c>
    </row>
    <row r="4264" spans="1:2">
      <c r="A4264" s="112">
        <v>41901</v>
      </c>
      <c r="B4264" s="1">
        <f t="shared" si="66"/>
        <v>24</v>
      </c>
    </row>
    <row r="4265" spans="1:2">
      <c r="A4265" s="112">
        <v>41902</v>
      </c>
      <c r="B4265" s="1">
        <f t="shared" si="66"/>
        <v>25</v>
      </c>
    </row>
    <row r="4266" spans="1:2">
      <c r="A4266" s="112">
        <v>41903</v>
      </c>
      <c r="B4266" s="1">
        <f t="shared" si="66"/>
        <v>26</v>
      </c>
    </row>
    <row r="4267" spans="1:2">
      <c r="A4267" s="112">
        <v>41904</v>
      </c>
      <c r="B4267" s="1">
        <f t="shared" si="66"/>
        <v>27</v>
      </c>
    </row>
    <row r="4268" spans="1:2">
      <c r="A4268" s="112">
        <v>41905</v>
      </c>
      <c r="B4268" s="1">
        <f t="shared" si="66"/>
        <v>28</v>
      </c>
    </row>
    <row r="4269" spans="1:2">
      <c r="A4269" s="112">
        <v>41906</v>
      </c>
      <c r="B4269" s="1">
        <f t="shared" si="66"/>
        <v>0</v>
      </c>
    </row>
    <row r="4270" spans="1:2">
      <c r="A4270" s="112">
        <v>41907</v>
      </c>
      <c r="B4270" s="1">
        <f t="shared" si="66"/>
        <v>1</v>
      </c>
    </row>
    <row r="4271" spans="1:2">
      <c r="A4271" s="112">
        <v>41908</v>
      </c>
      <c r="B4271" s="1">
        <f t="shared" si="66"/>
        <v>2</v>
      </c>
    </row>
    <row r="4272" spans="1:2">
      <c r="A4272" s="112">
        <v>41909</v>
      </c>
      <c r="B4272" s="1">
        <f t="shared" si="66"/>
        <v>3</v>
      </c>
    </row>
    <row r="4273" spans="1:2">
      <c r="A4273" s="112">
        <v>41910</v>
      </c>
      <c r="B4273" s="1">
        <f t="shared" si="66"/>
        <v>4</v>
      </c>
    </row>
    <row r="4274" spans="1:2">
      <c r="A4274" s="112">
        <v>41911</v>
      </c>
      <c r="B4274" s="1">
        <f t="shared" si="66"/>
        <v>5</v>
      </c>
    </row>
    <row r="4275" spans="1:2">
      <c r="A4275" s="112">
        <v>41912</v>
      </c>
      <c r="B4275" s="1">
        <f t="shared" si="66"/>
        <v>6</v>
      </c>
    </row>
    <row r="4276" spans="1:2">
      <c r="A4276" s="112">
        <v>41913</v>
      </c>
      <c r="B4276" s="1">
        <f t="shared" si="66"/>
        <v>7</v>
      </c>
    </row>
    <row r="4277" spans="1:2">
      <c r="A4277" s="112">
        <v>41914</v>
      </c>
      <c r="B4277" s="1">
        <f t="shared" si="66"/>
        <v>8</v>
      </c>
    </row>
    <row r="4278" spans="1:2">
      <c r="A4278" s="112">
        <v>41915</v>
      </c>
      <c r="B4278" s="1">
        <f t="shared" si="66"/>
        <v>9</v>
      </c>
    </row>
    <row r="4279" spans="1:2">
      <c r="A4279" s="112">
        <v>41916</v>
      </c>
      <c r="B4279" s="1">
        <f t="shared" si="66"/>
        <v>10</v>
      </c>
    </row>
    <row r="4280" spans="1:2">
      <c r="A4280" s="112">
        <v>41917</v>
      </c>
      <c r="B4280" s="1">
        <f t="shared" si="66"/>
        <v>11</v>
      </c>
    </row>
    <row r="4281" spans="1:2">
      <c r="A4281" s="112">
        <v>41918</v>
      </c>
      <c r="B4281" s="1">
        <f t="shared" si="66"/>
        <v>12</v>
      </c>
    </row>
    <row r="4282" spans="1:2">
      <c r="A4282" s="112">
        <v>41919</v>
      </c>
      <c r="B4282" s="1">
        <f t="shared" si="66"/>
        <v>13</v>
      </c>
    </row>
    <row r="4283" spans="1:2">
      <c r="A4283" s="112">
        <v>41920</v>
      </c>
      <c r="B4283" s="1">
        <f t="shared" si="66"/>
        <v>14</v>
      </c>
    </row>
    <row r="4284" spans="1:2">
      <c r="A4284" s="112">
        <v>41921</v>
      </c>
      <c r="B4284" s="1">
        <f t="shared" si="66"/>
        <v>15</v>
      </c>
    </row>
    <row r="4285" spans="1:2">
      <c r="A4285" s="112">
        <v>41922</v>
      </c>
      <c r="B4285" s="1">
        <f t="shared" si="66"/>
        <v>16</v>
      </c>
    </row>
    <row r="4286" spans="1:2">
      <c r="A4286" s="112">
        <v>41923</v>
      </c>
      <c r="B4286" s="1">
        <f t="shared" si="66"/>
        <v>17</v>
      </c>
    </row>
    <row r="4287" spans="1:2">
      <c r="A4287" s="112">
        <v>41924</v>
      </c>
      <c r="B4287" s="1">
        <f t="shared" si="66"/>
        <v>18</v>
      </c>
    </row>
    <row r="4288" spans="1:2">
      <c r="A4288" s="112">
        <v>41925</v>
      </c>
      <c r="B4288" s="1">
        <f t="shared" si="66"/>
        <v>19</v>
      </c>
    </row>
    <row r="4289" spans="1:2">
      <c r="A4289" s="112">
        <v>41926</v>
      </c>
      <c r="B4289" s="1">
        <f t="shared" si="66"/>
        <v>20</v>
      </c>
    </row>
    <row r="4290" spans="1:2">
      <c r="A4290" s="112">
        <v>41927</v>
      </c>
      <c r="B4290" s="1">
        <f t="shared" si="66"/>
        <v>21</v>
      </c>
    </row>
    <row r="4291" spans="1:2">
      <c r="A4291" s="112">
        <v>41928</v>
      </c>
      <c r="B4291" s="1">
        <f t="shared" ref="B4291:B4354" si="67">INT(MOD($G$2+A4291-$F$2,29.53))</f>
        <v>22</v>
      </c>
    </row>
    <row r="4292" spans="1:2">
      <c r="A4292" s="112">
        <v>41929</v>
      </c>
      <c r="B4292" s="1">
        <f t="shared" si="67"/>
        <v>23</v>
      </c>
    </row>
    <row r="4293" spans="1:2">
      <c r="A4293" s="112">
        <v>41930</v>
      </c>
      <c r="B4293" s="1">
        <f t="shared" si="67"/>
        <v>24</v>
      </c>
    </row>
    <row r="4294" spans="1:2">
      <c r="A4294" s="112">
        <v>41931</v>
      </c>
      <c r="B4294" s="1">
        <f t="shared" si="67"/>
        <v>25</v>
      </c>
    </row>
    <row r="4295" spans="1:2">
      <c r="A4295" s="112">
        <v>41932</v>
      </c>
      <c r="B4295" s="1">
        <f t="shared" si="67"/>
        <v>26</v>
      </c>
    </row>
    <row r="4296" spans="1:2">
      <c r="A4296" s="112">
        <v>41933</v>
      </c>
      <c r="B4296" s="1">
        <f t="shared" si="67"/>
        <v>27</v>
      </c>
    </row>
    <row r="4297" spans="1:2">
      <c r="A4297" s="112">
        <v>41934</v>
      </c>
      <c r="B4297" s="1">
        <f t="shared" si="67"/>
        <v>28</v>
      </c>
    </row>
    <row r="4298" spans="1:2">
      <c r="A4298" s="112">
        <v>41935</v>
      </c>
      <c r="B4298" s="1">
        <f t="shared" si="67"/>
        <v>29</v>
      </c>
    </row>
    <row r="4299" spans="1:2">
      <c r="A4299" s="112">
        <v>41936</v>
      </c>
      <c r="B4299" s="1">
        <f t="shared" si="67"/>
        <v>0</v>
      </c>
    </row>
    <row r="4300" spans="1:2">
      <c r="A4300" s="112">
        <v>41937</v>
      </c>
      <c r="B4300" s="1">
        <f t="shared" si="67"/>
        <v>1</v>
      </c>
    </row>
    <row r="4301" spans="1:2">
      <c r="A4301" s="112">
        <v>41938</v>
      </c>
      <c r="B4301" s="1">
        <f t="shared" si="67"/>
        <v>2</v>
      </c>
    </row>
    <row r="4302" spans="1:2">
      <c r="A4302" s="112">
        <v>41939</v>
      </c>
      <c r="B4302" s="1">
        <f t="shared" si="67"/>
        <v>3</v>
      </c>
    </row>
    <row r="4303" spans="1:2">
      <c r="A4303" s="112">
        <v>41940</v>
      </c>
      <c r="B4303" s="1">
        <f t="shared" si="67"/>
        <v>4</v>
      </c>
    </row>
    <row r="4304" spans="1:2">
      <c r="A4304" s="112">
        <v>41941</v>
      </c>
      <c r="B4304" s="1">
        <f t="shared" si="67"/>
        <v>5</v>
      </c>
    </row>
    <row r="4305" spans="1:2">
      <c r="A4305" s="112">
        <v>41942</v>
      </c>
      <c r="B4305" s="1">
        <f t="shared" si="67"/>
        <v>6</v>
      </c>
    </row>
    <row r="4306" spans="1:2">
      <c r="A4306" s="112">
        <v>41943</v>
      </c>
      <c r="B4306" s="1">
        <f t="shared" si="67"/>
        <v>7</v>
      </c>
    </row>
    <row r="4307" spans="1:2">
      <c r="A4307" s="112">
        <v>41944</v>
      </c>
      <c r="B4307" s="1">
        <f t="shared" si="67"/>
        <v>8</v>
      </c>
    </row>
    <row r="4308" spans="1:2">
      <c r="A4308" s="112">
        <v>41945</v>
      </c>
      <c r="B4308" s="1">
        <f t="shared" si="67"/>
        <v>9</v>
      </c>
    </row>
    <row r="4309" spans="1:2">
      <c r="A4309" s="112">
        <v>41946</v>
      </c>
      <c r="B4309" s="1">
        <f t="shared" si="67"/>
        <v>10</v>
      </c>
    </row>
    <row r="4310" spans="1:2">
      <c r="A4310" s="112">
        <v>41947</v>
      </c>
      <c r="B4310" s="1">
        <f t="shared" si="67"/>
        <v>11</v>
      </c>
    </row>
    <row r="4311" spans="1:2">
      <c r="A4311" s="112">
        <v>41948</v>
      </c>
      <c r="B4311" s="1">
        <f t="shared" si="67"/>
        <v>12</v>
      </c>
    </row>
    <row r="4312" spans="1:2">
      <c r="A4312" s="112">
        <v>41949</v>
      </c>
      <c r="B4312" s="1">
        <f t="shared" si="67"/>
        <v>13</v>
      </c>
    </row>
    <row r="4313" spans="1:2">
      <c r="A4313" s="112">
        <v>41950</v>
      </c>
      <c r="B4313" s="1">
        <f t="shared" si="67"/>
        <v>14</v>
      </c>
    </row>
    <row r="4314" spans="1:2">
      <c r="A4314" s="112">
        <v>41951</v>
      </c>
      <c r="B4314" s="1">
        <f t="shared" si="67"/>
        <v>15</v>
      </c>
    </row>
    <row r="4315" spans="1:2">
      <c r="A4315" s="112">
        <v>41952</v>
      </c>
      <c r="B4315" s="1">
        <f t="shared" si="67"/>
        <v>16</v>
      </c>
    </row>
    <row r="4316" spans="1:2">
      <c r="A4316" s="112">
        <v>41953</v>
      </c>
      <c r="B4316" s="1">
        <f t="shared" si="67"/>
        <v>17</v>
      </c>
    </row>
    <row r="4317" spans="1:2">
      <c r="A4317" s="112">
        <v>41954</v>
      </c>
      <c r="B4317" s="1">
        <f t="shared" si="67"/>
        <v>18</v>
      </c>
    </row>
    <row r="4318" spans="1:2">
      <c r="A4318" s="112">
        <v>41955</v>
      </c>
      <c r="B4318" s="1">
        <f t="shared" si="67"/>
        <v>19</v>
      </c>
    </row>
    <row r="4319" spans="1:2">
      <c r="A4319" s="112">
        <v>41956</v>
      </c>
      <c r="B4319" s="1">
        <f t="shared" si="67"/>
        <v>20</v>
      </c>
    </row>
    <row r="4320" spans="1:2">
      <c r="A4320" s="112">
        <v>41957</v>
      </c>
      <c r="B4320" s="1">
        <f t="shared" si="67"/>
        <v>21</v>
      </c>
    </row>
    <row r="4321" spans="1:2">
      <c r="A4321" s="112">
        <v>41958</v>
      </c>
      <c r="B4321" s="1">
        <f t="shared" si="67"/>
        <v>22</v>
      </c>
    </row>
    <row r="4322" spans="1:2">
      <c r="A4322" s="112">
        <v>41959</v>
      </c>
      <c r="B4322" s="1">
        <f t="shared" si="67"/>
        <v>23</v>
      </c>
    </row>
    <row r="4323" spans="1:2">
      <c r="A4323" s="112">
        <v>41960</v>
      </c>
      <c r="B4323" s="1">
        <f t="shared" si="67"/>
        <v>24</v>
      </c>
    </row>
    <row r="4324" spans="1:2">
      <c r="A4324" s="112">
        <v>41961</v>
      </c>
      <c r="B4324" s="1">
        <f t="shared" si="67"/>
        <v>25</v>
      </c>
    </row>
    <row r="4325" spans="1:2">
      <c r="A4325" s="112">
        <v>41962</v>
      </c>
      <c r="B4325" s="1">
        <f t="shared" si="67"/>
        <v>26</v>
      </c>
    </row>
    <row r="4326" spans="1:2">
      <c r="A4326" s="112">
        <v>41963</v>
      </c>
      <c r="B4326" s="1">
        <f t="shared" si="67"/>
        <v>27</v>
      </c>
    </row>
    <row r="4327" spans="1:2">
      <c r="A4327" s="112">
        <v>41964</v>
      </c>
      <c r="B4327" s="1">
        <f t="shared" si="67"/>
        <v>28</v>
      </c>
    </row>
    <row r="4328" spans="1:2">
      <c r="A4328" s="112">
        <v>41965</v>
      </c>
      <c r="B4328" s="1">
        <f t="shared" si="67"/>
        <v>0</v>
      </c>
    </row>
    <row r="4329" spans="1:2">
      <c r="A4329" s="112">
        <v>41966</v>
      </c>
      <c r="B4329" s="1">
        <f t="shared" si="67"/>
        <v>1</v>
      </c>
    </row>
    <row r="4330" spans="1:2">
      <c r="A4330" s="112">
        <v>41967</v>
      </c>
      <c r="B4330" s="1">
        <f t="shared" si="67"/>
        <v>2</v>
      </c>
    </row>
    <row r="4331" spans="1:2">
      <c r="A4331" s="112">
        <v>41968</v>
      </c>
      <c r="B4331" s="1">
        <f t="shared" si="67"/>
        <v>3</v>
      </c>
    </row>
    <row r="4332" spans="1:2">
      <c r="A4332" s="112">
        <v>41969</v>
      </c>
      <c r="B4332" s="1">
        <f t="shared" si="67"/>
        <v>4</v>
      </c>
    </row>
    <row r="4333" spans="1:2">
      <c r="A4333" s="112">
        <v>41970</v>
      </c>
      <c r="B4333" s="1">
        <f t="shared" si="67"/>
        <v>5</v>
      </c>
    </row>
    <row r="4334" spans="1:2">
      <c r="A4334" s="112">
        <v>41971</v>
      </c>
      <c r="B4334" s="1">
        <f t="shared" si="67"/>
        <v>6</v>
      </c>
    </row>
    <row r="4335" spans="1:2">
      <c r="A4335" s="112">
        <v>41972</v>
      </c>
      <c r="B4335" s="1">
        <f t="shared" si="67"/>
        <v>7</v>
      </c>
    </row>
    <row r="4336" spans="1:2">
      <c r="A4336" s="112">
        <v>41973</v>
      </c>
      <c r="B4336" s="1">
        <f t="shared" si="67"/>
        <v>8</v>
      </c>
    </row>
    <row r="4337" spans="1:2">
      <c r="A4337" s="112">
        <v>41974</v>
      </c>
      <c r="B4337" s="1">
        <f t="shared" si="67"/>
        <v>9</v>
      </c>
    </row>
    <row r="4338" spans="1:2">
      <c r="A4338" s="112">
        <v>41975</v>
      </c>
      <c r="B4338" s="1">
        <f t="shared" si="67"/>
        <v>10</v>
      </c>
    </row>
    <row r="4339" spans="1:2">
      <c r="A4339" s="112">
        <v>41976</v>
      </c>
      <c r="B4339" s="1">
        <f t="shared" si="67"/>
        <v>11</v>
      </c>
    </row>
    <row r="4340" spans="1:2">
      <c r="A4340" s="112">
        <v>41977</v>
      </c>
      <c r="B4340" s="1">
        <f t="shared" si="67"/>
        <v>12</v>
      </c>
    </row>
    <row r="4341" spans="1:2">
      <c r="A4341" s="112">
        <v>41978</v>
      </c>
      <c r="B4341" s="1">
        <f t="shared" si="67"/>
        <v>13</v>
      </c>
    </row>
    <row r="4342" spans="1:2">
      <c r="A4342" s="112">
        <v>41979</v>
      </c>
      <c r="B4342" s="1">
        <f t="shared" si="67"/>
        <v>14</v>
      </c>
    </row>
    <row r="4343" spans="1:2">
      <c r="A4343" s="112">
        <v>41980</v>
      </c>
      <c r="B4343" s="1">
        <f t="shared" si="67"/>
        <v>15</v>
      </c>
    </row>
    <row r="4344" spans="1:2">
      <c r="A4344" s="112">
        <v>41981</v>
      </c>
      <c r="B4344" s="1">
        <f t="shared" si="67"/>
        <v>16</v>
      </c>
    </row>
    <row r="4345" spans="1:2">
      <c r="A4345" s="112">
        <v>41982</v>
      </c>
      <c r="B4345" s="1">
        <f t="shared" si="67"/>
        <v>17</v>
      </c>
    </row>
    <row r="4346" spans="1:2">
      <c r="A4346" s="112">
        <v>41983</v>
      </c>
      <c r="B4346" s="1">
        <f t="shared" si="67"/>
        <v>18</v>
      </c>
    </row>
    <row r="4347" spans="1:2">
      <c r="A4347" s="112">
        <v>41984</v>
      </c>
      <c r="B4347" s="1">
        <f t="shared" si="67"/>
        <v>19</v>
      </c>
    </row>
    <row r="4348" spans="1:2">
      <c r="A4348" s="112">
        <v>41985</v>
      </c>
      <c r="B4348" s="1">
        <f t="shared" si="67"/>
        <v>20</v>
      </c>
    </row>
    <row r="4349" spans="1:2">
      <c r="A4349" s="112">
        <v>41986</v>
      </c>
      <c r="B4349" s="1">
        <f t="shared" si="67"/>
        <v>21</v>
      </c>
    </row>
    <row r="4350" spans="1:2">
      <c r="A4350" s="112">
        <v>41987</v>
      </c>
      <c r="B4350" s="1">
        <f t="shared" si="67"/>
        <v>22</v>
      </c>
    </row>
    <row r="4351" spans="1:2">
      <c r="A4351" s="112">
        <v>41988</v>
      </c>
      <c r="B4351" s="1">
        <f t="shared" si="67"/>
        <v>23</v>
      </c>
    </row>
    <row r="4352" spans="1:2">
      <c r="A4352" s="112">
        <v>41989</v>
      </c>
      <c r="B4352" s="1">
        <f t="shared" si="67"/>
        <v>24</v>
      </c>
    </row>
    <row r="4353" spans="1:2">
      <c r="A4353" s="112">
        <v>41990</v>
      </c>
      <c r="B4353" s="1">
        <f t="shared" si="67"/>
        <v>25</v>
      </c>
    </row>
    <row r="4354" spans="1:2">
      <c r="A4354" s="112">
        <v>41991</v>
      </c>
      <c r="B4354" s="1">
        <f t="shared" si="67"/>
        <v>26</v>
      </c>
    </row>
    <row r="4355" spans="1:2">
      <c r="A4355" s="112">
        <v>41992</v>
      </c>
      <c r="B4355" s="1">
        <f t="shared" ref="B4355:B4418" si="68">INT(MOD($G$2+A4355-$F$2,29.53))</f>
        <v>27</v>
      </c>
    </row>
    <row r="4356" spans="1:2">
      <c r="A4356" s="112">
        <v>41993</v>
      </c>
      <c r="B4356" s="1">
        <f t="shared" si="68"/>
        <v>28</v>
      </c>
    </row>
    <row r="4357" spans="1:2">
      <c r="A4357" s="112">
        <v>41994</v>
      </c>
      <c r="B4357" s="1">
        <f t="shared" si="68"/>
        <v>29</v>
      </c>
    </row>
    <row r="4358" spans="1:2">
      <c r="A4358" s="112">
        <v>41995</v>
      </c>
      <c r="B4358" s="1">
        <f t="shared" si="68"/>
        <v>0</v>
      </c>
    </row>
    <row r="4359" spans="1:2">
      <c r="A4359" s="112">
        <v>41996</v>
      </c>
      <c r="B4359" s="1">
        <f t="shared" si="68"/>
        <v>1</v>
      </c>
    </row>
    <row r="4360" spans="1:2">
      <c r="A4360" s="112">
        <v>41997</v>
      </c>
      <c r="B4360" s="1">
        <f t="shared" si="68"/>
        <v>2</v>
      </c>
    </row>
    <row r="4361" spans="1:2">
      <c r="A4361" s="112">
        <v>41998</v>
      </c>
      <c r="B4361" s="1">
        <f t="shared" si="68"/>
        <v>3</v>
      </c>
    </row>
    <row r="4362" spans="1:2">
      <c r="A4362" s="112">
        <v>41999</v>
      </c>
      <c r="B4362" s="1">
        <f t="shared" si="68"/>
        <v>4</v>
      </c>
    </row>
    <row r="4363" spans="1:2">
      <c r="A4363" s="112">
        <v>42000</v>
      </c>
      <c r="B4363" s="1">
        <f t="shared" si="68"/>
        <v>5</v>
      </c>
    </row>
    <row r="4364" spans="1:2">
      <c r="A4364" s="112">
        <v>42001</v>
      </c>
      <c r="B4364" s="1">
        <f t="shared" si="68"/>
        <v>6</v>
      </c>
    </row>
    <row r="4365" spans="1:2">
      <c r="A4365" s="112">
        <v>42002</v>
      </c>
      <c r="B4365" s="1">
        <f t="shared" si="68"/>
        <v>7</v>
      </c>
    </row>
    <row r="4366" spans="1:2">
      <c r="A4366" s="112">
        <v>42003</v>
      </c>
      <c r="B4366" s="1">
        <f t="shared" si="68"/>
        <v>8</v>
      </c>
    </row>
    <row r="4367" spans="1:2">
      <c r="A4367" s="112">
        <v>42004</v>
      </c>
      <c r="B4367" s="1">
        <f t="shared" si="68"/>
        <v>9</v>
      </c>
    </row>
    <row r="4368" spans="1:2">
      <c r="A4368" s="112">
        <v>42005</v>
      </c>
      <c r="B4368" s="1">
        <f t="shared" si="68"/>
        <v>10</v>
      </c>
    </row>
    <row r="4369" spans="1:2">
      <c r="A4369" s="112">
        <v>42006</v>
      </c>
      <c r="B4369" s="1">
        <f t="shared" si="68"/>
        <v>11</v>
      </c>
    </row>
    <row r="4370" spans="1:2">
      <c r="A4370" s="112">
        <v>42007</v>
      </c>
      <c r="B4370" s="1">
        <f t="shared" si="68"/>
        <v>12</v>
      </c>
    </row>
    <row r="4371" spans="1:2">
      <c r="A4371" s="112">
        <v>42008</v>
      </c>
      <c r="B4371" s="1">
        <f t="shared" si="68"/>
        <v>13</v>
      </c>
    </row>
    <row r="4372" spans="1:2">
      <c r="A4372" s="112">
        <v>42009</v>
      </c>
      <c r="B4372" s="1">
        <f t="shared" si="68"/>
        <v>14</v>
      </c>
    </row>
    <row r="4373" spans="1:2">
      <c r="A4373" s="112">
        <v>42010</v>
      </c>
      <c r="B4373" s="1">
        <f t="shared" si="68"/>
        <v>15</v>
      </c>
    </row>
    <row r="4374" spans="1:2">
      <c r="A4374" s="112">
        <v>42011</v>
      </c>
      <c r="B4374" s="1">
        <f t="shared" si="68"/>
        <v>16</v>
      </c>
    </row>
    <row r="4375" spans="1:2">
      <c r="A4375" s="112">
        <v>42012</v>
      </c>
      <c r="B4375" s="1">
        <f t="shared" si="68"/>
        <v>17</v>
      </c>
    </row>
    <row r="4376" spans="1:2">
      <c r="A4376" s="112">
        <v>42013</v>
      </c>
      <c r="B4376" s="1">
        <f t="shared" si="68"/>
        <v>18</v>
      </c>
    </row>
    <row r="4377" spans="1:2">
      <c r="A4377" s="112">
        <v>42014</v>
      </c>
      <c r="B4377" s="1">
        <f t="shared" si="68"/>
        <v>19</v>
      </c>
    </row>
    <row r="4378" spans="1:2">
      <c r="A4378" s="112">
        <v>42015</v>
      </c>
      <c r="B4378" s="1">
        <f t="shared" si="68"/>
        <v>20</v>
      </c>
    </row>
    <row r="4379" spans="1:2">
      <c r="A4379" s="112">
        <v>42016</v>
      </c>
      <c r="B4379" s="1">
        <f t="shared" si="68"/>
        <v>21</v>
      </c>
    </row>
    <row r="4380" spans="1:2">
      <c r="A4380" s="112">
        <v>42017</v>
      </c>
      <c r="B4380" s="1">
        <f t="shared" si="68"/>
        <v>22</v>
      </c>
    </row>
    <row r="4381" spans="1:2">
      <c r="A4381" s="112">
        <v>42018</v>
      </c>
      <c r="B4381" s="1">
        <f t="shared" si="68"/>
        <v>23</v>
      </c>
    </row>
    <row r="4382" spans="1:2">
      <c r="A4382" s="112">
        <v>42019</v>
      </c>
      <c r="B4382" s="1">
        <f t="shared" si="68"/>
        <v>24</v>
      </c>
    </row>
    <row r="4383" spans="1:2">
      <c r="A4383" s="112">
        <v>42020</v>
      </c>
      <c r="B4383" s="1">
        <f t="shared" si="68"/>
        <v>25</v>
      </c>
    </row>
    <row r="4384" spans="1:2">
      <c r="A4384" s="112">
        <v>42021</v>
      </c>
      <c r="B4384" s="1">
        <f t="shared" si="68"/>
        <v>26</v>
      </c>
    </row>
    <row r="4385" spans="1:2">
      <c r="A4385" s="112">
        <v>42022</v>
      </c>
      <c r="B4385" s="1">
        <f t="shared" si="68"/>
        <v>27</v>
      </c>
    </row>
    <row r="4386" spans="1:2">
      <c r="A4386" s="112">
        <v>42023</v>
      </c>
      <c r="B4386" s="1">
        <f t="shared" si="68"/>
        <v>28</v>
      </c>
    </row>
    <row r="4387" spans="1:2">
      <c r="A4387" s="112">
        <v>42024</v>
      </c>
      <c r="B4387" s="1">
        <f t="shared" si="68"/>
        <v>0</v>
      </c>
    </row>
    <row r="4388" spans="1:2">
      <c r="A4388" s="112">
        <v>42025</v>
      </c>
      <c r="B4388" s="1">
        <f t="shared" si="68"/>
        <v>1</v>
      </c>
    </row>
    <row r="4389" spans="1:2">
      <c r="A4389" s="112">
        <v>42026</v>
      </c>
      <c r="B4389" s="1">
        <f t="shared" si="68"/>
        <v>2</v>
      </c>
    </row>
    <row r="4390" spans="1:2">
      <c r="A4390" s="112">
        <v>42027</v>
      </c>
      <c r="B4390" s="1">
        <f t="shared" si="68"/>
        <v>3</v>
      </c>
    </row>
    <row r="4391" spans="1:2">
      <c r="A4391" s="112">
        <v>42028</v>
      </c>
      <c r="B4391" s="1">
        <f t="shared" si="68"/>
        <v>4</v>
      </c>
    </row>
    <row r="4392" spans="1:2">
      <c r="A4392" s="112">
        <v>42029</v>
      </c>
      <c r="B4392" s="1">
        <f t="shared" si="68"/>
        <v>5</v>
      </c>
    </row>
    <row r="4393" spans="1:2">
      <c r="A4393" s="112">
        <v>42030</v>
      </c>
      <c r="B4393" s="1">
        <f t="shared" si="68"/>
        <v>6</v>
      </c>
    </row>
    <row r="4394" spans="1:2">
      <c r="A4394" s="112">
        <v>42031</v>
      </c>
      <c r="B4394" s="1">
        <f t="shared" si="68"/>
        <v>7</v>
      </c>
    </row>
    <row r="4395" spans="1:2">
      <c r="A4395" s="112">
        <v>42032</v>
      </c>
      <c r="B4395" s="1">
        <f t="shared" si="68"/>
        <v>8</v>
      </c>
    </row>
    <row r="4396" spans="1:2">
      <c r="A4396" s="112">
        <v>42033</v>
      </c>
      <c r="B4396" s="1">
        <f t="shared" si="68"/>
        <v>9</v>
      </c>
    </row>
    <row r="4397" spans="1:2">
      <c r="A4397" s="112">
        <v>42034</v>
      </c>
      <c r="B4397" s="1">
        <f t="shared" si="68"/>
        <v>10</v>
      </c>
    </row>
    <row r="4398" spans="1:2">
      <c r="A4398" s="112">
        <v>42035</v>
      </c>
      <c r="B4398" s="1">
        <f t="shared" si="68"/>
        <v>11</v>
      </c>
    </row>
    <row r="4399" spans="1:2">
      <c r="A4399" s="112">
        <v>42036</v>
      </c>
      <c r="B4399" s="1">
        <f t="shared" si="68"/>
        <v>12</v>
      </c>
    </row>
    <row r="4400" spans="1:2">
      <c r="A4400" s="112">
        <v>42037</v>
      </c>
      <c r="B4400" s="1">
        <f t="shared" si="68"/>
        <v>13</v>
      </c>
    </row>
    <row r="4401" spans="1:2">
      <c r="A4401" s="112">
        <v>42038</v>
      </c>
      <c r="B4401" s="1">
        <f t="shared" si="68"/>
        <v>14</v>
      </c>
    </row>
    <row r="4402" spans="1:2">
      <c r="A4402" s="112">
        <v>42039</v>
      </c>
      <c r="B4402" s="1">
        <f t="shared" si="68"/>
        <v>15</v>
      </c>
    </row>
    <row r="4403" spans="1:2">
      <c r="A4403" s="112">
        <v>42040</v>
      </c>
      <c r="B4403" s="1">
        <f t="shared" si="68"/>
        <v>16</v>
      </c>
    </row>
    <row r="4404" spans="1:2">
      <c r="A4404" s="112">
        <v>42041</v>
      </c>
      <c r="B4404" s="1">
        <f t="shared" si="68"/>
        <v>17</v>
      </c>
    </row>
    <row r="4405" spans="1:2">
      <c r="A4405" s="112">
        <v>42042</v>
      </c>
      <c r="B4405" s="1">
        <f t="shared" si="68"/>
        <v>18</v>
      </c>
    </row>
    <row r="4406" spans="1:2">
      <c r="A4406" s="112">
        <v>42043</v>
      </c>
      <c r="B4406" s="1">
        <f t="shared" si="68"/>
        <v>19</v>
      </c>
    </row>
    <row r="4407" spans="1:2">
      <c r="A4407" s="112">
        <v>42044</v>
      </c>
      <c r="B4407" s="1">
        <f t="shared" si="68"/>
        <v>20</v>
      </c>
    </row>
    <row r="4408" spans="1:2">
      <c r="A4408" s="112">
        <v>42045</v>
      </c>
      <c r="B4408" s="1">
        <f t="shared" si="68"/>
        <v>21</v>
      </c>
    </row>
    <row r="4409" spans="1:2">
      <c r="A4409" s="112">
        <v>42046</v>
      </c>
      <c r="B4409" s="1">
        <f t="shared" si="68"/>
        <v>22</v>
      </c>
    </row>
    <row r="4410" spans="1:2">
      <c r="A4410" s="112">
        <v>42047</v>
      </c>
      <c r="B4410" s="1">
        <f t="shared" si="68"/>
        <v>23</v>
      </c>
    </row>
    <row r="4411" spans="1:2">
      <c r="A4411" s="112">
        <v>42048</v>
      </c>
      <c r="B4411" s="1">
        <f t="shared" si="68"/>
        <v>24</v>
      </c>
    </row>
    <row r="4412" spans="1:2">
      <c r="A4412" s="112">
        <v>42049</v>
      </c>
      <c r="B4412" s="1">
        <f t="shared" si="68"/>
        <v>25</v>
      </c>
    </row>
    <row r="4413" spans="1:2">
      <c r="A4413" s="112">
        <v>42050</v>
      </c>
      <c r="B4413" s="1">
        <f t="shared" si="68"/>
        <v>26</v>
      </c>
    </row>
    <row r="4414" spans="1:2">
      <c r="A4414" s="112">
        <v>42051</v>
      </c>
      <c r="B4414" s="1">
        <f t="shared" si="68"/>
        <v>27</v>
      </c>
    </row>
    <row r="4415" spans="1:2">
      <c r="A4415" s="112">
        <v>42052</v>
      </c>
      <c r="B4415" s="1">
        <f t="shared" si="68"/>
        <v>28</v>
      </c>
    </row>
    <row r="4416" spans="1:2">
      <c r="A4416" s="112">
        <v>42053</v>
      </c>
      <c r="B4416" s="1">
        <f t="shared" si="68"/>
        <v>29</v>
      </c>
    </row>
    <row r="4417" spans="1:2">
      <c r="A4417" s="112">
        <v>42054</v>
      </c>
      <c r="B4417" s="1">
        <f t="shared" si="68"/>
        <v>0</v>
      </c>
    </row>
    <row r="4418" spans="1:2">
      <c r="A4418" s="112">
        <v>42055</v>
      </c>
      <c r="B4418" s="1">
        <f t="shared" si="68"/>
        <v>1</v>
      </c>
    </row>
    <row r="4419" spans="1:2">
      <c r="A4419" s="112">
        <v>42056</v>
      </c>
      <c r="B4419" s="1">
        <f t="shared" ref="B4419:B4482" si="69">INT(MOD($G$2+A4419-$F$2,29.53))</f>
        <v>2</v>
      </c>
    </row>
    <row r="4420" spans="1:2">
      <c r="A4420" s="112">
        <v>42057</v>
      </c>
      <c r="B4420" s="1">
        <f t="shared" si="69"/>
        <v>3</v>
      </c>
    </row>
    <row r="4421" spans="1:2">
      <c r="A4421" s="112">
        <v>42058</v>
      </c>
      <c r="B4421" s="1">
        <f t="shared" si="69"/>
        <v>4</v>
      </c>
    </row>
    <row r="4422" spans="1:2">
      <c r="A4422" s="112">
        <v>42059</v>
      </c>
      <c r="B4422" s="1">
        <f t="shared" si="69"/>
        <v>5</v>
      </c>
    </row>
    <row r="4423" spans="1:2">
      <c r="A4423" s="112">
        <v>42060</v>
      </c>
      <c r="B4423" s="1">
        <f t="shared" si="69"/>
        <v>6</v>
      </c>
    </row>
    <row r="4424" spans="1:2">
      <c r="A4424" s="112">
        <v>42061</v>
      </c>
      <c r="B4424" s="1">
        <f t="shared" si="69"/>
        <v>7</v>
      </c>
    </row>
    <row r="4425" spans="1:2">
      <c r="A4425" s="112">
        <v>42062</v>
      </c>
      <c r="B4425" s="1">
        <f t="shared" si="69"/>
        <v>8</v>
      </c>
    </row>
    <row r="4426" spans="1:2">
      <c r="A4426" s="112">
        <v>42063</v>
      </c>
      <c r="B4426" s="1">
        <f t="shared" si="69"/>
        <v>9</v>
      </c>
    </row>
    <row r="4427" spans="1:2">
      <c r="A4427" s="112">
        <v>42064</v>
      </c>
      <c r="B4427" s="1">
        <f t="shared" si="69"/>
        <v>10</v>
      </c>
    </row>
    <row r="4428" spans="1:2">
      <c r="A4428" s="112">
        <v>42065</v>
      </c>
      <c r="B4428" s="1">
        <f t="shared" si="69"/>
        <v>11</v>
      </c>
    </row>
    <row r="4429" spans="1:2">
      <c r="A4429" s="112">
        <v>42066</v>
      </c>
      <c r="B4429" s="1">
        <f t="shared" si="69"/>
        <v>12</v>
      </c>
    </row>
    <row r="4430" spans="1:2">
      <c r="A4430" s="112">
        <v>42067</v>
      </c>
      <c r="B4430" s="1">
        <f t="shared" si="69"/>
        <v>13</v>
      </c>
    </row>
    <row r="4431" spans="1:2">
      <c r="A4431" s="112">
        <v>42068</v>
      </c>
      <c r="B4431" s="1">
        <f t="shared" si="69"/>
        <v>14</v>
      </c>
    </row>
    <row r="4432" spans="1:2">
      <c r="A4432" s="112">
        <v>42069</v>
      </c>
      <c r="B4432" s="1">
        <f t="shared" si="69"/>
        <v>15</v>
      </c>
    </row>
    <row r="4433" spans="1:2">
      <c r="A4433" s="112">
        <v>42070</v>
      </c>
      <c r="B4433" s="1">
        <f t="shared" si="69"/>
        <v>16</v>
      </c>
    </row>
    <row r="4434" spans="1:2">
      <c r="A4434" s="112">
        <v>42071</v>
      </c>
      <c r="B4434" s="1">
        <f t="shared" si="69"/>
        <v>17</v>
      </c>
    </row>
    <row r="4435" spans="1:2">
      <c r="A4435" s="112">
        <v>42072</v>
      </c>
      <c r="B4435" s="1">
        <f t="shared" si="69"/>
        <v>18</v>
      </c>
    </row>
    <row r="4436" spans="1:2">
      <c r="A4436" s="112">
        <v>42073</v>
      </c>
      <c r="B4436" s="1">
        <f t="shared" si="69"/>
        <v>19</v>
      </c>
    </row>
    <row r="4437" spans="1:2">
      <c r="A4437" s="112">
        <v>42074</v>
      </c>
      <c r="B4437" s="1">
        <f t="shared" si="69"/>
        <v>20</v>
      </c>
    </row>
    <row r="4438" spans="1:2">
      <c r="A4438" s="112">
        <v>42075</v>
      </c>
      <c r="B4438" s="1">
        <f t="shared" si="69"/>
        <v>21</v>
      </c>
    </row>
    <row r="4439" spans="1:2">
      <c r="A4439" s="112">
        <v>42076</v>
      </c>
      <c r="B4439" s="1">
        <f t="shared" si="69"/>
        <v>22</v>
      </c>
    </row>
    <row r="4440" spans="1:2">
      <c r="A4440" s="112">
        <v>42077</v>
      </c>
      <c r="B4440" s="1">
        <f t="shared" si="69"/>
        <v>23</v>
      </c>
    </row>
    <row r="4441" spans="1:2">
      <c r="A4441" s="112">
        <v>42078</v>
      </c>
      <c r="B4441" s="1">
        <f t="shared" si="69"/>
        <v>24</v>
      </c>
    </row>
    <row r="4442" spans="1:2">
      <c r="A4442" s="112">
        <v>42079</v>
      </c>
      <c r="B4442" s="1">
        <f t="shared" si="69"/>
        <v>25</v>
      </c>
    </row>
    <row r="4443" spans="1:2">
      <c r="A4443" s="112">
        <v>42080</v>
      </c>
      <c r="B4443" s="1">
        <f t="shared" si="69"/>
        <v>26</v>
      </c>
    </row>
    <row r="4444" spans="1:2">
      <c r="A4444" s="112">
        <v>42081</v>
      </c>
      <c r="B4444" s="1">
        <f t="shared" si="69"/>
        <v>27</v>
      </c>
    </row>
    <row r="4445" spans="1:2">
      <c r="A4445" s="112">
        <v>42082</v>
      </c>
      <c r="B4445" s="1">
        <f t="shared" si="69"/>
        <v>28</v>
      </c>
    </row>
    <row r="4446" spans="1:2">
      <c r="A4446" s="112">
        <v>42083</v>
      </c>
      <c r="B4446" s="1">
        <f t="shared" si="69"/>
        <v>0</v>
      </c>
    </row>
    <row r="4447" spans="1:2">
      <c r="A4447" s="112">
        <v>42084</v>
      </c>
      <c r="B4447" s="1">
        <f t="shared" si="69"/>
        <v>1</v>
      </c>
    </row>
    <row r="4448" spans="1:2">
      <c r="A4448" s="112">
        <v>42085</v>
      </c>
      <c r="B4448" s="1">
        <f t="shared" si="69"/>
        <v>2</v>
      </c>
    </row>
    <row r="4449" spans="1:2">
      <c r="A4449" s="112">
        <v>42086</v>
      </c>
      <c r="B4449" s="1">
        <f t="shared" si="69"/>
        <v>3</v>
      </c>
    </row>
    <row r="4450" spans="1:2">
      <c r="A4450" s="112">
        <v>42087</v>
      </c>
      <c r="B4450" s="1">
        <f t="shared" si="69"/>
        <v>4</v>
      </c>
    </row>
    <row r="4451" spans="1:2">
      <c r="A4451" s="112">
        <v>42088</v>
      </c>
      <c r="B4451" s="1">
        <f t="shared" si="69"/>
        <v>5</v>
      </c>
    </row>
    <row r="4452" spans="1:2">
      <c r="A4452" s="112">
        <v>42089</v>
      </c>
      <c r="B4452" s="1">
        <f t="shared" si="69"/>
        <v>6</v>
      </c>
    </row>
    <row r="4453" spans="1:2">
      <c r="A4453" s="112">
        <v>42090</v>
      </c>
      <c r="B4453" s="1">
        <f t="shared" si="69"/>
        <v>7</v>
      </c>
    </row>
    <row r="4454" spans="1:2">
      <c r="A4454" s="112">
        <v>42091</v>
      </c>
      <c r="B4454" s="1">
        <f t="shared" si="69"/>
        <v>8</v>
      </c>
    </row>
    <row r="4455" spans="1:2">
      <c r="A4455" s="112">
        <v>42092</v>
      </c>
      <c r="B4455" s="1">
        <f t="shared" si="69"/>
        <v>9</v>
      </c>
    </row>
    <row r="4456" spans="1:2">
      <c r="A4456" s="112">
        <v>42093</v>
      </c>
      <c r="B4456" s="1">
        <f t="shared" si="69"/>
        <v>10</v>
      </c>
    </row>
    <row r="4457" spans="1:2">
      <c r="A4457" s="112">
        <v>42094</v>
      </c>
      <c r="B4457" s="1">
        <f t="shared" si="69"/>
        <v>11</v>
      </c>
    </row>
    <row r="4458" spans="1:2">
      <c r="A4458" s="112">
        <v>42095</v>
      </c>
      <c r="B4458" s="1">
        <f t="shared" si="69"/>
        <v>12</v>
      </c>
    </row>
    <row r="4459" spans="1:2">
      <c r="A4459" s="112">
        <v>42096</v>
      </c>
      <c r="B4459" s="1">
        <f t="shared" si="69"/>
        <v>13</v>
      </c>
    </row>
    <row r="4460" spans="1:2">
      <c r="A4460" s="112">
        <v>42097</v>
      </c>
      <c r="B4460" s="1">
        <f t="shared" si="69"/>
        <v>14</v>
      </c>
    </row>
    <row r="4461" spans="1:2">
      <c r="A4461" s="112">
        <v>42098</v>
      </c>
      <c r="B4461" s="1">
        <f t="shared" si="69"/>
        <v>15</v>
      </c>
    </row>
    <row r="4462" spans="1:2">
      <c r="A4462" s="112">
        <v>42099</v>
      </c>
      <c r="B4462" s="1">
        <f t="shared" si="69"/>
        <v>16</v>
      </c>
    </row>
    <row r="4463" spans="1:2">
      <c r="A4463" s="112">
        <v>42100</v>
      </c>
      <c r="B4463" s="1">
        <f t="shared" si="69"/>
        <v>17</v>
      </c>
    </row>
    <row r="4464" spans="1:2">
      <c r="A4464" s="112">
        <v>42101</v>
      </c>
      <c r="B4464" s="1">
        <f t="shared" si="69"/>
        <v>18</v>
      </c>
    </row>
    <row r="4465" spans="1:2">
      <c r="A4465" s="112">
        <v>42102</v>
      </c>
      <c r="B4465" s="1">
        <f t="shared" si="69"/>
        <v>19</v>
      </c>
    </row>
    <row r="4466" spans="1:2">
      <c r="A4466" s="112">
        <v>42103</v>
      </c>
      <c r="B4466" s="1">
        <f t="shared" si="69"/>
        <v>20</v>
      </c>
    </row>
    <row r="4467" spans="1:2">
      <c r="A4467" s="112">
        <v>42104</v>
      </c>
      <c r="B4467" s="1">
        <f t="shared" si="69"/>
        <v>21</v>
      </c>
    </row>
    <row r="4468" spans="1:2">
      <c r="A4468" s="112">
        <v>42105</v>
      </c>
      <c r="B4468" s="1">
        <f t="shared" si="69"/>
        <v>22</v>
      </c>
    </row>
    <row r="4469" spans="1:2">
      <c r="A4469" s="112">
        <v>42106</v>
      </c>
      <c r="B4469" s="1">
        <f t="shared" si="69"/>
        <v>23</v>
      </c>
    </row>
    <row r="4470" spans="1:2">
      <c r="A4470" s="112">
        <v>42107</v>
      </c>
      <c r="B4470" s="1">
        <f t="shared" si="69"/>
        <v>24</v>
      </c>
    </row>
    <row r="4471" spans="1:2">
      <c r="A4471" s="112">
        <v>42108</v>
      </c>
      <c r="B4471" s="1">
        <f t="shared" si="69"/>
        <v>25</v>
      </c>
    </row>
    <row r="4472" spans="1:2">
      <c r="A4472" s="112">
        <v>42109</v>
      </c>
      <c r="B4472" s="1">
        <f t="shared" si="69"/>
        <v>26</v>
      </c>
    </row>
    <row r="4473" spans="1:2">
      <c r="A4473" s="112">
        <v>42110</v>
      </c>
      <c r="B4473" s="1">
        <f t="shared" si="69"/>
        <v>27</v>
      </c>
    </row>
    <row r="4474" spans="1:2">
      <c r="A4474" s="112">
        <v>42111</v>
      </c>
      <c r="B4474" s="1">
        <f t="shared" si="69"/>
        <v>28</v>
      </c>
    </row>
    <row r="4475" spans="1:2">
      <c r="A4475" s="112">
        <v>42112</v>
      </c>
      <c r="B4475" s="1">
        <f t="shared" si="69"/>
        <v>29</v>
      </c>
    </row>
    <row r="4476" spans="1:2">
      <c r="A4476" s="112">
        <v>42113</v>
      </c>
      <c r="B4476" s="1">
        <f t="shared" si="69"/>
        <v>0</v>
      </c>
    </row>
    <row r="4477" spans="1:2">
      <c r="A4477" s="112">
        <v>42114</v>
      </c>
      <c r="B4477" s="1">
        <f t="shared" si="69"/>
        <v>1</v>
      </c>
    </row>
    <row r="4478" spans="1:2">
      <c r="A4478" s="112">
        <v>42115</v>
      </c>
      <c r="B4478" s="1">
        <f t="shared" si="69"/>
        <v>2</v>
      </c>
    </row>
    <row r="4479" spans="1:2">
      <c r="A4479" s="112">
        <v>42116</v>
      </c>
      <c r="B4479" s="1">
        <f t="shared" si="69"/>
        <v>3</v>
      </c>
    </row>
    <row r="4480" spans="1:2">
      <c r="A4480" s="112">
        <v>42117</v>
      </c>
      <c r="B4480" s="1">
        <f t="shared" si="69"/>
        <v>4</v>
      </c>
    </row>
    <row r="4481" spans="1:2">
      <c r="A4481" s="112">
        <v>42118</v>
      </c>
      <c r="B4481" s="1">
        <f t="shared" si="69"/>
        <v>5</v>
      </c>
    </row>
    <row r="4482" spans="1:2">
      <c r="A4482" s="112">
        <v>42119</v>
      </c>
      <c r="B4482" s="1">
        <f t="shared" si="69"/>
        <v>6</v>
      </c>
    </row>
    <row r="4483" spans="1:2">
      <c r="A4483" s="112">
        <v>42120</v>
      </c>
      <c r="B4483" s="1">
        <f t="shared" ref="B4483:B4546" si="70">INT(MOD($G$2+A4483-$F$2,29.53))</f>
        <v>7</v>
      </c>
    </row>
    <row r="4484" spans="1:2">
      <c r="A4484" s="112">
        <v>42121</v>
      </c>
      <c r="B4484" s="1">
        <f t="shared" si="70"/>
        <v>8</v>
      </c>
    </row>
    <row r="4485" spans="1:2">
      <c r="A4485" s="112">
        <v>42122</v>
      </c>
      <c r="B4485" s="1">
        <f t="shared" si="70"/>
        <v>9</v>
      </c>
    </row>
    <row r="4486" spans="1:2">
      <c r="A4486" s="112">
        <v>42123</v>
      </c>
      <c r="B4486" s="1">
        <f t="shared" si="70"/>
        <v>10</v>
      </c>
    </row>
    <row r="4487" spans="1:2">
      <c r="A4487" s="112">
        <v>42124</v>
      </c>
      <c r="B4487" s="1">
        <f t="shared" si="70"/>
        <v>11</v>
      </c>
    </row>
    <row r="4488" spans="1:2">
      <c r="A4488" s="112">
        <v>42125</v>
      </c>
      <c r="B4488" s="1">
        <f t="shared" si="70"/>
        <v>12</v>
      </c>
    </row>
    <row r="4489" spans="1:2">
      <c r="A4489" s="112">
        <v>42126</v>
      </c>
      <c r="B4489" s="1">
        <f t="shared" si="70"/>
        <v>13</v>
      </c>
    </row>
    <row r="4490" spans="1:2">
      <c r="A4490" s="112">
        <v>42127</v>
      </c>
      <c r="B4490" s="1">
        <f t="shared" si="70"/>
        <v>14</v>
      </c>
    </row>
    <row r="4491" spans="1:2">
      <c r="A4491" s="112">
        <v>42128</v>
      </c>
      <c r="B4491" s="1">
        <f t="shared" si="70"/>
        <v>15</v>
      </c>
    </row>
    <row r="4492" spans="1:2">
      <c r="A4492" s="112">
        <v>42129</v>
      </c>
      <c r="B4492" s="1">
        <f t="shared" si="70"/>
        <v>16</v>
      </c>
    </row>
    <row r="4493" spans="1:2">
      <c r="A4493" s="112">
        <v>42130</v>
      </c>
      <c r="B4493" s="1">
        <f t="shared" si="70"/>
        <v>17</v>
      </c>
    </row>
    <row r="4494" spans="1:2">
      <c r="A4494" s="112">
        <v>42131</v>
      </c>
      <c r="B4494" s="1">
        <f t="shared" si="70"/>
        <v>18</v>
      </c>
    </row>
    <row r="4495" spans="1:2">
      <c r="A4495" s="112">
        <v>42132</v>
      </c>
      <c r="B4495" s="1">
        <f t="shared" si="70"/>
        <v>19</v>
      </c>
    </row>
    <row r="4496" spans="1:2">
      <c r="A4496" s="112">
        <v>42133</v>
      </c>
      <c r="B4496" s="1">
        <f t="shared" si="70"/>
        <v>20</v>
      </c>
    </row>
    <row r="4497" spans="1:2">
      <c r="A4497" s="112">
        <v>42134</v>
      </c>
      <c r="B4497" s="1">
        <f t="shared" si="70"/>
        <v>21</v>
      </c>
    </row>
    <row r="4498" spans="1:2">
      <c r="A4498" s="112">
        <v>42135</v>
      </c>
      <c r="B4498" s="1">
        <f t="shared" si="70"/>
        <v>22</v>
      </c>
    </row>
    <row r="4499" spans="1:2">
      <c r="A4499" s="112">
        <v>42136</v>
      </c>
      <c r="B4499" s="1">
        <f t="shared" si="70"/>
        <v>23</v>
      </c>
    </row>
    <row r="4500" spans="1:2">
      <c r="A4500" s="112">
        <v>42137</v>
      </c>
      <c r="B4500" s="1">
        <f t="shared" si="70"/>
        <v>24</v>
      </c>
    </row>
    <row r="4501" spans="1:2">
      <c r="A4501" s="112">
        <v>42138</v>
      </c>
      <c r="B4501" s="1">
        <f t="shared" si="70"/>
        <v>25</v>
      </c>
    </row>
    <row r="4502" spans="1:2">
      <c r="A4502" s="112">
        <v>42139</v>
      </c>
      <c r="B4502" s="1">
        <f t="shared" si="70"/>
        <v>26</v>
      </c>
    </row>
    <row r="4503" spans="1:2">
      <c r="A4503" s="112">
        <v>42140</v>
      </c>
      <c r="B4503" s="1">
        <f t="shared" si="70"/>
        <v>27</v>
      </c>
    </row>
    <row r="4504" spans="1:2">
      <c r="A4504" s="112">
        <v>42141</v>
      </c>
      <c r="B4504" s="1">
        <f t="shared" si="70"/>
        <v>28</v>
      </c>
    </row>
    <row r="4505" spans="1:2">
      <c r="A4505" s="112">
        <v>42142</v>
      </c>
      <c r="B4505" s="1">
        <f t="shared" si="70"/>
        <v>0</v>
      </c>
    </row>
    <row r="4506" spans="1:2">
      <c r="A4506" s="112">
        <v>42143</v>
      </c>
      <c r="B4506" s="1">
        <f t="shared" si="70"/>
        <v>1</v>
      </c>
    </row>
    <row r="4507" spans="1:2">
      <c r="A4507" s="112">
        <v>42144</v>
      </c>
      <c r="B4507" s="1">
        <f t="shared" si="70"/>
        <v>2</v>
      </c>
    </row>
    <row r="4508" spans="1:2">
      <c r="A4508" s="112">
        <v>42145</v>
      </c>
      <c r="B4508" s="1">
        <f t="shared" si="70"/>
        <v>3</v>
      </c>
    </row>
    <row r="4509" spans="1:2">
      <c r="A4509" s="112">
        <v>42146</v>
      </c>
      <c r="B4509" s="1">
        <f t="shared" si="70"/>
        <v>4</v>
      </c>
    </row>
    <row r="4510" spans="1:2">
      <c r="A4510" s="112">
        <v>42147</v>
      </c>
      <c r="B4510" s="1">
        <f t="shared" si="70"/>
        <v>5</v>
      </c>
    </row>
    <row r="4511" spans="1:2">
      <c r="A4511" s="112">
        <v>42148</v>
      </c>
      <c r="B4511" s="1">
        <f t="shared" si="70"/>
        <v>6</v>
      </c>
    </row>
    <row r="4512" spans="1:2">
      <c r="A4512" s="112">
        <v>42149</v>
      </c>
      <c r="B4512" s="1">
        <f t="shared" si="70"/>
        <v>7</v>
      </c>
    </row>
    <row r="4513" spans="1:2">
      <c r="A4513" s="112">
        <v>42150</v>
      </c>
      <c r="B4513" s="1">
        <f t="shared" si="70"/>
        <v>8</v>
      </c>
    </row>
    <row r="4514" spans="1:2">
      <c r="A4514" s="112">
        <v>42151</v>
      </c>
      <c r="B4514" s="1">
        <f t="shared" si="70"/>
        <v>9</v>
      </c>
    </row>
    <row r="4515" spans="1:2">
      <c r="A4515" s="112">
        <v>42152</v>
      </c>
      <c r="B4515" s="1">
        <f t="shared" si="70"/>
        <v>10</v>
      </c>
    </row>
    <row r="4516" spans="1:2">
      <c r="A4516" s="112">
        <v>42153</v>
      </c>
      <c r="B4516" s="1">
        <f t="shared" si="70"/>
        <v>11</v>
      </c>
    </row>
    <row r="4517" spans="1:2">
      <c r="A4517" s="112">
        <v>42154</v>
      </c>
      <c r="B4517" s="1">
        <f t="shared" si="70"/>
        <v>12</v>
      </c>
    </row>
    <row r="4518" spans="1:2">
      <c r="A4518" s="112">
        <v>42155</v>
      </c>
      <c r="B4518" s="1">
        <f t="shared" si="70"/>
        <v>13</v>
      </c>
    </row>
    <row r="4519" spans="1:2">
      <c r="A4519" s="112">
        <v>42156</v>
      </c>
      <c r="B4519" s="1">
        <f t="shared" si="70"/>
        <v>14</v>
      </c>
    </row>
    <row r="4520" spans="1:2">
      <c r="A4520" s="112">
        <v>42157</v>
      </c>
      <c r="B4520" s="1">
        <f t="shared" si="70"/>
        <v>15</v>
      </c>
    </row>
    <row r="4521" spans="1:2">
      <c r="A4521" s="112">
        <v>42158</v>
      </c>
      <c r="B4521" s="1">
        <f t="shared" si="70"/>
        <v>16</v>
      </c>
    </row>
    <row r="4522" spans="1:2">
      <c r="A4522" s="112">
        <v>42159</v>
      </c>
      <c r="B4522" s="1">
        <f t="shared" si="70"/>
        <v>17</v>
      </c>
    </row>
    <row r="4523" spans="1:2">
      <c r="A4523" s="112">
        <v>42160</v>
      </c>
      <c r="B4523" s="1">
        <f t="shared" si="70"/>
        <v>18</v>
      </c>
    </row>
    <row r="4524" spans="1:2">
      <c r="A4524" s="112">
        <v>42161</v>
      </c>
      <c r="B4524" s="1">
        <f t="shared" si="70"/>
        <v>19</v>
      </c>
    </row>
    <row r="4525" spans="1:2">
      <c r="A4525" s="112">
        <v>42162</v>
      </c>
      <c r="B4525" s="1">
        <f t="shared" si="70"/>
        <v>20</v>
      </c>
    </row>
    <row r="4526" spans="1:2">
      <c r="A4526" s="112">
        <v>42163</v>
      </c>
      <c r="B4526" s="1">
        <f t="shared" si="70"/>
        <v>21</v>
      </c>
    </row>
    <row r="4527" spans="1:2">
      <c r="A4527" s="112">
        <v>42164</v>
      </c>
      <c r="B4527" s="1">
        <f t="shared" si="70"/>
        <v>22</v>
      </c>
    </row>
    <row r="4528" spans="1:2">
      <c r="A4528" s="112">
        <v>42165</v>
      </c>
      <c r="B4528" s="1">
        <f t="shared" si="70"/>
        <v>23</v>
      </c>
    </row>
    <row r="4529" spans="1:2">
      <c r="A4529" s="112">
        <v>42166</v>
      </c>
      <c r="B4529" s="1">
        <f t="shared" si="70"/>
        <v>24</v>
      </c>
    </row>
    <row r="4530" spans="1:2">
      <c r="A4530" s="112">
        <v>42167</v>
      </c>
      <c r="B4530" s="1">
        <f t="shared" si="70"/>
        <v>25</v>
      </c>
    </row>
    <row r="4531" spans="1:2">
      <c r="A4531" s="112">
        <v>42168</v>
      </c>
      <c r="B4531" s="1">
        <f t="shared" si="70"/>
        <v>26</v>
      </c>
    </row>
    <row r="4532" spans="1:2">
      <c r="A4532" s="112">
        <v>42169</v>
      </c>
      <c r="B4532" s="1">
        <f t="shared" si="70"/>
        <v>27</v>
      </c>
    </row>
    <row r="4533" spans="1:2">
      <c r="A4533" s="112">
        <v>42170</v>
      </c>
      <c r="B4533" s="1">
        <f t="shared" si="70"/>
        <v>28</v>
      </c>
    </row>
    <row r="4534" spans="1:2">
      <c r="A4534" s="112">
        <v>42171</v>
      </c>
      <c r="B4534" s="1">
        <f t="shared" si="70"/>
        <v>29</v>
      </c>
    </row>
    <row r="4535" spans="1:2">
      <c r="A4535" s="112">
        <v>42172</v>
      </c>
      <c r="B4535" s="1">
        <f t="shared" si="70"/>
        <v>0</v>
      </c>
    </row>
    <row r="4536" spans="1:2">
      <c r="A4536" s="112">
        <v>42173</v>
      </c>
      <c r="B4536" s="1">
        <f t="shared" si="70"/>
        <v>1</v>
      </c>
    </row>
    <row r="4537" spans="1:2">
      <c r="A4537" s="112">
        <v>42174</v>
      </c>
      <c r="B4537" s="1">
        <f t="shared" si="70"/>
        <v>2</v>
      </c>
    </row>
    <row r="4538" spans="1:2">
      <c r="A4538" s="112">
        <v>42175</v>
      </c>
      <c r="B4538" s="1">
        <f t="shared" si="70"/>
        <v>3</v>
      </c>
    </row>
    <row r="4539" spans="1:2">
      <c r="A4539" s="112">
        <v>42176</v>
      </c>
      <c r="B4539" s="1">
        <f t="shared" si="70"/>
        <v>4</v>
      </c>
    </row>
    <row r="4540" spans="1:2">
      <c r="A4540" s="112">
        <v>42177</v>
      </c>
      <c r="B4540" s="1">
        <f t="shared" si="70"/>
        <v>5</v>
      </c>
    </row>
    <row r="4541" spans="1:2">
      <c r="A4541" s="112">
        <v>42178</v>
      </c>
      <c r="B4541" s="1">
        <f t="shared" si="70"/>
        <v>6</v>
      </c>
    </row>
    <row r="4542" spans="1:2">
      <c r="A4542" s="112">
        <v>42179</v>
      </c>
      <c r="B4542" s="1">
        <f t="shared" si="70"/>
        <v>7</v>
      </c>
    </row>
    <row r="4543" spans="1:2">
      <c r="A4543" s="112">
        <v>42180</v>
      </c>
      <c r="B4543" s="1">
        <f t="shared" si="70"/>
        <v>8</v>
      </c>
    </row>
    <row r="4544" spans="1:2">
      <c r="A4544" s="112">
        <v>42181</v>
      </c>
      <c r="B4544" s="1">
        <f t="shared" si="70"/>
        <v>9</v>
      </c>
    </row>
    <row r="4545" spans="1:2">
      <c r="A4545" s="112">
        <v>42182</v>
      </c>
      <c r="B4545" s="1">
        <f t="shared" si="70"/>
        <v>10</v>
      </c>
    </row>
    <row r="4546" spans="1:2">
      <c r="A4546" s="112">
        <v>42183</v>
      </c>
      <c r="B4546" s="1">
        <f t="shared" si="70"/>
        <v>11</v>
      </c>
    </row>
    <row r="4547" spans="1:2">
      <c r="A4547" s="112">
        <v>42184</v>
      </c>
      <c r="B4547" s="1">
        <f t="shared" ref="B4547:B4610" si="71">INT(MOD($G$2+A4547-$F$2,29.53))</f>
        <v>12</v>
      </c>
    </row>
    <row r="4548" spans="1:2">
      <c r="A4548" s="112">
        <v>42185</v>
      </c>
      <c r="B4548" s="1">
        <f t="shared" si="71"/>
        <v>13</v>
      </c>
    </row>
    <row r="4549" spans="1:2">
      <c r="A4549" s="112">
        <v>42186</v>
      </c>
      <c r="B4549" s="1">
        <f t="shared" si="71"/>
        <v>14</v>
      </c>
    </row>
    <row r="4550" spans="1:2">
      <c r="A4550" s="112">
        <v>42187</v>
      </c>
      <c r="B4550" s="1">
        <f t="shared" si="71"/>
        <v>15</v>
      </c>
    </row>
    <row r="4551" spans="1:2">
      <c r="A4551" s="112">
        <v>42188</v>
      </c>
      <c r="B4551" s="1">
        <f t="shared" si="71"/>
        <v>16</v>
      </c>
    </row>
    <row r="4552" spans="1:2">
      <c r="A4552" s="112">
        <v>42189</v>
      </c>
      <c r="B4552" s="1">
        <f t="shared" si="71"/>
        <v>17</v>
      </c>
    </row>
    <row r="4553" spans="1:2">
      <c r="A4553" s="112">
        <v>42190</v>
      </c>
      <c r="B4553" s="1">
        <f t="shared" si="71"/>
        <v>18</v>
      </c>
    </row>
    <row r="4554" spans="1:2">
      <c r="A4554" s="112">
        <v>42191</v>
      </c>
      <c r="B4554" s="1">
        <f t="shared" si="71"/>
        <v>19</v>
      </c>
    </row>
    <row r="4555" spans="1:2">
      <c r="A4555" s="112">
        <v>42192</v>
      </c>
      <c r="B4555" s="1">
        <f t="shared" si="71"/>
        <v>20</v>
      </c>
    </row>
    <row r="4556" spans="1:2">
      <c r="A4556" s="112">
        <v>42193</v>
      </c>
      <c r="B4556" s="1">
        <f t="shared" si="71"/>
        <v>21</v>
      </c>
    </row>
    <row r="4557" spans="1:2">
      <c r="A4557" s="112">
        <v>42194</v>
      </c>
      <c r="B4557" s="1">
        <f t="shared" si="71"/>
        <v>22</v>
      </c>
    </row>
    <row r="4558" spans="1:2">
      <c r="A4558" s="112">
        <v>42195</v>
      </c>
      <c r="B4558" s="1">
        <f t="shared" si="71"/>
        <v>23</v>
      </c>
    </row>
    <row r="4559" spans="1:2">
      <c r="A4559" s="112">
        <v>42196</v>
      </c>
      <c r="B4559" s="1">
        <f t="shared" si="71"/>
        <v>24</v>
      </c>
    </row>
    <row r="4560" spans="1:2">
      <c r="A4560" s="112">
        <v>42197</v>
      </c>
      <c r="B4560" s="1">
        <f t="shared" si="71"/>
        <v>25</v>
      </c>
    </row>
    <row r="4561" spans="1:2">
      <c r="A4561" s="112">
        <v>42198</v>
      </c>
      <c r="B4561" s="1">
        <f t="shared" si="71"/>
        <v>26</v>
      </c>
    </row>
    <row r="4562" spans="1:2">
      <c r="A4562" s="112">
        <v>42199</v>
      </c>
      <c r="B4562" s="1">
        <f t="shared" si="71"/>
        <v>27</v>
      </c>
    </row>
    <row r="4563" spans="1:2">
      <c r="A4563" s="112">
        <v>42200</v>
      </c>
      <c r="B4563" s="1">
        <f t="shared" si="71"/>
        <v>28</v>
      </c>
    </row>
    <row r="4564" spans="1:2">
      <c r="A4564" s="112">
        <v>42201</v>
      </c>
      <c r="B4564" s="1">
        <f t="shared" si="71"/>
        <v>0</v>
      </c>
    </row>
    <row r="4565" spans="1:2">
      <c r="A4565" s="112">
        <v>42202</v>
      </c>
      <c r="B4565" s="1">
        <f t="shared" si="71"/>
        <v>1</v>
      </c>
    </row>
    <row r="4566" spans="1:2">
      <c r="A4566" s="112">
        <v>42203</v>
      </c>
      <c r="B4566" s="1">
        <f t="shared" si="71"/>
        <v>2</v>
      </c>
    </row>
    <row r="4567" spans="1:2">
      <c r="A4567" s="112">
        <v>42204</v>
      </c>
      <c r="B4567" s="1">
        <f t="shared" si="71"/>
        <v>3</v>
      </c>
    </row>
    <row r="4568" spans="1:2">
      <c r="A4568" s="112">
        <v>42205</v>
      </c>
      <c r="B4568" s="1">
        <f t="shared" si="71"/>
        <v>4</v>
      </c>
    </row>
    <row r="4569" spans="1:2">
      <c r="A4569" s="112">
        <v>42206</v>
      </c>
      <c r="B4569" s="1">
        <f t="shared" si="71"/>
        <v>5</v>
      </c>
    </row>
    <row r="4570" spans="1:2">
      <c r="A4570" s="112">
        <v>42207</v>
      </c>
      <c r="B4570" s="1">
        <f t="shared" si="71"/>
        <v>6</v>
      </c>
    </row>
    <row r="4571" spans="1:2">
      <c r="A4571" s="112">
        <v>42208</v>
      </c>
      <c r="B4571" s="1">
        <f t="shared" si="71"/>
        <v>7</v>
      </c>
    </row>
    <row r="4572" spans="1:2">
      <c r="A4572" s="112">
        <v>42209</v>
      </c>
      <c r="B4572" s="1">
        <f t="shared" si="71"/>
        <v>8</v>
      </c>
    </row>
    <row r="4573" spans="1:2">
      <c r="A4573" s="112">
        <v>42210</v>
      </c>
      <c r="B4573" s="1">
        <f t="shared" si="71"/>
        <v>9</v>
      </c>
    </row>
    <row r="4574" spans="1:2">
      <c r="A4574" s="112">
        <v>42211</v>
      </c>
      <c r="B4574" s="1">
        <f t="shared" si="71"/>
        <v>10</v>
      </c>
    </row>
    <row r="4575" spans="1:2">
      <c r="A4575" s="112">
        <v>42212</v>
      </c>
      <c r="B4575" s="1">
        <f t="shared" si="71"/>
        <v>11</v>
      </c>
    </row>
    <row r="4576" spans="1:2">
      <c r="A4576" s="112">
        <v>42213</v>
      </c>
      <c r="B4576" s="1">
        <f t="shared" si="71"/>
        <v>12</v>
      </c>
    </row>
    <row r="4577" spans="1:2">
      <c r="A4577" s="112">
        <v>42214</v>
      </c>
      <c r="B4577" s="1">
        <f t="shared" si="71"/>
        <v>13</v>
      </c>
    </row>
    <row r="4578" spans="1:2">
      <c r="A4578" s="112">
        <v>42215</v>
      </c>
      <c r="B4578" s="1">
        <f t="shared" si="71"/>
        <v>14</v>
      </c>
    </row>
    <row r="4579" spans="1:2">
      <c r="A4579" s="112">
        <v>42216</v>
      </c>
      <c r="B4579" s="1">
        <f t="shared" si="71"/>
        <v>15</v>
      </c>
    </row>
    <row r="4580" spans="1:2">
      <c r="A4580" s="112">
        <v>42217</v>
      </c>
      <c r="B4580" s="1">
        <f t="shared" si="71"/>
        <v>16</v>
      </c>
    </row>
    <row r="4581" spans="1:2">
      <c r="A4581" s="112">
        <v>42218</v>
      </c>
      <c r="B4581" s="1">
        <f t="shared" si="71"/>
        <v>17</v>
      </c>
    </row>
    <row r="4582" spans="1:2">
      <c r="A4582" s="112">
        <v>42219</v>
      </c>
      <c r="B4582" s="1">
        <f t="shared" si="71"/>
        <v>18</v>
      </c>
    </row>
    <row r="4583" spans="1:2">
      <c r="A4583" s="112">
        <v>42220</v>
      </c>
      <c r="B4583" s="1">
        <f t="shared" si="71"/>
        <v>19</v>
      </c>
    </row>
    <row r="4584" spans="1:2">
      <c r="A4584" s="112">
        <v>42221</v>
      </c>
      <c r="B4584" s="1">
        <f t="shared" si="71"/>
        <v>20</v>
      </c>
    </row>
    <row r="4585" spans="1:2">
      <c r="A4585" s="112">
        <v>42222</v>
      </c>
      <c r="B4585" s="1">
        <f t="shared" si="71"/>
        <v>21</v>
      </c>
    </row>
    <row r="4586" spans="1:2">
      <c r="A4586" s="112">
        <v>42223</v>
      </c>
      <c r="B4586" s="1">
        <f t="shared" si="71"/>
        <v>22</v>
      </c>
    </row>
    <row r="4587" spans="1:2">
      <c r="A4587" s="112">
        <v>42224</v>
      </c>
      <c r="B4587" s="1">
        <f t="shared" si="71"/>
        <v>23</v>
      </c>
    </row>
    <row r="4588" spans="1:2">
      <c r="A4588" s="112">
        <v>42225</v>
      </c>
      <c r="B4588" s="1">
        <f t="shared" si="71"/>
        <v>24</v>
      </c>
    </row>
    <row r="4589" spans="1:2">
      <c r="A4589" s="112">
        <v>42226</v>
      </c>
      <c r="B4589" s="1">
        <f t="shared" si="71"/>
        <v>25</v>
      </c>
    </row>
    <row r="4590" spans="1:2">
      <c r="A4590" s="112">
        <v>42227</v>
      </c>
      <c r="B4590" s="1">
        <f t="shared" si="71"/>
        <v>26</v>
      </c>
    </row>
    <row r="4591" spans="1:2">
      <c r="A4591" s="112">
        <v>42228</v>
      </c>
      <c r="B4591" s="1">
        <f t="shared" si="71"/>
        <v>27</v>
      </c>
    </row>
    <row r="4592" spans="1:2">
      <c r="A4592" s="112">
        <v>42229</v>
      </c>
      <c r="B4592" s="1">
        <f t="shared" si="71"/>
        <v>28</v>
      </c>
    </row>
    <row r="4593" spans="1:2">
      <c r="A4593" s="112">
        <v>42230</v>
      </c>
      <c r="B4593" s="1">
        <f t="shared" si="71"/>
        <v>29</v>
      </c>
    </row>
    <row r="4594" spans="1:2">
      <c r="A4594" s="112">
        <v>42231</v>
      </c>
      <c r="B4594" s="1">
        <f t="shared" si="71"/>
        <v>0</v>
      </c>
    </row>
    <row r="4595" spans="1:2">
      <c r="A4595" s="112">
        <v>42232</v>
      </c>
      <c r="B4595" s="1">
        <f t="shared" si="71"/>
        <v>1</v>
      </c>
    </row>
    <row r="4596" spans="1:2">
      <c r="A4596" s="112">
        <v>42233</v>
      </c>
      <c r="B4596" s="1">
        <f t="shared" si="71"/>
        <v>2</v>
      </c>
    </row>
    <row r="4597" spans="1:2">
      <c r="A4597" s="112">
        <v>42234</v>
      </c>
      <c r="B4597" s="1">
        <f t="shared" si="71"/>
        <v>3</v>
      </c>
    </row>
    <row r="4598" spans="1:2">
      <c r="A4598" s="112">
        <v>42235</v>
      </c>
      <c r="B4598" s="1">
        <f t="shared" si="71"/>
        <v>4</v>
      </c>
    </row>
    <row r="4599" spans="1:2">
      <c r="A4599" s="112">
        <v>42236</v>
      </c>
      <c r="B4599" s="1">
        <f t="shared" si="71"/>
        <v>5</v>
      </c>
    </row>
    <row r="4600" spans="1:2">
      <c r="A4600" s="112">
        <v>42237</v>
      </c>
      <c r="B4600" s="1">
        <f t="shared" si="71"/>
        <v>6</v>
      </c>
    </row>
    <row r="4601" spans="1:2">
      <c r="A4601" s="112">
        <v>42238</v>
      </c>
      <c r="B4601" s="1">
        <f t="shared" si="71"/>
        <v>7</v>
      </c>
    </row>
    <row r="4602" spans="1:2">
      <c r="A4602" s="112">
        <v>42239</v>
      </c>
      <c r="B4602" s="1">
        <f t="shared" si="71"/>
        <v>8</v>
      </c>
    </row>
    <row r="4603" spans="1:2">
      <c r="A4603" s="112">
        <v>42240</v>
      </c>
      <c r="B4603" s="1">
        <f t="shared" si="71"/>
        <v>9</v>
      </c>
    </row>
    <row r="4604" spans="1:2">
      <c r="A4604" s="112">
        <v>42241</v>
      </c>
      <c r="B4604" s="1">
        <f t="shared" si="71"/>
        <v>10</v>
      </c>
    </row>
    <row r="4605" spans="1:2">
      <c r="A4605" s="112">
        <v>42242</v>
      </c>
      <c r="B4605" s="1">
        <f t="shared" si="71"/>
        <v>11</v>
      </c>
    </row>
    <row r="4606" spans="1:2">
      <c r="A4606" s="112">
        <v>42243</v>
      </c>
      <c r="B4606" s="1">
        <f t="shared" si="71"/>
        <v>12</v>
      </c>
    </row>
    <row r="4607" spans="1:2">
      <c r="A4607" s="112">
        <v>42244</v>
      </c>
      <c r="B4607" s="1">
        <f t="shared" si="71"/>
        <v>13</v>
      </c>
    </row>
    <row r="4608" spans="1:2">
      <c r="A4608" s="112">
        <v>42245</v>
      </c>
      <c r="B4608" s="1">
        <f t="shared" si="71"/>
        <v>14</v>
      </c>
    </row>
    <row r="4609" spans="1:2">
      <c r="A4609" s="112">
        <v>42246</v>
      </c>
      <c r="B4609" s="1">
        <f t="shared" si="71"/>
        <v>15</v>
      </c>
    </row>
    <row r="4610" spans="1:2">
      <c r="A4610" s="112">
        <v>42247</v>
      </c>
      <c r="B4610" s="1">
        <f t="shared" si="71"/>
        <v>16</v>
      </c>
    </row>
    <row r="4611" spans="1:2">
      <c r="A4611" s="112">
        <v>42248</v>
      </c>
      <c r="B4611" s="1">
        <f t="shared" ref="B4611:B4674" si="72">INT(MOD($G$2+A4611-$F$2,29.53))</f>
        <v>17</v>
      </c>
    </row>
    <row r="4612" spans="1:2">
      <c r="A4612" s="112">
        <v>42249</v>
      </c>
      <c r="B4612" s="1">
        <f t="shared" si="72"/>
        <v>18</v>
      </c>
    </row>
    <row r="4613" spans="1:2">
      <c r="A4613" s="112">
        <v>42250</v>
      </c>
      <c r="B4613" s="1">
        <f t="shared" si="72"/>
        <v>19</v>
      </c>
    </row>
    <row r="4614" spans="1:2">
      <c r="A4614" s="112">
        <v>42251</v>
      </c>
      <c r="B4614" s="1">
        <f t="shared" si="72"/>
        <v>20</v>
      </c>
    </row>
    <row r="4615" spans="1:2">
      <c r="A4615" s="112">
        <v>42252</v>
      </c>
      <c r="B4615" s="1">
        <f t="shared" si="72"/>
        <v>21</v>
      </c>
    </row>
    <row r="4616" spans="1:2">
      <c r="A4616" s="112">
        <v>42253</v>
      </c>
      <c r="B4616" s="1">
        <f t="shared" si="72"/>
        <v>22</v>
      </c>
    </row>
    <row r="4617" spans="1:2">
      <c r="A4617" s="112">
        <v>42254</v>
      </c>
      <c r="B4617" s="1">
        <f t="shared" si="72"/>
        <v>23</v>
      </c>
    </row>
    <row r="4618" spans="1:2">
      <c r="A4618" s="112">
        <v>42255</v>
      </c>
      <c r="B4618" s="1">
        <f t="shared" si="72"/>
        <v>24</v>
      </c>
    </row>
    <row r="4619" spans="1:2">
      <c r="A4619" s="112">
        <v>42256</v>
      </c>
      <c r="B4619" s="1">
        <f t="shared" si="72"/>
        <v>25</v>
      </c>
    </row>
    <row r="4620" spans="1:2">
      <c r="A4620" s="112">
        <v>42257</v>
      </c>
      <c r="B4620" s="1">
        <f t="shared" si="72"/>
        <v>26</v>
      </c>
    </row>
    <row r="4621" spans="1:2">
      <c r="A4621" s="112">
        <v>42258</v>
      </c>
      <c r="B4621" s="1">
        <f t="shared" si="72"/>
        <v>27</v>
      </c>
    </row>
    <row r="4622" spans="1:2">
      <c r="A4622" s="112">
        <v>42259</v>
      </c>
      <c r="B4622" s="1">
        <f t="shared" si="72"/>
        <v>28</v>
      </c>
    </row>
    <row r="4623" spans="1:2">
      <c r="A4623" s="112">
        <v>42260</v>
      </c>
      <c r="B4623" s="1">
        <f t="shared" si="72"/>
        <v>29</v>
      </c>
    </row>
    <row r="4624" spans="1:2">
      <c r="A4624" s="112">
        <v>42261</v>
      </c>
      <c r="B4624" s="1">
        <f t="shared" si="72"/>
        <v>0</v>
      </c>
    </row>
    <row r="4625" spans="1:2">
      <c r="A4625" s="112">
        <v>42262</v>
      </c>
      <c r="B4625" s="1">
        <f t="shared" si="72"/>
        <v>1</v>
      </c>
    </row>
    <row r="4626" spans="1:2">
      <c r="A4626" s="112">
        <v>42263</v>
      </c>
      <c r="B4626" s="1">
        <f t="shared" si="72"/>
        <v>2</v>
      </c>
    </row>
    <row r="4627" spans="1:2">
      <c r="A4627" s="112">
        <v>42264</v>
      </c>
      <c r="B4627" s="1">
        <f t="shared" si="72"/>
        <v>3</v>
      </c>
    </row>
    <row r="4628" spans="1:2">
      <c r="A4628" s="112">
        <v>42265</v>
      </c>
      <c r="B4628" s="1">
        <f t="shared" si="72"/>
        <v>4</v>
      </c>
    </row>
    <row r="4629" spans="1:2">
      <c r="A4629" s="112">
        <v>42266</v>
      </c>
      <c r="B4629" s="1">
        <f t="shared" si="72"/>
        <v>5</v>
      </c>
    </row>
    <row r="4630" spans="1:2">
      <c r="A4630" s="112">
        <v>42267</v>
      </c>
      <c r="B4630" s="1">
        <f t="shared" si="72"/>
        <v>6</v>
      </c>
    </row>
    <row r="4631" spans="1:2">
      <c r="A4631" s="112">
        <v>42268</v>
      </c>
      <c r="B4631" s="1">
        <f t="shared" si="72"/>
        <v>7</v>
      </c>
    </row>
    <row r="4632" spans="1:2">
      <c r="A4632" s="112">
        <v>42269</v>
      </c>
      <c r="B4632" s="1">
        <f t="shared" si="72"/>
        <v>8</v>
      </c>
    </row>
    <row r="4633" spans="1:2">
      <c r="A4633" s="112">
        <v>42270</v>
      </c>
      <c r="B4633" s="1">
        <f t="shared" si="72"/>
        <v>9</v>
      </c>
    </row>
    <row r="4634" spans="1:2">
      <c r="A4634" s="112">
        <v>42271</v>
      </c>
      <c r="B4634" s="1">
        <f t="shared" si="72"/>
        <v>10</v>
      </c>
    </row>
    <row r="4635" spans="1:2">
      <c r="A4635" s="112">
        <v>42272</v>
      </c>
      <c r="B4635" s="1">
        <f t="shared" si="72"/>
        <v>11</v>
      </c>
    </row>
    <row r="4636" spans="1:2">
      <c r="A4636" s="112">
        <v>42273</v>
      </c>
      <c r="B4636" s="1">
        <f t="shared" si="72"/>
        <v>12</v>
      </c>
    </row>
    <row r="4637" spans="1:2">
      <c r="A4637" s="112">
        <v>42274</v>
      </c>
      <c r="B4637" s="1">
        <f t="shared" si="72"/>
        <v>13</v>
      </c>
    </row>
    <row r="4638" spans="1:2">
      <c r="A4638" s="112">
        <v>42275</v>
      </c>
      <c r="B4638" s="1">
        <f t="shared" si="72"/>
        <v>14</v>
      </c>
    </row>
    <row r="4639" spans="1:2">
      <c r="A4639" s="112">
        <v>42276</v>
      </c>
      <c r="B4639" s="1">
        <f t="shared" si="72"/>
        <v>15</v>
      </c>
    </row>
    <row r="4640" spans="1:2">
      <c r="A4640" s="112">
        <v>42277</v>
      </c>
      <c r="B4640" s="1">
        <f t="shared" si="72"/>
        <v>16</v>
      </c>
    </row>
    <row r="4641" spans="1:2">
      <c r="A4641" s="112">
        <v>42278</v>
      </c>
      <c r="B4641" s="1">
        <f t="shared" si="72"/>
        <v>17</v>
      </c>
    </row>
    <row r="4642" spans="1:2">
      <c r="A4642" s="112">
        <v>42279</v>
      </c>
      <c r="B4642" s="1">
        <f t="shared" si="72"/>
        <v>18</v>
      </c>
    </row>
    <row r="4643" spans="1:2">
      <c r="A4643" s="112">
        <v>42280</v>
      </c>
      <c r="B4643" s="1">
        <f t="shared" si="72"/>
        <v>19</v>
      </c>
    </row>
    <row r="4644" spans="1:2">
      <c r="A4644" s="112">
        <v>42281</v>
      </c>
      <c r="B4644" s="1">
        <f t="shared" si="72"/>
        <v>20</v>
      </c>
    </row>
    <row r="4645" spans="1:2">
      <c r="A4645" s="112">
        <v>42282</v>
      </c>
      <c r="B4645" s="1">
        <f t="shared" si="72"/>
        <v>21</v>
      </c>
    </row>
    <row r="4646" spans="1:2">
      <c r="A4646" s="112">
        <v>42283</v>
      </c>
      <c r="B4646" s="1">
        <f t="shared" si="72"/>
        <v>22</v>
      </c>
    </row>
    <row r="4647" spans="1:2">
      <c r="A4647" s="112">
        <v>42284</v>
      </c>
      <c r="B4647" s="1">
        <f t="shared" si="72"/>
        <v>23</v>
      </c>
    </row>
    <row r="4648" spans="1:2">
      <c r="A4648" s="112">
        <v>42285</v>
      </c>
      <c r="B4648" s="1">
        <f t="shared" si="72"/>
        <v>24</v>
      </c>
    </row>
    <row r="4649" spans="1:2">
      <c r="A4649" s="112">
        <v>42286</v>
      </c>
      <c r="B4649" s="1">
        <f t="shared" si="72"/>
        <v>25</v>
      </c>
    </row>
    <row r="4650" spans="1:2">
      <c r="A4650" s="112">
        <v>42287</v>
      </c>
      <c r="B4650" s="1">
        <f t="shared" si="72"/>
        <v>26</v>
      </c>
    </row>
    <row r="4651" spans="1:2">
      <c r="A4651" s="112">
        <v>42288</v>
      </c>
      <c r="B4651" s="1">
        <f t="shared" si="72"/>
        <v>27</v>
      </c>
    </row>
    <row r="4652" spans="1:2">
      <c r="A4652" s="112">
        <v>42289</v>
      </c>
      <c r="B4652" s="1">
        <f t="shared" si="72"/>
        <v>28</v>
      </c>
    </row>
    <row r="4653" spans="1:2">
      <c r="A4653" s="112">
        <v>42290</v>
      </c>
      <c r="B4653" s="1">
        <f t="shared" si="72"/>
        <v>0</v>
      </c>
    </row>
    <row r="4654" spans="1:2">
      <c r="A4654" s="112">
        <v>42291</v>
      </c>
      <c r="B4654" s="1">
        <f t="shared" si="72"/>
        <v>1</v>
      </c>
    </row>
    <row r="4655" spans="1:2">
      <c r="A4655" s="112">
        <v>42292</v>
      </c>
      <c r="B4655" s="1">
        <f t="shared" si="72"/>
        <v>2</v>
      </c>
    </row>
    <row r="4656" spans="1:2">
      <c r="A4656" s="112">
        <v>42293</v>
      </c>
      <c r="B4656" s="1">
        <f t="shared" si="72"/>
        <v>3</v>
      </c>
    </row>
    <row r="4657" spans="1:2">
      <c r="A4657" s="112">
        <v>42294</v>
      </c>
      <c r="B4657" s="1">
        <f t="shared" si="72"/>
        <v>4</v>
      </c>
    </row>
    <row r="4658" spans="1:2">
      <c r="A4658" s="112">
        <v>42295</v>
      </c>
      <c r="B4658" s="1">
        <f t="shared" si="72"/>
        <v>5</v>
      </c>
    </row>
    <row r="4659" spans="1:2">
      <c r="A4659" s="112">
        <v>42296</v>
      </c>
      <c r="B4659" s="1">
        <f t="shared" si="72"/>
        <v>6</v>
      </c>
    </row>
    <row r="4660" spans="1:2">
      <c r="A4660" s="112">
        <v>42297</v>
      </c>
      <c r="B4660" s="1">
        <f t="shared" si="72"/>
        <v>7</v>
      </c>
    </row>
    <row r="4661" spans="1:2">
      <c r="A4661" s="112">
        <v>42298</v>
      </c>
      <c r="B4661" s="1">
        <f t="shared" si="72"/>
        <v>8</v>
      </c>
    </row>
    <row r="4662" spans="1:2">
      <c r="A4662" s="112">
        <v>42299</v>
      </c>
      <c r="B4662" s="1">
        <f t="shared" si="72"/>
        <v>9</v>
      </c>
    </row>
    <row r="4663" spans="1:2">
      <c r="A4663" s="112">
        <v>42300</v>
      </c>
      <c r="B4663" s="1">
        <f t="shared" si="72"/>
        <v>10</v>
      </c>
    </row>
    <row r="4664" spans="1:2">
      <c r="A4664" s="112">
        <v>42301</v>
      </c>
      <c r="B4664" s="1">
        <f t="shared" si="72"/>
        <v>11</v>
      </c>
    </row>
    <row r="4665" spans="1:2">
      <c r="A4665" s="112">
        <v>42302</v>
      </c>
      <c r="B4665" s="1">
        <f t="shared" si="72"/>
        <v>12</v>
      </c>
    </row>
    <row r="4666" spans="1:2">
      <c r="A4666" s="112">
        <v>42303</v>
      </c>
      <c r="B4666" s="1">
        <f t="shared" si="72"/>
        <v>13</v>
      </c>
    </row>
    <row r="4667" spans="1:2">
      <c r="A4667" s="112">
        <v>42304</v>
      </c>
      <c r="B4667" s="1">
        <f t="shared" si="72"/>
        <v>14</v>
      </c>
    </row>
    <row r="4668" spans="1:2">
      <c r="A4668" s="112">
        <v>42305</v>
      </c>
      <c r="B4668" s="1">
        <f t="shared" si="72"/>
        <v>15</v>
      </c>
    </row>
    <row r="4669" spans="1:2">
      <c r="A4669" s="112">
        <v>42306</v>
      </c>
      <c r="B4669" s="1">
        <f t="shared" si="72"/>
        <v>16</v>
      </c>
    </row>
    <row r="4670" spans="1:2">
      <c r="A4670" s="112">
        <v>42307</v>
      </c>
      <c r="B4670" s="1">
        <f t="shared" si="72"/>
        <v>17</v>
      </c>
    </row>
    <row r="4671" spans="1:2">
      <c r="A4671" s="112">
        <v>42308</v>
      </c>
      <c r="B4671" s="1">
        <f t="shared" si="72"/>
        <v>18</v>
      </c>
    </row>
    <row r="4672" spans="1:2">
      <c r="A4672" s="112">
        <v>42309</v>
      </c>
      <c r="B4672" s="1">
        <f t="shared" si="72"/>
        <v>19</v>
      </c>
    </row>
    <row r="4673" spans="1:2">
      <c r="A4673" s="112">
        <v>42310</v>
      </c>
      <c r="B4673" s="1">
        <f t="shared" si="72"/>
        <v>20</v>
      </c>
    </row>
    <row r="4674" spans="1:2">
      <c r="A4674" s="112">
        <v>42311</v>
      </c>
      <c r="B4674" s="1">
        <f t="shared" si="72"/>
        <v>21</v>
      </c>
    </row>
    <row r="4675" spans="1:2">
      <c r="A4675" s="112">
        <v>42312</v>
      </c>
      <c r="B4675" s="1">
        <f t="shared" ref="B4675:B4738" si="73">INT(MOD($G$2+A4675-$F$2,29.53))</f>
        <v>22</v>
      </c>
    </row>
    <row r="4676" spans="1:2">
      <c r="A4676" s="112">
        <v>42313</v>
      </c>
      <c r="B4676" s="1">
        <f t="shared" si="73"/>
        <v>23</v>
      </c>
    </row>
    <row r="4677" spans="1:2">
      <c r="A4677" s="112">
        <v>42314</v>
      </c>
      <c r="B4677" s="1">
        <f t="shared" si="73"/>
        <v>24</v>
      </c>
    </row>
    <row r="4678" spans="1:2">
      <c r="A4678" s="112">
        <v>42315</v>
      </c>
      <c r="B4678" s="1">
        <f t="shared" si="73"/>
        <v>25</v>
      </c>
    </row>
    <row r="4679" spans="1:2">
      <c r="A4679" s="112">
        <v>42316</v>
      </c>
      <c r="B4679" s="1">
        <f t="shared" si="73"/>
        <v>26</v>
      </c>
    </row>
    <row r="4680" spans="1:2">
      <c r="A4680" s="112">
        <v>42317</v>
      </c>
      <c r="B4680" s="1">
        <f t="shared" si="73"/>
        <v>27</v>
      </c>
    </row>
    <row r="4681" spans="1:2">
      <c r="A4681" s="112">
        <v>42318</v>
      </c>
      <c r="B4681" s="1">
        <f t="shared" si="73"/>
        <v>28</v>
      </c>
    </row>
    <row r="4682" spans="1:2">
      <c r="A4682" s="112">
        <v>42319</v>
      </c>
      <c r="B4682" s="1">
        <f t="shared" si="73"/>
        <v>29</v>
      </c>
    </row>
    <row r="4683" spans="1:2">
      <c r="A4683" s="112">
        <v>42320</v>
      </c>
      <c r="B4683" s="1">
        <f t="shared" si="73"/>
        <v>0</v>
      </c>
    </row>
    <row r="4684" spans="1:2">
      <c r="A4684" s="112">
        <v>42321</v>
      </c>
      <c r="B4684" s="1">
        <f t="shared" si="73"/>
        <v>1</v>
      </c>
    </row>
    <row r="4685" spans="1:2">
      <c r="A4685" s="112">
        <v>42322</v>
      </c>
      <c r="B4685" s="1">
        <f t="shared" si="73"/>
        <v>2</v>
      </c>
    </row>
    <row r="4686" spans="1:2">
      <c r="A4686" s="112">
        <v>42323</v>
      </c>
      <c r="B4686" s="1">
        <f t="shared" si="73"/>
        <v>3</v>
      </c>
    </row>
    <row r="4687" spans="1:2">
      <c r="A4687" s="112">
        <v>42324</v>
      </c>
      <c r="B4687" s="1">
        <f t="shared" si="73"/>
        <v>4</v>
      </c>
    </row>
    <row r="4688" spans="1:2">
      <c r="A4688" s="112">
        <v>42325</v>
      </c>
      <c r="B4688" s="1">
        <f t="shared" si="73"/>
        <v>5</v>
      </c>
    </row>
    <row r="4689" spans="1:2">
      <c r="A4689" s="112">
        <v>42326</v>
      </c>
      <c r="B4689" s="1">
        <f t="shared" si="73"/>
        <v>6</v>
      </c>
    </row>
    <row r="4690" spans="1:2">
      <c r="A4690" s="112">
        <v>42327</v>
      </c>
      <c r="B4690" s="1">
        <f t="shared" si="73"/>
        <v>7</v>
      </c>
    </row>
    <row r="4691" spans="1:2">
      <c r="A4691" s="112">
        <v>42328</v>
      </c>
      <c r="B4691" s="1">
        <f t="shared" si="73"/>
        <v>8</v>
      </c>
    </row>
    <row r="4692" spans="1:2">
      <c r="A4692" s="112">
        <v>42329</v>
      </c>
      <c r="B4692" s="1">
        <f t="shared" si="73"/>
        <v>9</v>
      </c>
    </row>
    <row r="4693" spans="1:2">
      <c r="A4693" s="112">
        <v>42330</v>
      </c>
      <c r="B4693" s="1">
        <f t="shared" si="73"/>
        <v>10</v>
      </c>
    </row>
    <row r="4694" spans="1:2">
      <c r="A4694" s="112">
        <v>42331</v>
      </c>
      <c r="B4694" s="1">
        <f t="shared" si="73"/>
        <v>11</v>
      </c>
    </row>
    <row r="4695" spans="1:2">
      <c r="A4695" s="112">
        <v>42332</v>
      </c>
      <c r="B4695" s="1">
        <f t="shared" si="73"/>
        <v>12</v>
      </c>
    </row>
    <row r="4696" spans="1:2">
      <c r="A4696" s="112">
        <v>42333</v>
      </c>
      <c r="B4696" s="1">
        <f t="shared" si="73"/>
        <v>13</v>
      </c>
    </row>
    <row r="4697" spans="1:2">
      <c r="A4697" s="112">
        <v>42334</v>
      </c>
      <c r="B4697" s="1">
        <f t="shared" si="73"/>
        <v>14</v>
      </c>
    </row>
    <row r="4698" spans="1:2">
      <c r="A4698" s="112">
        <v>42335</v>
      </c>
      <c r="B4698" s="1">
        <f t="shared" si="73"/>
        <v>15</v>
      </c>
    </row>
    <row r="4699" spans="1:2">
      <c r="A4699" s="112">
        <v>42336</v>
      </c>
      <c r="B4699" s="1">
        <f t="shared" si="73"/>
        <v>16</v>
      </c>
    </row>
    <row r="4700" spans="1:2">
      <c r="A4700" s="112">
        <v>42337</v>
      </c>
      <c r="B4700" s="1">
        <f t="shared" si="73"/>
        <v>17</v>
      </c>
    </row>
    <row r="4701" spans="1:2">
      <c r="A4701" s="112">
        <v>42338</v>
      </c>
      <c r="B4701" s="1">
        <f t="shared" si="73"/>
        <v>18</v>
      </c>
    </row>
    <row r="4702" spans="1:2">
      <c r="A4702" s="112">
        <v>42339</v>
      </c>
      <c r="B4702" s="1">
        <f t="shared" si="73"/>
        <v>19</v>
      </c>
    </row>
    <row r="4703" spans="1:2">
      <c r="A4703" s="112">
        <v>42340</v>
      </c>
      <c r="B4703" s="1">
        <f t="shared" si="73"/>
        <v>20</v>
      </c>
    </row>
    <row r="4704" spans="1:2">
      <c r="A4704" s="112">
        <v>42341</v>
      </c>
      <c r="B4704" s="1">
        <f t="shared" si="73"/>
        <v>21</v>
      </c>
    </row>
    <row r="4705" spans="1:2">
      <c r="A4705" s="112">
        <v>42342</v>
      </c>
      <c r="B4705" s="1">
        <f t="shared" si="73"/>
        <v>22</v>
      </c>
    </row>
    <row r="4706" spans="1:2">
      <c r="A4706" s="112">
        <v>42343</v>
      </c>
      <c r="B4706" s="1">
        <f t="shared" si="73"/>
        <v>23</v>
      </c>
    </row>
    <row r="4707" spans="1:2">
      <c r="A4707" s="112">
        <v>42344</v>
      </c>
      <c r="B4707" s="1">
        <f t="shared" si="73"/>
        <v>24</v>
      </c>
    </row>
    <row r="4708" spans="1:2">
      <c r="A4708" s="112">
        <v>42345</v>
      </c>
      <c r="B4708" s="1">
        <f t="shared" si="73"/>
        <v>25</v>
      </c>
    </row>
    <row r="4709" spans="1:2">
      <c r="A4709" s="112">
        <v>42346</v>
      </c>
      <c r="B4709" s="1">
        <f t="shared" si="73"/>
        <v>26</v>
      </c>
    </row>
    <row r="4710" spans="1:2">
      <c r="A4710" s="112">
        <v>42347</v>
      </c>
      <c r="B4710" s="1">
        <f t="shared" si="73"/>
        <v>27</v>
      </c>
    </row>
    <row r="4711" spans="1:2">
      <c r="A4711" s="112">
        <v>42348</v>
      </c>
      <c r="B4711" s="1">
        <f t="shared" si="73"/>
        <v>28</v>
      </c>
    </row>
    <row r="4712" spans="1:2">
      <c r="A4712" s="112">
        <v>42349</v>
      </c>
      <c r="B4712" s="1">
        <f t="shared" si="73"/>
        <v>0</v>
      </c>
    </row>
    <row r="4713" spans="1:2">
      <c r="A4713" s="112">
        <v>42350</v>
      </c>
      <c r="B4713" s="1">
        <f t="shared" si="73"/>
        <v>1</v>
      </c>
    </row>
    <row r="4714" spans="1:2">
      <c r="A4714" s="112">
        <v>42351</v>
      </c>
      <c r="B4714" s="1">
        <f t="shared" si="73"/>
        <v>2</v>
      </c>
    </row>
    <row r="4715" spans="1:2">
      <c r="A4715" s="112">
        <v>42352</v>
      </c>
      <c r="B4715" s="1">
        <f t="shared" si="73"/>
        <v>3</v>
      </c>
    </row>
    <row r="4716" spans="1:2">
      <c r="A4716" s="112">
        <v>42353</v>
      </c>
      <c r="B4716" s="1">
        <f t="shared" si="73"/>
        <v>4</v>
      </c>
    </row>
    <row r="4717" spans="1:2">
      <c r="A4717" s="112">
        <v>42354</v>
      </c>
      <c r="B4717" s="1">
        <f t="shared" si="73"/>
        <v>5</v>
      </c>
    </row>
    <row r="4718" spans="1:2">
      <c r="A4718" s="112">
        <v>42355</v>
      </c>
      <c r="B4718" s="1">
        <f t="shared" si="73"/>
        <v>6</v>
      </c>
    </row>
    <row r="4719" spans="1:2">
      <c r="A4719" s="112">
        <v>42356</v>
      </c>
      <c r="B4719" s="1">
        <f t="shared" si="73"/>
        <v>7</v>
      </c>
    </row>
    <row r="4720" spans="1:2">
      <c r="A4720" s="112">
        <v>42357</v>
      </c>
      <c r="B4720" s="1">
        <f t="shared" si="73"/>
        <v>8</v>
      </c>
    </row>
    <row r="4721" spans="1:2">
      <c r="A4721" s="112">
        <v>42358</v>
      </c>
      <c r="B4721" s="1">
        <f t="shared" si="73"/>
        <v>9</v>
      </c>
    </row>
    <row r="4722" spans="1:2">
      <c r="A4722" s="112">
        <v>42359</v>
      </c>
      <c r="B4722" s="1">
        <f t="shared" si="73"/>
        <v>10</v>
      </c>
    </row>
    <row r="4723" spans="1:2">
      <c r="A4723" s="112">
        <v>42360</v>
      </c>
      <c r="B4723" s="1">
        <f t="shared" si="73"/>
        <v>11</v>
      </c>
    </row>
    <row r="4724" spans="1:2">
      <c r="A4724" s="112">
        <v>42361</v>
      </c>
      <c r="B4724" s="1">
        <f t="shared" si="73"/>
        <v>12</v>
      </c>
    </row>
    <row r="4725" spans="1:2">
      <c r="A4725" s="112">
        <v>42362</v>
      </c>
      <c r="B4725" s="1">
        <f t="shared" si="73"/>
        <v>13</v>
      </c>
    </row>
    <row r="4726" spans="1:2">
      <c r="A4726" s="112">
        <v>42363</v>
      </c>
      <c r="B4726" s="1">
        <f t="shared" si="73"/>
        <v>14</v>
      </c>
    </row>
    <row r="4727" spans="1:2">
      <c r="A4727" s="112">
        <v>42364</v>
      </c>
      <c r="B4727" s="1">
        <f t="shared" si="73"/>
        <v>15</v>
      </c>
    </row>
    <row r="4728" spans="1:2">
      <c r="A4728" s="112">
        <v>42365</v>
      </c>
      <c r="B4728" s="1">
        <f t="shared" si="73"/>
        <v>16</v>
      </c>
    </row>
    <row r="4729" spans="1:2">
      <c r="A4729" s="112">
        <v>42366</v>
      </c>
      <c r="B4729" s="1">
        <f t="shared" si="73"/>
        <v>17</v>
      </c>
    </row>
    <row r="4730" spans="1:2">
      <c r="A4730" s="112">
        <v>42367</v>
      </c>
      <c r="B4730" s="1">
        <f t="shared" si="73"/>
        <v>18</v>
      </c>
    </row>
    <row r="4731" spans="1:2">
      <c r="A4731" s="112">
        <v>42368</v>
      </c>
      <c r="B4731" s="1">
        <f t="shared" si="73"/>
        <v>19</v>
      </c>
    </row>
    <row r="4732" spans="1:2">
      <c r="A4732" s="112">
        <v>42369</v>
      </c>
      <c r="B4732" s="1">
        <f t="shared" si="73"/>
        <v>20</v>
      </c>
    </row>
    <row r="4733" spans="1:2">
      <c r="A4733" s="112">
        <v>42370</v>
      </c>
      <c r="B4733" s="1">
        <f t="shared" si="73"/>
        <v>21</v>
      </c>
    </row>
    <row r="4734" spans="1:2">
      <c r="A4734" s="112">
        <v>42371</v>
      </c>
      <c r="B4734" s="1">
        <f t="shared" si="73"/>
        <v>22</v>
      </c>
    </row>
    <row r="4735" spans="1:2">
      <c r="A4735" s="112">
        <v>42372</v>
      </c>
      <c r="B4735" s="1">
        <f t="shared" si="73"/>
        <v>23</v>
      </c>
    </row>
    <row r="4736" spans="1:2">
      <c r="A4736" s="112">
        <v>42373</v>
      </c>
      <c r="B4736" s="1">
        <f t="shared" si="73"/>
        <v>24</v>
      </c>
    </row>
    <row r="4737" spans="1:2">
      <c r="A4737" s="112">
        <v>42374</v>
      </c>
      <c r="B4737" s="1">
        <f t="shared" si="73"/>
        <v>25</v>
      </c>
    </row>
    <row r="4738" spans="1:2">
      <c r="A4738" s="112">
        <v>42375</v>
      </c>
      <c r="B4738" s="1">
        <f t="shared" si="73"/>
        <v>26</v>
      </c>
    </row>
    <row r="4739" spans="1:2">
      <c r="A4739" s="112">
        <v>42376</v>
      </c>
      <c r="B4739" s="1">
        <f t="shared" ref="B4739:B4802" si="74">INT(MOD($G$2+A4739-$F$2,29.53))</f>
        <v>27</v>
      </c>
    </row>
    <row r="4740" spans="1:2">
      <c r="A4740" s="112">
        <v>42377</v>
      </c>
      <c r="B4740" s="1">
        <f t="shared" si="74"/>
        <v>28</v>
      </c>
    </row>
    <row r="4741" spans="1:2">
      <c r="A4741" s="112">
        <v>42378</v>
      </c>
      <c r="B4741" s="1">
        <f t="shared" si="74"/>
        <v>29</v>
      </c>
    </row>
    <row r="4742" spans="1:2">
      <c r="A4742" s="112">
        <v>42379</v>
      </c>
      <c r="B4742" s="1">
        <f t="shared" si="74"/>
        <v>0</v>
      </c>
    </row>
    <row r="4743" spans="1:2">
      <c r="A4743" s="112">
        <v>42380</v>
      </c>
      <c r="B4743" s="1">
        <f t="shared" si="74"/>
        <v>1</v>
      </c>
    </row>
    <row r="4744" spans="1:2">
      <c r="A4744" s="112">
        <v>42381</v>
      </c>
      <c r="B4744" s="1">
        <f t="shared" si="74"/>
        <v>2</v>
      </c>
    </row>
    <row r="4745" spans="1:2">
      <c r="A4745" s="112">
        <v>42382</v>
      </c>
      <c r="B4745" s="1">
        <f t="shared" si="74"/>
        <v>3</v>
      </c>
    </row>
    <row r="4746" spans="1:2">
      <c r="A4746" s="112">
        <v>42383</v>
      </c>
      <c r="B4746" s="1">
        <f t="shared" si="74"/>
        <v>4</v>
      </c>
    </row>
    <row r="4747" spans="1:2">
      <c r="A4747" s="112">
        <v>42384</v>
      </c>
      <c r="B4747" s="1">
        <f t="shared" si="74"/>
        <v>5</v>
      </c>
    </row>
    <row r="4748" spans="1:2">
      <c r="A4748" s="112">
        <v>42385</v>
      </c>
      <c r="B4748" s="1">
        <f t="shared" si="74"/>
        <v>6</v>
      </c>
    </row>
    <row r="4749" spans="1:2">
      <c r="A4749" s="112">
        <v>42386</v>
      </c>
      <c r="B4749" s="1">
        <f t="shared" si="74"/>
        <v>7</v>
      </c>
    </row>
    <row r="4750" spans="1:2">
      <c r="A4750" s="112">
        <v>42387</v>
      </c>
      <c r="B4750" s="1">
        <f t="shared" si="74"/>
        <v>8</v>
      </c>
    </row>
    <row r="4751" spans="1:2">
      <c r="A4751" s="112">
        <v>42388</v>
      </c>
      <c r="B4751" s="1">
        <f t="shared" si="74"/>
        <v>9</v>
      </c>
    </row>
    <row r="4752" spans="1:2">
      <c r="A4752" s="112">
        <v>42389</v>
      </c>
      <c r="B4752" s="1">
        <f t="shared" si="74"/>
        <v>10</v>
      </c>
    </row>
    <row r="4753" spans="1:2">
      <c r="A4753" s="112">
        <v>42390</v>
      </c>
      <c r="B4753" s="1">
        <f t="shared" si="74"/>
        <v>11</v>
      </c>
    </row>
    <row r="4754" spans="1:2">
      <c r="A4754" s="112">
        <v>42391</v>
      </c>
      <c r="B4754" s="1">
        <f t="shared" si="74"/>
        <v>12</v>
      </c>
    </row>
    <row r="4755" spans="1:2">
      <c r="A4755" s="112">
        <v>42392</v>
      </c>
      <c r="B4755" s="1">
        <f t="shared" si="74"/>
        <v>13</v>
      </c>
    </row>
    <row r="4756" spans="1:2">
      <c r="A4756" s="112">
        <v>42393</v>
      </c>
      <c r="B4756" s="1">
        <f t="shared" si="74"/>
        <v>14</v>
      </c>
    </row>
    <row r="4757" spans="1:2">
      <c r="A4757" s="112">
        <v>42394</v>
      </c>
      <c r="B4757" s="1">
        <f t="shared" si="74"/>
        <v>15</v>
      </c>
    </row>
    <row r="4758" spans="1:2">
      <c r="A4758" s="112">
        <v>42395</v>
      </c>
      <c r="B4758" s="1">
        <f t="shared" si="74"/>
        <v>16</v>
      </c>
    </row>
    <row r="4759" spans="1:2">
      <c r="A4759" s="112">
        <v>42396</v>
      </c>
      <c r="B4759" s="1">
        <f t="shared" si="74"/>
        <v>17</v>
      </c>
    </row>
    <row r="4760" spans="1:2">
      <c r="A4760" s="112">
        <v>42397</v>
      </c>
      <c r="B4760" s="1">
        <f t="shared" si="74"/>
        <v>18</v>
      </c>
    </row>
    <row r="4761" spans="1:2">
      <c r="A4761" s="112">
        <v>42398</v>
      </c>
      <c r="B4761" s="1">
        <f t="shared" si="74"/>
        <v>19</v>
      </c>
    </row>
    <row r="4762" spans="1:2">
      <c r="A4762" s="112">
        <v>42399</v>
      </c>
      <c r="B4762" s="1">
        <f t="shared" si="74"/>
        <v>20</v>
      </c>
    </row>
    <row r="4763" spans="1:2">
      <c r="A4763" s="112">
        <v>42400</v>
      </c>
      <c r="B4763" s="1">
        <f t="shared" si="74"/>
        <v>21</v>
      </c>
    </row>
    <row r="4764" spans="1:2">
      <c r="A4764" s="112">
        <v>42401</v>
      </c>
      <c r="B4764" s="1">
        <f t="shared" si="74"/>
        <v>22</v>
      </c>
    </row>
    <row r="4765" spans="1:2">
      <c r="A4765" s="112">
        <v>42402</v>
      </c>
      <c r="B4765" s="1">
        <f t="shared" si="74"/>
        <v>23</v>
      </c>
    </row>
    <row r="4766" spans="1:2">
      <c r="A4766" s="112">
        <v>42403</v>
      </c>
      <c r="B4766" s="1">
        <f t="shared" si="74"/>
        <v>24</v>
      </c>
    </row>
    <row r="4767" spans="1:2">
      <c r="A4767" s="112">
        <v>42404</v>
      </c>
      <c r="B4767" s="1">
        <f t="shared" si="74"/>
        <v>25</v>
      </c>
    </row>
    <row r="4768" spans="1:2">
      <c r="A4768" s="112">
        <v>42405</v>
      </c>
      <c r="B4768" s="1">
        <f t="shared" si="74"/>
        <v>26</v>
      </c>
    </row>
    <row r="4769" spans="1:2">
      <c r="A4769" s="112">
        <v>42406</v>
      </c>
      <c r="B4769" s="1">
        <f t="shared" si="74"/>
        <v>27</v>
      </c>
    </row>
    <row r="4770" spans="1:2">
      <c r="A4770" s="112">
        <v>42407</v>
      </c>
      <c r="B4770" s="1">
        <f t="shared" si="74"/>
        <v>28</v>
      </c>
    </row>
    <row r="4771" spans="1:2">
      <c r="A4771" s="112">
        <v>42408</v>
      </c>
      <c r="B4771" s="1">
        <f t="shared" si="74"/>
        <v>0</v>
      </c>
    </row>
    <row r="4772" spans="1:2">
      <c r="A4772" s="112">
        <v>42409</v>
      </c>
      <c r="B4772" s="1">
        <f t="shared" si="74"/>
        <v>1</v>
      </c>
    </row>
    <row r="4773" spans="1:2">
      <c r="A4773" s="112">
        <v>42410</v>
      </c>
      <c r="B4773" s="1">
        <f t="shared" si="74"/>
        <v>2</v>
      </c>
    </row>
    <row r="4774" spans="1:2">
      <c r="A4774" s="112">
        <v>42411</v>
      </c>
      <c r="B4774" s="1">
        <f t="shared" si="74"/>
        <v>3</v>
      </c>
    </row>
    <row r="4775" spans="1:2">
      <c r="A4775" s="112">
        <v>42412</v>
      </c>
      <c r="B4775" s="1">
        <f t="shared" si="74"/>
        <v>4</v>
      </c>
    </row>
    <row r="4776" spans="1:2">
      <c r="A4776" s="112">
        <v>42413</v>
      </c>
      <c r="B4776" s="1">
        <f t="shared" si="74"/>
        <v>5</v>
      </c>
    </row>
    <row r="4777" spans="1:2">
      <c r="A4777" s="112">
        <v>42414</v>
      </c>
      <c r="B4777" s="1">
        <f t="shared" si="74"/>
        <v>6</v>
      </c>
    </row>
    <row r="4778" spans="1:2">
      <c r="A4778" s="112">
        <v>42415</v>
      </c>
      <c r="B4778" s="1">
        <f t="shared" si="74"/>
        <v>7</v>
      </c>
    </row>
    <row r="4779" spans="1:2">
      <c r="A4779" s="112">
        <v>42416</v>
      </c>
      <c r="B4779" s="1">
        <f t="shared" si="74"/>
        <v>8</v>
      </c>
    </row>
    <row r="4780" spans="1:2">
      <c r="A4780" s="112">
        <v>42417</v>
      </c>
      <c r="B4780" s="1">
        <f t="shared" si="74"/>
        <v>9</v>
      </c>
    </row>
    <row r="4781" spans="1:2">
      <c r="A4781" s="112">
        <v>42418</v>
      </c>
      <c r="B4781" s="1">
        <f t="shared" si="74"/>
        <v>10</v>
      </c>
    </row>
    <row r="4782" spans="1:2">
      <c r="A4782" s="112">
        <v>42419</v>
      </c>
      <c r="B4782" s="1">
        <f t="shared" si="74"/>
        <v>11</v>
      </c>
    </row>
    <row r="4783" spans="1:2">
      <c r="A4783" s="112">
        <v>42420</v>
      </c>
      <c r="B4783" s="1">
        <f t="shared" si="74"/>
        <v>12</v>
      </c>
    </row>
    <row r="4784" spans="1:2">
      <c r="A4784" s="112">
        <v>42421</v>
      </c>
      <c r="B4784" s="1">
        <f t="shared" si="74"/>
        <v>13</v>
      </c>
    </row>
    <row r="4785" spans="1:2">
      <c r="A4785" s="112">
        <v>42422</v>
      </c>
      <c r="B4785" s="1">
        <f t="shared" si="74"/>
        <v>14</v>
      </c>
    </row>
    <row r="4786" spans="1:2">
      <c r="A4786" s="112">
        <v>42423</v>
      </c>
      <c r="B4786" s="1">
        <f t="shared" si="74"/>
        <v>15</v>
      </c>
    </row>
    <row r="4787" spans="1:2">
      <c r="A4787" s="112">
        <v>42424</v>
      </c>
      <c r="B4787" s="1">
        <f t="shared" si="74"/>
        <v>16</v>
      </c>
    </row>
    <row r="4788" spans="1:2">
      <c r="A4788" s="112">
        <v>42425</v>
      </c>
      <c r="B4788" s="1">
        <f t="shared" si="74"/>
        <v>17</v>
      </c>
    </row>
    <row r="4789" spans="1:2">
      <c r="A4789" s="112">
        <v>42426</v>
      </c>
      <c r="B4789" s="1">
        <f t="shared" si="74"/>
        <v>18</v>
      </c>
    </row>
    <row r="4790" spans="1:2">
      <c r="A4790" s="112">
        <v>42427</v>
      </c>
      <c r="B4790" s="1">
        <f t="shared" si="74"/>
        <v>19</v>
      </c>
    </row>
    <row r="4791" spans="1:2">
      <c r="A4791" s="112">
        <v>42428</v>
      </c>
      <c r="B4791" s="1">
        <f t="shared" si="74"/>
        <v>20</v>
      </c>
    </row>
    <row r="4792" spans="1:2">
      <c r="A4792" s="112">
        <v>42429</v>
      </c>
      <c r="B4792" s="1">
        <f t="shared" si="74"/>
        <v>21</v>
      </c>
    </row>
    <row r="4793" spans="1:2">
      <c r="A4793" s="112">
        <v>42430</v>
      </c>
      <c r="B4793" s="1">
        <f t="shared" si="74"/>
        <v>22</v>
      </c>
    </row>
    <row r="4794" spans="1:2">
      <c r="A4794" s="112">
        <v>42431</v>
      </c>
      <c r="B4794" s="1">
        <f t="shared" si="74"/>
        <v>23</v>
      </c>
    </row>
    <row r="4795" spans="1:2">
      <c r="A4795" s="112">
        <v>42432</v>
      </c>
      <c r="B4795" s="1">
        <f t="shared" si="74"/>
        <v>24</v>
      </c>
    </row>
    <row r="4796" spans="1:2">
      <c r="A4796" s="112">
        <v>42433</v>
      </c>
      <c r="B4796" s="1">
        <f t="shared" si="74"/>
        <v>25</v>
      </c>
    </row>
    <row r="4797" spans="1:2">
      <c r="A4797" s="112">
        <v>42434</v>
      </c>
      <c r="B4797" s="1">
        <f t="shared" si="74"/>
        <v>26</v>
      </c>
    </row>
    <row r="4798" spans="1:2">
      <c r="A4798" s="112">
        <v>42435</v>
      </c>
      <c r="B4798" s="1">
        <f t="shared" si="74"/>
        <v>27</v>
      </c>
    </row>
    <row r="4799" spans="1:2">
      <c r="A4799" s="112">
        <v>42436</v>
      </c>
      <c r="B4799" s="1">
        <f t="shared" si="74"/>
        <v>28</v>
      </c>
    </row>
    <row r="4800" spans="1:2">
      <c r="A4800" s="112">
        <v>42437</v>
      </c>
      <c r="B4800" s="1">
        <f t="shared" si="74"/>
        <v>29</v>
      </c>
    </row>
    <row r="4801" spans="1:2">
      <c r="A4801" s="112">
        <v>42438</v>
      </c>
      <c r="B4801" s="1">
        <f t="shared" si="74"/>
        <v>0</v>
      </c>
    </row>
    <row r="4802" spans="1:2">
      <c r="A4802" s="112">
        <v>42439</v>
      </c>
      <c r="B4802" s="1">
        <f t="shared" si="74"/>
        <v>1</v>
      </c>
    </row>
    <row r="4803" spans="1:2">
      <c r="A4803" s="112">
        <v>42440</v>
      </c>
      <c r="B4803" s="1">
        <f t="shared" ref="B4803:B4866" si="75">INT(MOD($G$2+A4803-$F$2,29.53))</f>
        <v>2</v>
      </c>
    </row>
    <row r="4804" spans="1:2">
      <c r="A4804" s="112">
        <v>42441</v>
      </c>
      <c r="B4804" s="1">
        <f t="shared" si="75"/>
        <v>3</v>
      </c>
    </row>
    <row r="4805" spans="1:2">
      <c r="A4805" s="112">
        <v>42442</v>
      </c>
      <c r="B4805" s="1">
        <f t="shared" si="75"/>
        <v>4</v>
      </c>
    </row>
    <row r="4806" spans="1:2">
      <c r="A4806" s="112">
        <v>42443</v>
      </c>
      <c r="B4806" s="1">
        <f t="shared" si="75"/>
        <v>5</v>
      </c>
    </row>
    <row r="4807" spans="1:2">
      <c r="A4807" s="112">
        <v>42444</v>
      </c>
      <c r="B4807" s="1">
        <f t="shared" si="75"/>
        <v>6</v>
      </c>
    </row>
    <row r="4808" spans="1:2">
      <c r="A4808" s="112">
        <v>42445</v>
      </c>
      <c r="B4808" s="1">
        <f t="shared" si="75"/>
        <v>7</v>
      </c>
    </row>
    <row r="4809" spans="1:2">
      <c r="A4809" s="112">
        <v>42446</v>
      </c>
      <c r="B4809" s="1">
        <f t="shared" si="75"/>
        <v>8</v>
      </c>
    </row>
    <row r="4810" spans="1:2">
      <c r="A4810" s="112">
        <v>42447</v>
      </c>
      <c r="B4810" s="1">
        <f t="shared" si="75"/>
        <v>9</v>
      </c>
    </row>
    <row r="4811" spans="1:2">
      <c r="A4811" s="112">
        <v>42448</v>
      </c>
      <c r="B4811" s="1">
        <f t="shared" si="75"/>
        <v>10</v>
      </c>
    </row>
    <row r="4812" spans="1:2">
      <c r="A4812" s="112">
        <v>42449</v>
      </c>
      <c r="B4812" s="1">
        <f t="shared" si="75"/>
        <v>11</v>
      </c>
    </row>
    <row r="4813" spans="1:2">
      <c r="A4813" s="112">
        <v>42450</v>
      </c>
      <c r="B4813" s="1">
        <f t="shared" si="75"/>
        <v>12</v>
      </c>
    </row>
    <row r="4814" spans="1:2">
      <c r="A4814" s="112">
        <v>42451</v>
      </c>
      <c r="B4814" s="1">
        <f t="shared" si="75"/>
        <v>13</v>
      </c>
    </row>
    <row r="4815" spans="1:2">
      <c r="A4815" s="112">
        <v>42452</v>
      </c>
      <c r="B4815" s="1">
        <f t="shared" si="75"/>
        <v>14</v>
      </c>
    </row>
    <row r="4816" spans="1:2">
      <c r="A4816" s="112">
        <v>42453</v>
      </c>
      <c r="B4816" s="1">
        <f t="shared" si="75"/>
        <v>15</v>
      </c>
    </row>
    <row r="4817" spans="1:2">
      <c r="A4817" s="112">
        <v>42454</v>
      </c>
      <c r="B4817" s="1">
        <f t="shared" si="75"/>
        <v>16</v>
      </c>
    </row>
    <row r="4818" spans="1:2">
      <c r="A4818" s="112">
        <v>42455</v>
      </c>
      <c r="B4818" s="1">
        <f t="shared" si="75"/>
        <v>17</v>
      </c>
    </row>
    <row r="4819" spans="1:2">
      <c r="A4819" s="112">
        <v>42456</v>
      </c>
      <c r="B4819" s="1">
        <f t="shared" si="75"/>
        <v>18</v>
      </c>
    </row>
    <row r="4820" spans="1:2">
      <c r="A4820" s="112">
        <v>42457</v>
      </c>
      <c r="B4820" s="1">
        <f t="shared" si="75"/>
        <v>19</v>
      </c>
    </row>
    <row r="4821" spans="1:2">
      <c r="A4821" s="112">
        <v>42458</v>
      </c>
      <c r="B4821" s="1">
        <f t="shared" si="75"/>
        <v>20</v>
      </c>
    </row>
    <row r="4822" spans="1:2">
      <c r="A4822" s="112">
        <v>42459</v>
      </c>
      <c r="B4822" s="1">
        <f t="shared" si="75"/>
        <v>21</v>
      </c>
    </row>
    <row r="4823" spans="1:2">
      <c r="A4823" s="112">
        <v>42460</v>
      </c>
      <c r="B4823" s="1">
        <f t="shared" si="75"/>
        <v>22</v>
      </c>
    </row>
    <row r="4824" spans="1:2">
      <c r="A4824" s="112">
        <v>42461</v>
      </c>
      <c r="B4824" s="1">
        <f t="shared" si="75"/>
        <v>23</v>
      </c>
    </row>
    <row r="4825" spans="1:2">
      <c r="A4825" s="112">
        <v>42462</v>
      </c>
      <c r="B4825" s="1">
        <f t="shared" si="75"/>
        <v>24</v>
      </c>
    </row>
    <row r="4826" spans="1:2">
      <c r="A4826" s="112">
        <v>42463</v>
      </c>
      <c r="B4826" s="1">
        <f t="shared" si="75"/>
        <v>25</v>
      </c>
    </row>
    <row r="4827" spans="1:2">
      <c r="A4827" s="112">
        <v>42464</v>
      </c>
      <c r="B4827" s="1">
        <f t="shared" si="75"/>
        <v>26</v>
      </c>
    </row>
    <row r="4828" spans="1:2">
      <c r="A4828" s="112">
        <v>42465</v>
      </c>
      <c r="B4828" s="1">
        <f t="shared" si="75"/>
        <v>27</v>
      </c>
    </row>
    <row r="4829" spans="1:2">
      <c r="A4829" s="112">
        <v>42466</v>
      </c>
      <c r="B4829" s="1">
        <f t="shared" si="75"/>
        <v>28</v>
      </c>
    </row>
    <row r="4830" spans="1:2">
      <c r="A4830" s="112">
        <v>42467</v>
      </c>
      <c r="B4830" s="1">
        <f t="shared" si="75"/>
        <v>0</v>
      </c>
    </row>
    <row r="4831" spans="1:2">
      <c r="A4831" s="112">
        <v>42468</v>
      </c>
      <c r="B4831" s="1">
        <f t="shared" si="75"/>
        <v>1</v>
      </c>
    </row>
    <row r="4832" spans="1:2">
      <c r="A4832" s="112">
        <v>42469</v>
      </c>
      <c r="B4832" s="1">
        <f t="shared" si="75"/>
        <v>2</v>
      </c>
    </row>
    <row r="4833" spans="1:2">
      <c r="A4833" s="112">
        <v>42470</v>
      </c>
      <c r="B4833" s="1">
        <f t="shared" si="75"/>
        <v>3</v>
      </c>
    </row>
    <row r="4834" spans="1:2">
      <c r="A4834" s="112">
        <v>42471</v>
      </c>
      <c r="B4834" s="1">
        <f t="shared" si="75"/>
        <v>4</v>
      </c>
    </row>
    <row r="4835" spans="1:2">
      <c r="A4835" s="112">
        <v>42472</v>
      </c>
      <c r="B4835" s="1">
        <f t="shared" si="75"/>
        <v>5</v>
      </c>
    </row>
    <row r="4836" spans="1:2">
      <c r="A4836" s="112">
        <v>42473</v>
      </c>
      <c r="B4836" s="1">
        <f t="shared" si="75"/>
        <v>6</v>
      </c>
    </row>
    <row r="4837" spans="1:2">
      <c r="A4837" s="112">
        <v>42474</v>
      </c>
      <c r="B4837" s="1">
        <f t="shared" si="75"/>
        <v>7</v>
      </c>
    </row>
    <row r="4838" spans="1:2">
      <c r="A4838" s="112">
        <v>42475</v>
      </c>
      <c r="B4838" s="1">
        <f t="shared" si="75"/>
        <v>8</v>
      </c>
    </row>
    <row r="4839" spans="1:2">
      <c r="A4839" s="112">
        <v>42476</v>
      </c>
      <c r="B4839" s="1">
        <f t="shared" si="75"/>
        <v>9</v>
      </c>
    </row>
    <row r="4840" spans="1:2">
      <c r="A4840" s="112">
        <v>42477</v>
      </c>
      <c r="B4840" s="1">
        <f t="shared" si="75"/>
        <v>10</v>
      </c>
    </row>
    <row r="4841" spans="1:2">
      <c r="A4841" s="112">
        <v>42478</v>
      </c>
      <c r="B4841" s="1">
        <f t="shared" si="75"/>
        <v>11</v>
      </c>
    </row>
    <row r="4842" spans="1:2">
      <c r="A4842" s="112">
        <v>42479</v>
      </c>
      <c r="B4842" s="1">
        <f t="shared" si="75"/>
        <v>12</v>
      </c>
    </row>
    <row r="4843" spans="1:2">
      <c r="A4843" s="112">
        <v>42480</v>
      </c>
      <c r="B4843" s="1">
        <f t="shared" si="75"/>
        <v>13</v>
      </c>
    </row>
    <row r="4844" spans="1:2">
      <c r="A4844" s="112">
        <v>42481</v>
      </c>
      <c r="B4844" s="1">
        <f t="shared" si="75"/>
        <v>14</v>
      </c>
    </row>
    <row r="4845" spans="1:2">
      <c r="A4845" s="112">
        <v>42482</v>
      </c>
      <c r="B4845" s="1">
        <f t="shared" si="75"/>
        <v>15</v>
      </c>
    </row>
    <row r="4846" spans="1:2">
      <c r="A4846" s="112">
        <v>42483</v>
      </c>
      <c r="B4846" s="1">
        <f t="shared" si="75"/>
        <v>16</v>
      </c>
    </row>
    <row r="4847" spans="1:2">
      <c r="A4847" s="112">
        <v>42484</v>
      </c>
      <c r="B4847" s="1">
        <f t="shared" si="75"/>
        <v>17</v>
      </c>
    </row>
    <row r="4848" spans="1:2">
      <c r="A4848" s="112">
        <v>42485</v>
      </c>
      <c r="B4848" s="1">
        <f t="shared" si="75"/>
        <v>18</v>
      </c>
    </row>
    <row r="4849" spans="1:2">
      <c r="A4849" s="112">
        <v>42486</v>
      </c>
      <c r="B4849" s="1">
        <f t="shared" si="75"/>
        <v>19</v>
      </c>
    </row>
    <row r="4850" spans="1:2">
      <c r="A4850" s="112">
        <v>42487</v>
      </c>
      <c r="B4850" s="1">
        <f t="shared" si="75"/>
        <v>20</v>
      </c>
    </row>
    <row r="4851" spans="1:2">
      <c r="A4851" s="112">
        <v>42488</v>
      </c>
      <c r="B4851" s="1">
        <f t="shared" si="75"/>
        <v>21</v>
      </c>
    </row>
    <row r="4852" spans="1:2">
      <c r="A4852" s="112">
        <v>42489</v>
      </c>
      <c r="B4852" s="1">
        <f t="shared" si="75"/>
        <v>22</v>
      </c>
    </row>
    <row r="4853" spans="1:2">
      <c r="A4853" s="112">
        <v>42490</v>
      </c>
      <c r="B4853" s="1">
        <f t="shared" si="75"/>
        <v>23</v>
      </c>
    </row>
    <row r="4854" spans="1:2">
      <c r="A4854" s="112">
        <v>42491</v>
      </c>
      <c r="B4854" s="1">
        <f t="shared" si="75"/>
        <v>24</v>
      </c>
    </row>
    <row r="4855" spans="1:2">
      <c r="A4855" s="112">
        <v>42492</v>
      </c>
      <c r="B4855" s="1">
        <f t="shared" si="75"/>
        <v>25</v>
      </c>
    </row>
    <row r="4856" spans="1:2">
      <c r="A4856" s="112">
        <v>42493</v>
      </c>
      <c r="B4856" s="1">
        <f t="shared" si="75"/>
        <v>26</v>
      </c>
    </row>
    <row r="4857" spans="1:2">
      <c r="A4857" s="112">
        <v>42494</v>
      </c>
      <c r="B4857" s="1">
        <f t="shared" si="75"/>
        <v>27</v>
      </c>
    </row>
    <row r="4858" spans="1:2">
      <c r="A4858" s="112">
        <v>42495</v>
      </c>
      <c r="B4858" s="1">
        <f t="shared" si="75"/>
        <v>28</v>
      </c>
    </row>
    <row r="4859" spans="1:2">
      <c r="A4859" s="112">
        <v>42496</v>
      </c>
      <c r="B4859" s="1">
        <f t="shared" si="75"/>
        <v>29</v>
      </c>
    </row>
    <row r="4860" spans="1:2">
      <c r="A4860" s="112">
        <v>42497</v>
      </c>
      <c r="B4860" s="1">
        <f t="shared" si="75"/>
        <v>0</v>
      </c>
    </row>
    <row r="4861" spans="1:2">
      <c r="A4861" s="112">
        <v>42498</v>
      </c>
      <c r="B4861" s="1">
        <f t="shared" si="75"/>
        <v>1</v>
      </c>
    </row>
    <row r="4862" spans="1:2">
      <c r="A4862" s="112">
        <v>42499</v>
      </c>
      <c r="B4862" s="1">
        <f t="shared" si="75"/>
        <v>2</v>
      </c>
    </row>
    <row r="4863" spans="1:2">
      <c r="A4863" s="112">
        <v>42500</v>
      </c>
      <c r="B4863" s="1">
        <f t="shared" si="75"/>
        <v>3</v>
      </c>
    </row>
    <row r="4864" spans="1:2">
      <c r="A4864" s="112">
        <v>42501</v>
      </c>
      <c r="B4864" s="1">
        <f t="shared" si="75"/>
        <v>4</v>
      </c>
    </row>
    <row r="4865" spans="1:2">
      <c r="A4865" s="112">
        <v>42502</v>
      </c>
      <c r="B4865" s="1">
        <f t="shared" si="75"/>
        <v>5</v>
      </c>
    </row>
    <row r="4866" spans="1:2">
      <c r="A4866" s="112">
        <v>42503</v>
      </c>
      <c r="B4866" s="1">
        <f t="shared" si="75"/>
        <v>6</v>
      </c>
    </row>
    <row r="4867" spans="1:2">
      <c r="A4867" s="112">
        <v>42504</v>
      </c>
      <c r="B4867" s="1">
        <f t="shared" ref="B4867:B4930" si="76">INT(MOD($G$2+A4867-$F$2,29.53))</f>
        <v>7</v>
      </c>
    </row>
    <row r="4868" spans="1:2">
      <c r="A4868" s="112">
        <v>42505</v>
      </c>
      <c r="B4868" s="1">
        <f t="shared" si="76"/>
        <v>8</v>
      </c>
    </row>
    <row r="4869" spans="1:2">
      <c r="A4869" s="112">
        <v>42506</v>
      </c>
      <c r="B4869" s="1">
        <f t="shared" si="76"/>
        <v>9</v>
      </c>
    </row>
    <row r="4870" spans="1:2">
      <c r="A4870" s="112">
        <v>42507</v>
      </c>
      <c r="B4870" s="1">
        <f t="shared" si="76"/>
        <v>10</v>
      </c>
    </row>
    <row r="4871" spans="1:2">
      <c r="A4871" s="112">
        <v>42508</v>
      </c>
      <c r="B4871" s="1">
        <f t="shared" si="76"/>
        <v>11</v>
      </c>
    </row>
    <row r="4872" spans="1:2">
      <c r="A4872" s="112">
        <v>42509</v>
      </c>
      <c r="B4872" s="1">
        <f t="shared" si="76"/>
        <v>12</v>
      </c>
    </row>
    <row r="4873" spans="1:2">
      <c r="A4873" s="112">
        <v>42510</v>
      </c>
      <c r="B4873" s="1">
        <f t="shared" si="76"/>
        <v>13</v>
      </c>
    </row>
    <row r="4874" spans="1:2">
      <c r="A4874" s="112">
        <v>42511</v>
      </c>
      <c r="B4874" s="1">
        <f t="shared" si="76"/>
        <v>14</v>
      </c>
    </row>
    <row r="4875" spans="1:2">
      <c r="A4875" s="112">
        <v>42512</v>
      </c>
      <c r="B4875" s="1">
        <f t="shared" si="76"/>
        <v>15</v>
      </c>
    </row>
    <row r="4876" spans="1:2">
      <c r="A4876" s="112">
        <v>42513</v>
      </c>
      <c r="B4876" s="1">
        <f t="shared" si="76"/>
        <v>16</v>
      </c>
    </row>
    <row r="4877" spans="1:2">
      <c r="A4877" s="112">
        <v>42514</v>
      </c>
      <c r="B4877" s="1">
        <f t="shared" si="76"/>
        <v>17</v>
      </c>
    </row>
    <row r="4878" spans="1:2">
      <c r="A4878" s="112">
        <v>42515</v>
      </c>
      <c r="B4878" s="1">
        <f t="shared" si="76"/>
        <v>18</v>
      </c>
    </row>
    <row r="4879" spans="1:2">
      <c r="A4879" s="112">
        <v>42516</v>
      </c>
      <c r="B4879" s="1">
        <f t="shared" si="76"/>
        <v>19</v>
      </c>
    </row>
    <row r="4880" spans="1:2">
      <c r="A4880" s="112">
        <v>42517</v>
      </c>
      <c r="B4880" s="1">
        <f t="shared" si="76"/>
        <v>20</v>
      </c>
    </row>
    <row r="4881" spans="1:2">
      <c r="A4881" s="112">
        <v>42518</v>
      </c>
      <c r="B4881" s="1">
        <f t="shared" si="76"/>
        <v>21</v>
      </c>
    </row>
    <row r="4882" spans="1:2">
      <c r="A4882" s="112">
        <v>42519</v>
      </c>
      <c r="B4882" s="1">
        <f t="shared" si="76"/>
        <v>22</v>
      </c>
    </row>
    <row r="4883" spans="1:2">
      <c r="A4883" s="112">
        <v>42520</v>
      </c>
      <c r="B4883" s="1">
        <f t="shared" si="76"/>
        <v>23</v>
      </c>
    </row>
    <row r="4884" spans="1:2">
      <c r="A4884" s="112">
        <v>42521</v>
      </c>
      <c r="B4884" s="1">
        <f t="shared" si="76"/>
        <v>24</v>
      </c>
    </row>
    <row r="4885" spans="1:2">
      <c r="A4885" s="112">
        <v>42522</v>
      </c>
      <c r="B4885" s="1">
        <f t="shared" si="76"/>
        <v>25</v>
      </c>
    </row>
    <row r="4886" spans="1:2">
      <c r="A4886" s="112">
        <v>42523</v>
      </c>
      <c r="B4886" s="1">
        <f t="shared" si="76"/>
        <v>26</v>
      </c>
    </row>
    <row r="4887" spans="1:2">
      <c r="A4887" s="112">
        <v>42524</v>
      </c>
      <c r="B4887" s="1">
        <f t="shared" si="76"/>
        <v>27</v>
      </c>
    </row>
    <row r="4888" spans="1:2">
      <c r="A4888" s="112">
        <v>42525</v>
      </c>
      <c r="B4888" s="1">
        <f t="shared" si="76"/>
        <v>28</v>
      </c>
    </row>
    <row r="4889" spans="1:2">
      <c r="A4889" s="112">
        <v>42526</v>
      </c>
      <c r="B4889" s="1">
        <f t="shared" si="76"/>
        <v>0</v>
      </c>
    </row>
    <row r="4890" spans="1:2">
      <c r="A4890" s="112">
        <v>42527</v>
      </c>
      <c r="B4890" s="1">
        <f t="shared" si="76"/>
        <v>1</v>
      </c>
    </row>
    <row r="4891" spans="1:2">
      <c r="A4891" s="112">
        <v>42528</v>
      </c>
      <c r="B4891" s="1">
        <f t="shared" si="76"/>
        <v>2</v>
      </c>
    </row>
    <row r="4892" spans="1:2">
      <c r="A4892" s="112">
        <v>42529</v>
      </c>
      <c r="B4892" s="1">
        <f t="shared" si="76"/>
        <v>3</v>
      </c>
    </row>
    <row r="4893" spans="1:2">
      <c r="A4893" s="112">
        <v>42530</v>
      </c>
      <c r="B4893" s="1">
        <f t="shared" si="76"/>
        <v>4</v>
      </c>
    </row>
    <row r="4894" spans="1:2">
      <c r="A4894" s="112">
        <v>42531</v>
      </c>
      <c r="B4894" s="1">
        <f t="shared" si="76"/>
        <v>5</v>
      </c>
    </row>
    <row r="4895" spans="1:2">
      <c r="A4895" s="112">
        <v>42532</v>
      </c>
      <c r="B4895" s="1">
        <f t="shared" si="76"/>
        <v>6</v>
      </c>
    </row>
    <row r="4896" spans="1:2">
      <c r="A4896" s="112">
        <v>42533</v>
      </c>
      <c r="B4896" s="1">
        <f t="shared" si="76"/>
        <v>7</v>
      </c>
    </row>
    <row r="4897" spans="1:2">
      <c r="A4897" s="112">
        <v>42534</v>
      </c>
      <c r="B4897" s="1">
        <f t="shared" si="76"/>
        <v>8</v>
      </c>
    </row>
    <row r="4898" spans="1:2">
      <c r="A4898" s="112">
        <v>42535</v>
      </c>
      <c r="B4898" s="1">
        <f t="shared" si="76"/>
        <v>9</v>
      </c>
    </row>
    <row r="4899" spans="1:2">
      <c r="A4899" s="112">
        <v>42536</v>
      </c>
      <c r="B4899" s="1">
        <f t="shared" si="76"/>
        <v>10</v>
      </c>
    </row>
    <row r="4900" spans="1:2">
      <c r="A4900" s="112">
        <v>42537</v>
      </c>
      <c r="B4900" s="1">
        <f t="shared" si="76"/>
        <v>11</v>
      </c>
    </row>
    <row r="4901" spans="1:2">
      <c r="A4901" s="112">
        <v>42538</v>
      </c>
      <c r="B4901" s="1">
        <f t="shared" si="76"/>
        <v>12</v>
      </c>
    </row>
    <row r="4902" spans="1:2">
      <c r="A4902" s="112">
        <v>42539</v>
      </c>
      <c r="B4902" s="1">
        <f t="shared" si="76"/>
        <v>13</v>
      </c>
    </row>
    <row r="4903" spans="1:2">
      <c r="A4903" s="112">
        <v>42540</v>
      </c>
      <c r="B4903" s="1">
        <f t="shared" si="76"/>
        <v>14</v>
      </c>
    </row>
    <row r="4904" spans="1:2">
      <c r="A4904" s="112">
        <v>42541</v>
      </c>
      <c r="B4904" s="1">
        <f t="shared" si="76"/>
        <v>15</v>
      </c>
    </row>
    <row r="4905" spans="1:2">
      <c r="A4905" s="112">
        <v>42542</v>
      </c>
      <c r="B4905" s="1">
        <f t="shared" si="76"/>
        <v>16</v>
      </c>
    </row>
    <row r="4906" spans="1:2">
      <c r="A4906" s="112">
        <v>42543</v>
      </c>
      <c r="B4906" s="1">
        <f t="shared" si="76"/>
        <v>17</v>
      </c>
    </row>
    <row r="4907" spans="1:2">
      <c r="A4907" s="112">
        <v>42544</v>
      </c>
      <c r="B4907" s="1">
        <f t="shared" si="76"/>
        <v>18</v>
      </c>
    </row>
    <row r="4908" spans="1:2">
      <c r="A4908" s="112">
        <v>42545</v>
      </c>
      <c r="B4908" s="1">
        <f t="shared" si="76"/>
        <v>19</v>
      </c>
    </row>
    <row r="4909" spans="1:2">
      <c r="A4909" s="112">
        <v>42546</v>
      </c>
      <c r="B4909" s="1">
        <f t="shared" si="76"/>
        <v>20</v>
      </c>
    </row>
    <row r="4910" spans="1:2">
      <c r="A4910" s="112">
        <v>42547</v>
      </c>
      <c r="B4910" s="1">
        <f t="shared" si="76"/>
        <v>21</v>
      </c>
    </row>
    <row r="4911" spans="1:2">
      <c r="A4911" s="112">
        <v>42548</v>
      </c>
      <c r="B4911" s="1">
        <f t="shared" si="76"/>
        <v>22</v>
      </c>
    </row>
    <row r="4912" spans="1:2">
      <c r="A4912" s="112">
        <v>42549</v>
      </c>
      <c r="B4912" s="1">
        <f t="shared" si="76"/>
        <v>23</v>
      </c>
    </row>
    <row r="4913" spans="1:2">
      <c r="A4913" s="112">
        <v>42550</v>
      </c>
      <c r="B4913" s="1">
        <f t="shared" si="76"/>
        <v>24</v>
      </c>
    </row>
    <row r="4914" spans="1:2">
      <c r="A4914" s="112">
        <v>42551</v>
      </c>
      <c r="B4914" s="1">
        <f t="shared" si="76"/>
        <v>25</v>
      </c>
    </row>
    <row r="4915" spans="1:2">
      <c r="A4915" s="112">
        <v>42552</v>
      </c>
      <c r="B4915" s="1">
        <f t="shared" si="76"/>
        <v>26</v>
      </c>
    </row>
    <row r="4916" spans="1:2">
      <c r="A4916" s="112">
        <v>42553</v>
      </c>
      <c r="B4916" s="1">
        <f t="shared" si="76"/>
        <v>27</v>
      </c>
    </row>
    <row r="4917" spans="1:2">
      <c r="A4917" s="112">
        <v>42554</v>
      </c>
      <c r="B4917" s="1">
        <f t="shared" si="76"/>
        <v>28</v>
      </c>
    </row>
    <row r="4918" spans="1:2">
      <c r="A4918" s="112">
        <v>42555</v>
      </c>
      <c r="B4918" s="1">
        <f t="shared" si="76"/>
        <v>29</v>
      </c>
    </row>
    <row r="4919" spans="1:2">
      <c r="A4919" s="112">
        <v>42556</v>
      </c>
      <c r="B4919" s="1">
        <f t="shared" si="76"/>
        <v>0</v>
      </c>
    </row>
    <row r="4920" spans="1:2">
      <c r="A4920" s="112">
        <v>42557</v>
      </c>
      <c r="B4920" s="1">
        <f t="shared" si="76"/>
        <v>1</v>
      </c>
    </row>
    <row r="4921" spans="1:2">
      <c r="A4921" s="112">
        <v>42558</v>
      </c>
      <c r="B4921" s="1">
        <f t="shared" si="76"/>
        <v>2</v>
      </c>
    </row>
    <row r="4922" spans="1:2">
      <c r="A4922" s="112">
        <v>42559</v>
      </c>
      <c r="B4922" s="1">
        <f t="shared" si="76"/>
        <v>3</v>
      </c>
    </row>
    <row r="4923" spans="1:2">
      <c r="A4923" s="112">
        <v>42560</v>
      </c>
      <c r="B4923" s="1">
        <f t="shared" si="76"/>
        <v>4</v>
      </c>
    </row>
    <row r="4924" spans="1:2">
      <c r="A4924" s="112">
        <v>42561</v>
      </c>
      <c r="B4924" s="1">
        <f t="shared" si="76"/>
        <v>5</v>
      </c>
    </row>
    <row r="4925" spans="1:2">
      <c r="A4925" s="112">
        <v>42562</v>
      </c>
      <c r="B4925" s="1">
        <f t="shared" si="76"/>
        <v>6</v>
      </c>
    </row>
    <row r="4926" spans="1:2">
      <c r="A4926" s="112">
        <v>42563</v>
      </c>
      <c r="B4926" s="1">
        <f t="shared" si="76"/>
        <v>7</v>
      </c>
    </row>
    <row r="4927" spans="1:2">
      <c r="A4927" s="112">
        <v>42564</v>
      </c>
      <c r="B4927" s="1">
        <f t="shared" si="76"/>
        <v>8</v>
      </c>
    </row>
    <row r="4928" spans="1:2">
      <c r="A4928" s="112">
        <v>42565</v>
      </c>
      <c r="B4928" s="1">
        <f t="shared" si="76"/>
        <v>9</v>
      </c>
    </row>
    <row r="4929" spans="1:2">
      <c r="A4929" s="112">
        <v>42566</v>
      </c>
      <c r="B4929" s="1">
        <f t="shared" si="76"/>
        <v>10</v>
      </c>
    </row>
    <row r="4930" spans="1:2">
      <c r="A4930" s="112">
        <v>42567</v>
      </c>
      <c r="B4930" s="1">
        <f t="shared" si="76"/>
        <v>11</v>
      </c>
    </row>
    <row r="4931" spans="1:2">
      <c r="A4931" s="112">
        <v>42568</v>
      </c>
      <c r="B4931" s="1">
        <f t="shared" ref="B4931:B4994" si="77">INT(MOD($G$2+A4931-$F$2,29.53))</f>
        <v>12</v>
      </c>
    </row>
    <row r="4932" spans="1:2">
      <c r="A4932" s="112">
        <v>42569</v>
      </c>
      <c r="B4932" s="1">
        <f t="shared" si="77"/>
        <v>13</v>
      </c>
    </row>
    <row r="4933" spans="1:2">
      <c r="A4933" s="112">
        <v>42570</v>
      </c>
      <c r="B4933" s="1">
        <f t="shared" si="77"/>
        <v>14</v>
      </c>
    </row>
    <row r="4934" spans="1:2">
      <c r="A4934" s="112">
        <v>42571</v>
      </c>
      <c r="B4934" s="1">
        <f t="shared" si="77"/>
        <v>15</v>
      </c>
    </row>
    <row r="4935" spans="1:2">
      <c r="A4935" s="112">
        <v>42572</v>
      </c>
      <c r="B4935" s="1">
        <f t="shared" si="77"/>
        <v>16</v>
      </c>
    </row>
    <row r="4936" spans="1:2">
      <c r="A4936" s="112">
        <v>42573</v>
      </c>
      <c r="B4936" s="1">
        <f t="shared" si="77"/>
        <v>17</v>
      </c>
    </row>
    <row r="4937" spans="1:2">
      <c r="A4937" s="112">
        <v>42574</v>
      </c>
      <c r="B4937" s="1">
        <f t="shared" si="77"/>
        <v>18</v>
      </c>
    </row>
    <row r="4938" spans="1:2">
      <c r="A4938" s="112">
        <v>42575</v>
      </c>
      <c r="B4938" s="1">
        <f t="shared" si="77"/>
        <v>19</v>
      </c>
    </row>
    <row r="4939" spans="1:2">
      <c r="A4939" s="112">
        <v>42576</v>
      </c>
      <c r="B4939" s="1">
        <f t="shared" si="77"/>
        <v>20</v>
      </c>
    </row>
    <row r="4940" spans="1:2">
      <c r="A4940" s="112">
        <v>42577</v>
      </c>
      <c r="B4940" s="1">
        <f t="shared" si="77"/>
        <v>21</v>
      </c>
    </row>
    <row r="4941" spans="1:2">
      <c r="A4941" s="112">
        <v>42578</v>
      </c>
      <c r="B4941" s="1">
        <f t="shared" si="77"/>
        <v>22</v>
      </c>
    </row>
    <row r="4942" spans="1:2">
      <c r="A4942" s="112">
        <v>42579</v>
      </c>
      <c r="B4942" s="1">
        <f t="shared" si="77"/>
        <v>23</v>
      </c>
    </row>
    <row r="4943" spans="1:2">
      <c r="A4943" s="112">
        <v>42580</v>
      </c>
      <c r="B4943" s="1">
        <f t="shared" si="77"/>
        <v>24</v>
      </c>
    </row>
    <row r="4944" spans="1:2">
      <c r="A4944" s="112">
        <v>42581</v>
      </c>
      <c r="B4944" s="1">
        <f t="shared" si="77"/>
        <v>25</v>
      </c>
    </row>
    <row r="4945" spans="1:2">
      <c r="A4945" s="112">
        <v>42582</v>
      </c>
      <c r="B4945" s="1">
        <f t="shared" si="77"/>
        <v>26</v>
      </c>
    </row>
    <row r="4946" spans="1:2">
      <c r="A4946" s="112">
        <v>42583</v>
      </c>
      <c r="B4946" s="1">
        <f t="shared" si="77"/>
        <v>27</v>
      </c>
    </row>
    <row r="4947" spans="1:2">
      <c r="A4947" s="112">
        <v>42584</v>
      </c>
      <c r="B4947" s="1">
        <f t="shared" si="77"/>
        <v>28</v>
      </c>
    </row>
    <row r="4948" spans="1:2">
      <c r="A4948" s="112">
        <v>42585</v>
      </c>
      <c r="B4948" s="1">
        <f t="shared" si="77"/>
        <v>0</v>
      </c>
    </row>
    <row r="4949" spans="1:2">
      <c r="A4949" s="112">
        <v>42586</v>
      </c>
      <c r="B4949" s="1">
        <f t="shared" si="77"/>
        <v>1</v>
      </c>
    </row>
    <row r="4950" spans="1:2">
      <c r="A4950" s="112">
        <v>42587</v>
      </c>
      <c r="B4950" s="1">
        <f t="shared" si="77"/>
        <v>2</v>
      </c>
    </row>
    <row r="4951" spans="1:2">
      <c r="A4951" s="112">
        <v>42588</v>
      </c>
      <c r="B4951" s="1">
        <f t="shared" si="77"/>
        <v>3</v>
      </c>
    </row>
    <row r="4952" spans="1:2">
      <c r="A4952" s="112">
        <v>42589</v>
      </c>
      <c r="B4952" s="1">
        <f t="shared" si="77"/>
        <v>4</v>
      </c>
    </row>
    <row r="4953" spans="1:2">
      <c r="A4953" s="112">
        <v>42590</v>
      </c>
      <c r="B4953" s="1">
        <f t="shared" si="77"/>
        <v>5</v>
      </c>
    </row>
    <row r="4954" spans="1:2">
      <c r="A4954" s="112">
        <v>42591</v>
      </c>
      <c r="B4954" s="1">
        <f t="shared" si="77"/>
        <v>6</v>
      </c>
    </row>
    <row r="4955" spans="1:2">
      <c r="A4955" s="112">
        <v>42592</v>
      </c>
      <c r="B4955" s="1">
        <f t="shared" si="77"/>
        <v>7</v>
      </c>
    </row>
    <row r="4956" spans="1:2">
      <c r="A4956" s="112">
        <v>42593</v>
      </c>
      <c r="B4956" s="1">
        <f t="shared" si="77"/>
        <v>8</v>
      </c>
    </row>
    <row r="4957" spans="1:2">
      <c r="A4957" s="112">
        <v>42594</v>
      </c>
      <c r="B4957" s="1">
        <f t="shared" si="77"/>
        <v>9</v>
      </c>
    </row>
    <row r="4958" spans="1:2">
      <c r="A4958" s="112">
        <v>42595</v>
      </c>
      <c r="B4958" s="1">
        <f t="shared" si="77"/>
        <v>10</v>
      </c>
    </row>
    <row r="4959" spans="1:2">
      <c r="A4959" s="112">
        <v>42596</v>
      </c>
      <c r="B4959" s="1">
        <f t="shared" si="77"/>
        <v>11</v>
      </c>
    </row>
    <row r="4960" spans="1:2">
      <c r="A4960" s="112">
        <v>42597</v>
      </c>
      <c r="B4960" s="1">
        <f t="shared" si="77"/>
        <v>12</v>
      </c>
    </row>
    <row r="4961" spans="1:2">
      <c r="A4961" s="112">
        <v>42598</v>
      </c>
      <c r="B4961" s="1">
        <f t="shared" si="77"/>
        <v>13</v>
      </c>
    </row>
    <row r="4962" spans="1:2">
      <c r="A4962" s="112">
        <v>42599</v>
      </c>
      <c r="B4962" s="1">
        <f t="shared" si="77"/>
        <v>14</v>
      </c>
    </row>
    <row r="4963" spans="1:2">
      <c r="A4963" s="112">
        <v>42600</v>
      </c>
      <c r="B4963" s="1">
        <f t="shared" si="77"/>
        <v>15</v>
      </c>
    </row>
    <row r="4964" spans="1:2">
      <c r="A4964" s="112">
        <v>42601</v>
      </c>
      <c r="B4964" s="1">
        <f t="shared" si="77"/>
        <v>16</v>
      </c>
    </row>
    <row r="4965" spans="1:2">
      <c r="A4965" s="112">
        <v>42602</v>
      </c>
      <c r="B4965" s="1">
        <f t="shared" si="77"/>
        <v>17</v>
      </c>
    </row>
    <row r="4966" spans="1:2">
      <c r="A4966" s="112">
        <v>42603</v>
      </c>
      <c r="B4966" s="1">
        <f t="shared" si="77"/>
        <v>18</v>
      </c>
    </row>
    <row r="4967" spans="1:2">
      <c r="A4967" s="112">
        <v>42604</v>
      </c>
      <c r="B4967" s="1">
        <f t="shared" si="77"/>
        <v>19</v>
      </c>
    </row>
    <row r="4968" spans="1:2">
      <c r="A4968" s="112">
        <v>42605</v>
      </c>
      <c r="B4968" s="1">
        <f t="shared" si="77"/>
        <v>20</v>
      </c>
    </row>
    <row r="4969" spans="1:2">
      <c r="A4969" s="112">
        <v>42606</v>
      </c>
      <c r="B4969" s="1">
        <f t="shared" si="77"/>
        <v>21</v>
      </c>
    </row>
    <row r="4970" spans="1:2">
      <c r="A4970" s="112">
        <v>42607</v>
      </c>
      <c r="B4970" s="1">
        <f t="shared" si="77"/>
        <v>22</v>
      </c>
    </row>
    <row r="4971" spans="1:2">
      <c r="A4971" s="112">
        <v>42608</v>
      </c>
      <c r="B4971" s="1">
        <f t="shared" si="77"/>
        <v>23</v>
      </c>
    </row>
    <row r="4972" spans="1:2">
      <c r="A4972" s="112">
        <v>42609</v>
      </c>
      <c r="B4972" s="1">
        <f t="shared" si="77"/>
        <v>24</v>
      </c>
    </row>
    <row r="4973" spans="1:2">
      <c r="A4973" s="112">
        <v>42610</v>
      </c>
      <c r="B4973" s="1">
        <f t="shared" si="77"/>
        <v>25</v>
      </c>
    </row>
    <row r="4974" spans="1:2">
      <c r="A4974" s="112">
        <v>42611</v>
      </c>
      <c r="B4974" s="1">
        <f t="shared" si="77"/>
        <v>26</v>
      </c>
    </row>
    <row r="4975" spans="1:2">
      <c r="A4975" s="112">
        <v>42612</v>
      </c>
      <c r="B4975" s="1">
        <f t="shared" si="77"/>
        <v>27</v>
      </c>
    </row>
    <row r="4976" spans="1:2">
      <c r="A4976" s="112">
        <v>42613</v>
      </c>
      <c r="B4976" s="1">
        <f t="shared" si="77"/>
        <v>28</v>
      </c>
    </row>
    <row r="4977" spans="1:2">
      <c r="A4977" s="112">
        <v>42614</v>
      </c>
      <c r="B4977" s="1">
        <f t="shared" si="77"/>
        <v>29</v>
      </c>
    </row>
    <row r="4978" spans="1:2">
      <c r="A4978" s="112">
        <v>42615</v>
      </c>
      <c r="B4978" s="1">
        <f t="shared" si="77"/>
        <v>0</v>
      </c>
    </row>
    <row r="4979" spans="1:2">
      <c r="A4979" s="112">
        <v>42616</v>
      </c>
      <c r="B4979" s="1">
        <f t="shared" si="77"/>
        <v>1</v>
      </c>
    </row>
    <row r="4980" spans="1:2">
      <c r="A4980" s="112">
        <v>42617</v>
      </c>
      <c r="B4980" s="1">
        <f t="shared" si="77"/>
        <v>2</v>
      </c>
    </row>
    <row r="4981" spans="1:2">
      <c r="A4981" s="112">
        <v>42618</v>
      </c>
      <c r="B4981" s="1">
        <f t="shared" si="77"/>
        <v>3</v>
      </c>
    </row>
    <row r="4982" spans="1:2">
      <c r="A4982" s="112">
        <v>42619</v>
      </c>
      <c r="B4982" s="1">
        <f t="shared" si="77"/>
        <v>4</v>
      </c>
    </row>
    <row r="4983" spans="1:2">
      <c r="A4983" s="112">
        <v>42620</v>
      </c>
      <c r="B4983" s="1">
        <f t="shared" si="77"/>
        <v>5</v>
      </c>
    </row>
    <row r="4984" spans="1:2">
      <c r="A4984" s="112">
        <v>42621</v>
      </c>
      <c r="B4984" s="1">
        <f t="shared" si="77"/>
        <v>6</v>
      </c>
    </row>
    <row r="4985" spans="1:2">
      <c r="A4985" s="112">
        <v>42622</v>
      </c>
      <c r="B4985" s="1">
        <f t="shared" si="77"/>
        <v>7</v>
      </c>
    </row>
    <row r="4986" spans="1:2">
      <c r="A4986" s="112">
        <v>42623</v>
      </c>
      <c r="B4986" s="1">
        <f t="shared" si="77"/>
        <v>8</v>
      </c>
    </row>
    <row r="4987" spans="1:2">
      <c r="A4987" s="112">
        <v>42624</v>
      </c>
      <c r="B4987" s="1">
        <f t="shared" si="77"/>
        <v>9</v>
      </c>
    </row>
    <row r="4988" spans="1:2">
      <c r="A4988" s="112">
        <v>42625</v>
      </c>
      <c r="B4988" s="1">
        <f t="shared" si="77"/>
        <v>10</v>
      </c>
    </row>
    <row r="4989" spans="1:2">
      <c r="A4989" s="112">
        <v>42626</v>
      </c>
      <c r="B4989" s="1">
        <f t="shared" si="77"/>
        <v>11</v>
      </c>
    </row>
    <row r="4990" spans="1:2">
      <c r="A4990" s="112">
        <v>42627</v>
      </c>
      <c r="B4990" s="1">
        <f t="shared" si="77"/>
        <v>12</v>
      </c>
    </row>
    <row r="4991" spans="1:2">
      <c r="A4991" s="112">
        <v>42628</v>
      </c>
      <c r="B4991" s="1">
        <f t="shared" si="77"/>
        <v>13</v>
      </c>
    </row>
    <row r="4992" spans="1:2">
      <c r="A4992" s="112">
        <v>42629</v>
      </c>
      <c r="B4992" s="1">
        <f t="shared" si="77"/>
        <v>14</v>
      </c>
    </row>
    <row r="4993" spans="1:2">
      <c r="A4993" s="112">
        <v>42630</v>
      </c>
      <c r="B4993" s="1">
        <f t="shared" si="77"/>
        <v>15</v>
      </c>
    </row>
    <row r="4994" spans="1:2">
      <c r="A4994" s="112">
        <v>42631</v>
      </c>
      <c r="B4994" s="1">
        <f t="shared" si="77"/>
        <v>16</v>
      </c>
    </row>
    <row r="4995" spans="1:2">
      <c r="A4995" s="112">
        <v>42632</v>
      </c>
      <c r="B4995" s="1">
        <f t="shared" ref="B4995:B5058" si="78">INT(MOD($G$2+A4995-$F$2,29.53))</f>
        <v>17</v>
      </c>
    </row>
    <row r="4996" spans="1:2">
      <c r="A4996" s="112">
        <v>42633</v>
      </c>
      <c r="B4996" s="1">
        <f t="shared" si="78"/>
        <v>18</v>
      </c>
    </row>
    <row r="4997" spans="1:2">
      <c r="A4997" s="112">
        <v>42634</v>
      </c>
      <c r="B4997" s="1">
        <f t="shared" si="78"/>
        <v>19</v>
      </c>
    </row>
    <row r="4998" spans="1:2">
      <c r="A4998" s="112">
        <v>42635</v>
      </c>
      <c r="B4998" s="1">
        <f t="shared" si="78"/>
        <v>20</v>
      </c>
    </row>
    <row r="4999" spans="1:2">
      <c r="A4999" s="112">
        <v>42636</v>
      </c>
      <c r="B4999" s="1">
        <f t="shared" si="78"/>
        <v>21</v>
      </c>
    </row>
    <row r="5000" spans="1:2">
      <c r="A5000" s="112">
        <v>42637</v>
      </c>
      <c r="B5000" s="1">
        <f t="shared" si="78"/>
        <v>22</v>
      </c>
    </row>
    <row r="5001" spans="1:2">
      <c r="A5001" s="112">
        <v>42638</v>
      </c>
      <c r="B5001" s="1">
        <f t="shared" si="78"/>
        <v>23</v>
      </c>
    </row>
    <row r="5002" spans="1:2">
      <c r="A5002" s="112">
        <v>42639</v>
      </c>
      <c r="B5002" s="1">
        <f t="shared" si="78"/>
        <v>24</v>
      </c>
    </row>
    <row r="5003" spans="1:2">
      <c r="A5003" s="112">
        <v>42640</v>
      </c>
      <c r="B5003" s="1">
        <f t="shared" si="78"/>
        <v>25</v>
      </c>
    </row>
    <row r="5004" spans="1:2">
      <c r="A5004" s="112">
        <v>42641</v>
      </c>
      <c r="B5004" s="1">
        <f t="shared" si="78"/>
        <v>26</v>
      </c>
    </row>
    <row r="5005" spans="1:2">
      <c r="A5005" s="112">
        <v>42642</v>
      </c>
      <c r="B5005" s="1">
        <f t="shared" si="78"/>
        <v>27</v>
      </c>
    </row>
    <row r="5006" spans="1:2">
      <c r="A5006" s="112">
        <v>42643</v>
      </c>
      <c r="B5006" s="1">
        <f t="shared" si="78"/>
        <v>28</v>
      </c>
    </row>
    <row r="5007" spans="1:2">
      <c r="A5007" s="112">
        <v>42644</v>
      </c>
      <c r="B5007" s="1">
        <f t="shared" si="78"/>
        <v>0</v>
      </c>
    </row>
    <row r="5008" spans="1:2">
      <c r="A5008" s="112">
        <v>42645</v>
      </c>
      <c r="B5008" s="1">
        <f t="shared" si="78"/>
        <v>1</v>
      </c>
    </row>
    <row r="5009" spans="1:2">
      <c r="A5009" s="112">
        <v>42646</v>
      </c>
      <c r="B5009" s="1">
        <f t="shared" si="78"/>
        <v>2</v>
      </c>
    </row>
    <row r="5010" spans="1:2">
      <c r="A5010" s="112">
        <v>42647</v>
      </c>
      <c r="B5010" s="1">
        <f t="shared" si="78"/>
        <v>3</v>
      </c>
    </row>
    <row r="5011" spans="1:2">
      <c r="A5011" s="112">
        <v>42648</v>
      </c>
      <c r="B5011" s="1">
        <f t="shared" si="78"/>
        <v>4</v>
      </c>
    </row>
    <row r="5012" spans="1:2">
      <c r="A5012" s="112">
        <v>42649</v>
      </c>
      <c r="B5012" s="1">
        <f t="shared" si="78"/>
        <v>5</v>
      </c>
    </row>
    <row r="5013" spans="1:2">
      <c r="A5013" s="112">
        <v>42650</v>
      </c>
      <c r="B5013" s="1">
        <f t="shared" si="78"/>
        <v>6</v>
      </c>
    </row>
    <row r="5014" spans="1:2">
      <c r="A5014" s="112">
        <v>42651</v>
      </c>
      <c r="B5014" s="1">
        <f t="shared" si="78"/>
        <v>7</v>
      </c>
    </row>
    <row r="5015" spans="1:2">
      <c r="A5015" s="112">
        <v>42652</v>
      </c>
      <c r="B5015" s="1">
        <f t="shared" si="78"/>
        <v>8</v>
      </c>
    </row>
    <row r="5016" spans="1:2">
      <c r="A5016" s="112">
        <v>42653</v>
      </c>
      <c r="B5016" s="1">
        <f t="shared" si="78"/>
        <v>9</v>
      </c>
    </row>
    <row r="5017" spans="1:2">
      <c r="A5017" s="112">
        <v>42654</v>
      </c>
      <c r="B5017" s="1">
        <f t="shared" si="78"/>
        <v>10</v>
      </c>
    </row>
    <row r="5018" spans="1:2">
      <c r="A5018" s="112">
        <v>42655</v>
      </c>
      <c r="B5018" s="1">
        <f t="shared" si="78"/>
        <v>11</v>
      </c>
    </row>
    <row r="5019" spans="1:2">
      <c r="A5019" s="112">
        <v>42656</v>
      </c>
      <c r="B5019" s="1">
        <f t="shared" si="78"/>
        <v>12</v>
      </c>
    </row>
    <row r="5020" spans="1:2">
      <c r="A5020" s="112">
        <v>42657</v>
      </c>
      <c r="B5020" s="1">
        <f t="shared" si="78"/>
        <v>13</v>
      </c>
    </row>
    <row r="5021" spans="1:2">
      <c r="A5021" s="112">
        <v>42658</v>
      </c>
      <c r="B5021" s="1">
        <f t="shared" si="78"/>
        <v>14</v>
      </c>
    </row>
    <row r="5022" spans="1:2">
      <c r="A5022" s="112">
        <v>42659</v>
      </c>
      <c r="B5022" s="1">
        <f t="shared" si="78"/>
        <v>15</v>
      </c>
    </row>
    <row r="5023" spans="1:2">
      <c r="A5023" s="112">
        <v>42660</v>
      </c>
      <c r="B5023" s="1">
        <f t="shared" si="78"/>
        <v>16</v>
      </c>
    </row>
    <row r="5024" spans="1:2">
      <c r="A5024" s="112">
        <v>42661</v>
      </c>
      <c r="B5024" s="1">
        <f t="shared" si="78"/>
        <v>17</v>
      </c>
    </row>
    <row r="5025" spans="1:2">
      <c r="A5025" s="112">
        <v>42662</v>
      </c>
      <c r="B5025" s="1">
        <f t="shared" si="78"/>
        <v>18</v>
      </c>
    </row>
    <row r="5026" spans="1:2">
      <c r="A5026" s="112">
        <v>42663</v>
      </c>
      <c r="B5026" s="1">
        <f t="shared" si="78"/>
        <v>19</v>
      </c>
    </row>
    <row r="5027" spans="1:2">
      <c r="A5027" s="112">
        <v>42664</v>
      </c>
      <c r="B5027" s="1">
        <f t="shared" si="78"/>
        <v>20</v>
      </c>
    </row>
    <row r="5028" spans="1:2">
      <c r="A5028" s="112">
        <v>42665</v>
      </c>
      <c r="B5028" s="1">
        <f t="shared" si="78"/>
        <v>21</v>
      </c>
    </row>
    <row r="5029" spans="1:2">
      <c r="A5029" s="112">
        <v>42666</v>
      </c>
      <c r="B5029" s="1">
        <f t="shared" si="78"/>
        <v>22</v>
      </c>
    </row>
    <row r="5030" spans="1:2">
      <c r="A5030" s="112">
        <v>42667</v>
      </c>
      <c r="B5030" s="1">
        <f t="shared" si="78"/>
        <v>23</v>
      </c>
    </row>
    <row r="5031" spans="1:2">
      <c r="A5031" s="112">
        <v>42668</v>
      </c>
      <c r="B5031" s="1">
        <f t="shared" si="78"/>
        <v>24</v>
      </c>
    </row>
    <row r="5032" spans="1:2">
      <c r="A5032" s="112">
        <v>42669</v>
      </c>
      <c r="B5032" s="1">
        <f t="shared" si="78"/>
        <v>25</v>
      </c>
    </row>
    <row r="5033" spans="1:2">
      <c r="A5033" s="112">
        <v>42670</v>
      </c>
      <c r="B5033" s="1">
        <f t="shared" si="78"/>
        <v>26</v>
      </c>
    </row>
    <row r="5034" spans="1:2">
      <c r="A5034" s="112">
        <v>42671</v>
      </c>
      <c r="B5034" s="1">
        <f t="shared" si="78"/>
        <v>27</v>
      </c>
    </row>
    <row r="5035" spans="1:2">
      <c r="A5035" s="112">
        <v>42672</v>
      </c>
      <c r="B5035" s="1">
        <f t="shared" si="78"/>
        <v>28</v>
      </c>
    </row>
    <row r="5036" spans="1:2">
      <c r="A5036" s="112">
        <v>42673</v>
      </c>
      <c r="B5036" s="1">
        <f t="shared" si="78"/>
        <v>29</v>
      </c>
    </row>
    <row r="5037" spans="1:2">
      <c r="A5037" s="112">
        <v>42674</v>
      </c>
      <c r="B5037" s="1">
        <f t="shared" si="78"/>
        <v>0</v>
      </c>
    </row>
    <row r="5038" spans="1:2">
      <c r="A5038" s="112">
        <v>42675</v>
      </c>
      <c r="B5038" s="1">
        <f t="shared" si="78"/>
        <v>1</v>
      </c>
    </row>
    <row r="5039" spans="1:2">
      <c r="A5039" s="112">
        <v>42676</v>
      </c>
      <c r="B5039" s="1">
        <f t="shared" si="78"/>
        <v>2</v>
      </c>
    </row>
    <row r="5040" spans="1:2">
      <c r="A5040" s="112">
        <v>42677</v>
      </c>
      <c r="B5040" s="1">
        <f t="shared" si="78"/>
        <v>3</v>
      </c>
    </row>
    <row r="5041" spans="1:2">
      <c r="A5041" s="112">
        <v>42678</v>
      </c>
      <c r="B5041" s="1">
        <f t="shared" si="78"/>
        <v>4</v>
      </c>
    </row>
    <row r="5042" spans="1:2">
      <c r="A5042" s="112">
        <v>42679</v>
      </c>
      <c r="B5042" s="1">
        <f t="shared" si="78"/>
        <v>5</v>
      </c>
    </row>
    <row r="5043" spans="1:2">
      <c r="A5043" s="112">
        <v>42680</v>
      </c>
      <c r="B5043" s="1">
        <f t="shared" si="78"/>
        <v>6</v>
      </c>
    </row>
    <row r="5044" spans="1:2">
      <c r="A5044" s="112">
        <v>42681</v>
      </c>
      <c r="B5044" s="1">
        <f t="shared" si="78"/>
        <v>7</v>
      </c>
    </row>
    <row r="5045" spans="1:2">
      <c r="A5045" s="112">
        <v>42682</v>
      </c>
      <c r="B5045" s="1">
        <f t="shared" si="78"/>
        <v>8</v>
      </c>
    </row>
    <row r="5046" spans="1:2">
      <c r="A5046" s="112">
        <v>42683</v>
      </c>
      <c r="B5046" s="1">
        <f t="shared" si="78"/>
        <v>9</v>
      </c>
    </row>
    <row r="5047" spans="1:2">
      <c r="A5047" s="112">
        <v>42684</v>
      </c>
      <c r="B5047" s="1">
        <f t="shared" si="78"/>
        <v>10</v>
      </c>
    </row>
    <row r="5048" spans="1:2">
      <c r="A5048" s="112">
        <v>42685</v>
      </c>
      <c r="B5048" s="1">
        <f t="shared" si="78"/>
        <v>11</v>
      </c>
    </row>
    <row r="5049" spans="1:2">
      <c r="A5049" s="112">
        <v>42686</v>
      </c>
      <c r="B5049" s="1">
        <f t="shared" si="78"/>
        <v>12</v>
      </c>
    </row>
    <row r="5050" spans="1:2">
      <c r="A5050" s="112">
        <v>42687</v>
      </c>
      <c r="B5050" s="1">
        <f t="shared" si="78"/>
        <v>13</v>
      </c>
    </row>
    <row r="5051" spans="1:2">
      <c r="A5051" s="112">
        <v>42688</v>
      </c>
      <c r="B5051" s="1">
        <f t="shared" si="78"/>
        <v>14</v>
      </c>
    </row>
    <row r="5052" spans="1:2">
      <c r="A5052" s="112">
        <v>42689</v>
      </c>
      <c r="B5052" s="1">
        <f t="shared" si="78"/>
        <v>15</v>
      </c>
    </row>
    <row r="5053" spans="1:2">
      <c r="A5053" s="112">
        <v>42690</v>
      </c>
      <c r="B5053" s="1">
        <f t="shared" si="78"/>
        <v>16</v>
      </c>
    </row>
    <row r="5054" spans="1:2">
      <c r="A5054" s="112">
        <v>42691</v>
      </c>
      <c r="B5054" s="1">
        <f t="shared" si="78"/>
        <v>17</v>
      </c>
    </row>
    <row r="5055" spans="1:2">
      <c r="A5055" s="112">
        <v>42692</v>
      </c>
      <c r="B5055" s="1">
        <f t="shared" si="78"/>
        <v>18</v>
      </c>
    </row>
    <row r="5056" spans="1:2">
      <c r="A5056" s="112">
        <v>42693</v>
      </c>
      <c r="B5056" s="1">
        <f t="shared" si="78"/>
        <v>19</v>
      </c>
    </row>
    <row r="5057" spans="1:2">
      <c r="A5057" s="112">
        <v>42694</v>
      </c>
      <c r="B5057" s="1">
        <f t="shared" si="78"/>
        <v>20</v>
      </c>
    </row>
    <row r="5058" spans="1:2">
      <c r="A5058" s="112">
        <v>42695</v>
      </c>
      <c r="B5058" s="1">
        <f t="shared" si="78"/>
        <v>21</v>
      </c>
    </row>
    <row r="5059" spans="1:2">
      <c r="A5059" s="112">
        <v>42696</v>
      </c>
      <c r="B5059" s="1">
        <f t="shared" ref="B5059:B5122" si="79">INT(MOD($G$2+A5059-$F$2,29.53))</f>
        <v>22</v>
      </c>
    </row>
    <row r="5060" spans="1:2">
      <c r="A5060" s="112">
        <v>42697</v>
      </c>
      <c r="B5060" s="1">
        <f t="shared" si="79"/>
        <v>23</v>
      </c>
    </row>
    <row r="5061" spans="1:2">
      <c r="A5061" s="112">
        <v>42698</v>
      </c>
      <c r="B5061" s="1">
        <f t="shared" si="79"/>
        <v>24</v>
      </c>
    </row>
    <row r="5062" spans="1:2">
      <c r="A5062" s="112">
        <v>42699</v>
      </c>
      <c r="B5062" s="1">
        <f t="shared" si="79"/>
        <v>25</v>
      </c>
    </row>
    <row r="5063" spans="1:2">
      <c r="A5063" s="112">
        <v>42700</v>
      </c>
      <c r="B5063" s="1">
        <f t="shared" si="79"/>
        <v>26</v>
      </c>
    </row>
    <row r="5064" spans="1:2">
      <c r="A5064" s="112">
        <v>42701</v>
      </c>
      <c r="B5064" s="1">
        <f t="shared" si="79"/>
        <v>27</v>
      </c>
    </row>
    <row r="5065" spans="1:2">
      <c r="A5065" s="112">
        <v>42702</v>
      </c>
      <c r="B5065" s="1">
        <f t="shared" si="79"/>
        <v>28</v>
      </c>
    </row>
    <row r="5066" spans="1:2">
      <c r="A5066" s="112">
        <v>42703</v>
      </c>
      <c r="B5066" s="1">
        <f t="shared" si="79"/>
        <v>0</v>
      </c>
    </row>
    <row r="5067" spans="1:2">
      <c r="A5067" s="112">
        <v>42704</v>
      </c>
      <c r="B5067" s="1">
        <f t="shared" si="79"/>
        <v>1</v>
      </c>
    </row>
    <row r="5068" spans="1:2">
      <c r="A5068" s="112">
        <v>42705</v>
      </c>
      <c r="B5068" s="1">
        <f t="shared" si="79"/>
        <v>2</v>
      </c>
    </row>
    <row r="5069" spans="1:2">
      <c r="A5069" s="112">
        <v>42706</v>
      </c>
      <c r="B5069" s="1">
        <f t="shared" si="79"/>
        <v>3</v>
      </c>
    </row>
    <row r="5070" spans="1:2">
      <c r="A5070" s="112">
        <v>42707</v>
      </c>
      <c r="B5070" s="1">
        <f t="shared" si="79"/>
        <v>4</v>
      </c>
    </row>
    <row r="5071" spans="1:2">
      <c r="A5071" s="112">
        <v>42708</v>
      </c>
      <c r="B5071" s="1">
        <f t="shared" si="79"/>
        <v>5</v>
      </c>
    </row>
    <row r="5072" spans="1:2">
      <c r="A5072" s="112">
        <v>42709</v>
      </c>
      <c r="B5072" s="1">
        <f t="shared" si="79"/>
        <v>6</v>
      </c>
    </row>
    <row r="5073" spans="1:2">
      <c r="A5073" s="112">
        <v>42710</v>
      </c>
      <c r="B5073" s="1">
        <f t="shared" si="79"/>
        <v>7</v>
      </c>
    </row>
    <row r="5074" spans="1:2">
      <c r="A5074" s="112">
        <v>42711</v>
      </c>
      <c r="B5074" s="1">
        <f t="shared" si="79"/>
        <v>8</v>
      </c>
    </row>
    <row r="5075" spans="1:2">
      <c r="A5075" s="112">
        <v>42712</v>
      </c>
      <c r="B5075" s="1">
        <f t="shared" si="79"/>
        <v>9</v>
      </c>
    </row>
    <row r="5076" spans="1:2">
      <c r="A5076" s="112">
        <v>42713</v>
      </c>
      <c r="B5076" s="1">
        <f t="shared" si="79"/>
        <v>10</v>
      </c>
    </row>
    <row r="5077" spans="1:2">
      <c r="A5077" s="112">
        <v>42714</v>
      </c>
      <c r="B5077" s="1">
        <f t="shared" si="79"/>
        <v>11</v>
      </c>
    </row>
    <row r="5078" spans="1:2">
      <c r="A5078" s="112">
        <v>42715</v>
      </c>
      <c r="B5078" s="1">
        <f t="shared" si="79"/>
        <v>12</v>
      </c>
    </row>
    <row r="5079" spans="1:2">
      <c r="A5079" s="112">
        <v>42716</v>
      </c>
      <c r="B5079" s="1">
        <f t="shared" si="79"/>
        <v>13</v>
      </c>
    </row>
    <row r="5080" spans="1:2">
      <c r="A5080" s="112">
        <v>42717</v>
      </c>
      <c r="B5080" s="1">
        <f t="shared" si="79"/>
        <v>14</v>
      </c>
    </row>
    <row r="5081" spans="1:2">
      <c r="A5081" s="112">
        <v>42718</v>
      </c>
      <c r="B5081" s="1">
        <f t="shared" si="79"/>
        <v>15</v>
      </c>
    </row>
    <row r="5082" spans="1:2">
      <c r="A5082" s="112">
        <v>42719</v>
      </c>
      <c r="B5082" s="1">
        <f t="shared" si="79"/>
        <v>16</v>
      </c>
    </row>
    <row r="5083" spans="1:2">
      <c r="A5083" s="112">
        <v>42720</v>
      </c>
      <c r="B5083" s="1">
        <f t="shared" si="79"/>
        <v>17</v>
      </c>
    </row>
    <row r="5084" spans="1:2">
      <c r="A5084" s="112">
        <v>42721</v>
      </c>
      <c r="B5084" s="1">
        <f t="shared" si="79"/>
        <v>18</v>
      </c>
    </row>
    <row r="5085" spans="1:2">
      <c r="A5085" s="112">
        <v>42722</v>
      </c>
      <c r="B5085" s="1">
        <f t="shared" si="79"/>
        <v>19</v>
      </c>
    </row>
    <row r="5086" spans="1:2">
      <c r="A5086" s="112">
        <v>42723</v>
      </c>
      <c r="B5086" s="1">
        <f t="shared" si="79"/>
        <v>20</v>
      </c>
    </row>
    <row r="5087" spans="1:2">
      <c r="A5087" s="112">
        <v>42724</v>
      </c>
      <c r="B5087" s="1">
        <f t="shared" si="79"/>
        <v>21</v>
      </c>
    </row>
    <row r="5088" spans="1:2">
      <c r="A5088" s="112">
        <v>42725</v>
      </c>
      <c r="B5088" s="1">
        <f t="shared" si="79"/>
        <v>22</v>
      </c>
    </row>
    <row r="5089" spans="1:2">
      <c r="A5089" s="112">
        <v>42726</v>
      </c>
      <c r="B5089" s="1">
        <f t="shared" si="79"/>
        <v>23</v>
      </c>
    </row>
    <row r="5090" spans="1:2">
      <c r="A5090" s="112">
        <v>42727</v>
      </c>
      <c r="B5090" s="1">
        <f t="shared" si="79"/>
        <v>24</v>
      </c>
    </row>
    <row r="5091" spans="1:2">
      <c r="A5091" s="112">
        <v>42728</v>
      </c>
      <c r="B5091" s="1">
        <f t="shared" si="79"/>
        <v>25</v>
      </c>
    </row>
    <row r="5092" spans="1:2">
      <c r="A5092" s="112">
        <v>42729</v>
      </c>
      <c r="B5092" s="1">
        <f t="shared" si="79"/>
        <v>26</v>
      </c>
    </row>
    <row r="5093" spans="1:2">
      <c r="A5093" s="112">
        <v>42730</v>
      </c>
      <c r="B5093" s="1">
        <f t="shared" si="79"/>
        <v>27</v>
      </c>
    </row>
    <row r="5094" spans="1:2">
      <c r="A5094" s="112">
        <v>42731</v>
      </c>
      <c r="B5094" s="1">
        <f t="shared" si="79"/>
        <v>28</v>
      </c>
    </row>
    <row r="5095" spans="1:2">
      <c r="A5095" s="112">
        <v>42732</v>
      </c>
      <c r="B5095" s="1">
        <f t="shared" si="79"/>
        <v>29</v>
      </c>
    </row>
    <row r="5096" spans="1:2">
      <c r="A5096" s="112">
        <v>42733</v>
      </c>
      <c r="B5096" s="1">
        <f t="shared" si="79"/>
        <v>0</v>
      </c>
    </row>
    <row r="5097" spans="1:2">
      <c r="A5097" s="112">
        <v>42734</v>
      </c>
      <c r="B5097" s="1">
        <f t="shared" si="79"/>
        <v>1</v>
      </c>
    </row>
    <row r="5098" spans="1:2">
      <c r="A5098" s="112">
        <v>42735</v>
      </c>
      <c r="B5098" s="1">
        <f t="shared" si="79"/>
        <v>2</v>
      </c>
    </row>
    <row r="5099" spans="1:2">
      <c r="A5099" s="112">
        <v>42736</v>
      </c>
      <c r="B5099" s="1">
        <f t="shared" si="79"/>
        <v>3</v>
      </c>
    </row>
    <row r="5100" spans="1:2">
      <c r="A5100" s="112">
        <v>42737</v>
      </c>
      <c r="B5100" s="1">
        <f t="shared" si="79"/>
        <v>4</v>
      </c>
    </row>
    <row r="5101" spans="1:2">
      <c r="A5101" s="112">
        <v>42738</v>
      </c>
      <c r="B5101" s="1">
        <f t="shared" si="79"/>
        <v>5</v>
      </c>
    </row>
    <row r="5102" spans="1:2">
      <c r="A5102" s="112">
        <v>42739</v>
      </c>
      <c r="B5102" s="1">
        <f t="shared" si="79"/>
        <v>6</v>
      </c>
    </row>
    <row r="5103" spans="1:2">
      <c r="A5103" s="112">
        <v>42740</v>
      </c>
      <c r="B5103" s="1">
        <f t="shared" si="79"/>
        <v>7</v>
      </c>
    </row>
    <row r="5104" spans="1:2">
      <c r="A5104" s="112">
        <v>42741</v>
      </c>
      <c r="B5104" s="1">
        <f t="shared" si="79"/>
        <v>8</v>
      </c>
    </row>
    <row r="5105" spans="1:2">
      <c r="A5105" s="112">
        <v>42742</v>
      </c>
      <c r="B5105" s="1">
        <f t="shared" si="79"/>
        <v>9</v>
      </c>
    </row>
    <row r="5106" spans="1:2">
      <c r="A5106" s="112">
        <v>42743</v>
      </c>
      <c r="B5106" s="1">
        <f t="shared" si="79"/>
        <v>10</v>
      </c>
    </row>
    <row r="5107" spans="1:2">
      <c r="A5107" s="112">
        <v>42744</v>
      </c>
      <c r="B5107" s="1">
        <f t="shared" si="79"/>
        <v>11</v>
      </c>
    </row>
    <row r="5108" spans="1:2">
      <c r="A5108" s="112">
        <v>42745</v>
      </c>
      <c r="B5108" s="1">
        <f t="shared" si="79"/>
        <v>12</v>
      </c>
    </row>
    <row r="5109" spans="1:2">
      <c r="A5109" s="112">
        <v>42746</v>
      </c>
      <c r="B5109" s="1">
        <f t="shared" si="79"/>
        <v>13</v>
      </c>
    </row>
    <row r="5110" spans="1:2">
      <c r="A5110" s="112">
        <v>42747</v>
      </c>
      <c r="B5110" s="1">
        <f t="shared" si="79"/>
        <v>14</v>
      </c>
    </row>
    <row r="5111" spans="1:2">
      <c r="A5111" s="112">
        <v>42748</v>
      </c>
      <c r="B5111" s="1">
        <f t="shared" si="79"/>
        <v>15</v>
      </c>
    </row>
    <row r="5112" spans="1:2">
      <c r="A5112" s="112">
        <v>42749</v>
      </c>
      <c r="B5112" s="1">
        <f t="shared" si="79"/>
        <v>16</v>
      </c>
    </row>
    <row r="5113" spans="1:2">
      <c r="A5113" s="112">
        <v>42750</v>
      </c>
      <c r="B5113" s="1">
        <f t="shared" si="79"/>
        <v>17</v>
      </c>
    </row>
    <row r="5114" spans="1:2">
      <c r="A5114" s="112">
        <v>42751</v>
      </c>
      <c r="B5114" s="1">
        <f t="shared" si="79"/>
        <v>18</v>
      </c>
    </row>
    <row r="5115" spans="1:2">
      <c r="A5115" s="112">
        <v>42752</v>
      </c>
      <c r="B5115" s="1">
        <f t="shared" si="79"/>
        <v>19</v>
      </c>
    </row>
    <row r="5116" spans="1:2">
      <c r="A5116" s="112">
        <v>42753</v>
      </c>
      <c r="B5116" s="1">
        <f t="shared" si="79"/>
        <v>20</v>
      </c>
    </row>
    <row r="5117" spans="1:2">
      <c r="A5117" s="112">
        <v>42754</v>
      </c>
      <c r="B5117" s="1">
        <f t="shared" si="79"/>
        <v>21</v>
      </c>
    </row>
    <row r="5118" spans="1:2">
      <c r="A5118" s="112">
        <v>42755</v>
      </c>
      <c r="B5118" s="1">
        <f t="shared" si="79"/>
        <v>22</v>
      </c>
    </row>
    <row r="5119" spans="1:2">
      <c r="A5119" s="112">
        <v>42756</v>
      </c>
      <c r="B5119" s="1">
        <f t="shared" si="79"/>
        <v>23</v>
      </c>
    </row>
    <row r="5120" spans="1:2">
      <c r="A5120" s="112">
        <v>42757</v>
      </c>
      <c r="B5120" s="1">
        <f t="shared" si="79"/>
        <v>24</v>
      </c>
    </row>
    <row r="5121" spans="1:2">
      <c r="A5121" s="112">
        <v>42758</v>
      </c>
      <c r="B5121" s="1">
        <f t="shared" si="79"/>
        <v>25</v>
      </c>
    </row>
    <row r="5122" spans="1:2">
      <c r="A5122" s="112">
        <v>42759</v>
      </c>
      <c r="B5122" s="1">
        <f t="shared" si="79"/>
        <v>26</v>
      </c>
    </row>
    <row r="5123" spans="1:2">
      <c r="A5123" s="112">
        <v>42760</v>
      </c>
      <c r="B5123" s="1">
        <f t="shared" ref="B5123:B5186" si="80">INT(MOD($G$2+A5123-$F$2,29.53))</f>
        <v>27</v>
      </c>
    </row>
    <row r="5124" spans="1:2">
      <c r="A5124" s="112">
        <v>42761</v>
      </c>
      <c r="B5124" s="1">
        <f t="shared" si="80"/>
        <v>28</v>
      </c>
    </row>
    <row r="5125" spans="1:2">
      <c r="A5125" s="112">
        <v>42762</v>
      </c>
      <c r="B5125" s="1">
        <f t="shared" si="80"/>
        <v>29</v>
      </c>
    </row>
    <row r="5126" spans="1:2">
      <c r="A5126" s="112">
        <v>42763</v>
      </c>
      <c r="B5126" s="1">
        <f t="shared" si="80"/>
        <v>0</v>
      </c>
    </row>
    <row r="5127" spans="1:2">
      <c r="A5127" s="112">
        <v>42764</v>
      </c>
      <c r="B5127" s="1">
        <f t="shared" si="80"/>
        <v>1</v>
      </c>
    </row>
    <row r="5128" spans="1:2">
      <c r="A5128" s="112">
        <v>42765</v>
      </c>
      <c r="B5128" s="1">
        <f t="shared" si="80"/>
        <v>2</v>
      </c>
    </row>
    <row r="5129" spans="1:2">
      <c r="A5129" s="112">
        <v>42766</v>
      </c>
      <c r="B5129" s="1">
        <f t="shared" si="80"/>
        <v>3</v>
      </c>
    </row>
    <row r="5130" spans="1:2">
      <c r="A5130" s="112">
        <v>42767</v>
      </c>
      <c r="B5130" s="1">
        <f t="shared" si="80"/>
        <v>4</v>
      </c>
    </row>
    <row r="5131" spans="1:2">
      <c r="A5131" s="112">
        <v>42768</v>
      </c>
      <c r="B5131" s="1">
        <f t="shared" si="80"/>
        <v>5</v>
      </c>
    </row>
    <row r="5132" spans="1:2">
      <c r="A5132" s="112">
        <v>42769</v>
      </c>
      <c r="B5132" s="1">
        <f t="shared" si="80"/>
        <v>6</v>
      </c>
    </row>
    <row r="5133" spans="1:2">
      <c r="A5133" s="112">
        <v>42770</v>
      </c>
      <c r="B5133" s="1">
        <f t="shared" si="80"/>
        <v>7</v>
      </c>
    </row>
    <row r="5134" spans="1:2">
      <c r="A5134" s="112">
        <v>42771</v>
      </c>
      <c r="B5134" s="1">
        <f t="shared" si="80"/>
        <v>8</v>
      </c>
    </row>
    <row r="5135" spans="1:2">
      <c r="A5135" s="112">
        <v>42772</v>
      </c>
      <c r="B5135" s="1">
        <f t="shared" si="80"/>
        <v>9</v>
      </c>
    </row>
    <row r="5136" spans="1:2">
      <c r="A5136" s="112">
        <v>42773</v>
      </c>
      <c r="B5136" s="1">
        <f t="shared" si="80"/>
        <v>10</v>
      </c>
    </row>
    <row r="5137" spans="1:2">
      <c r="A5137" s="112">
        <v>42774</v>
      </c>
      <c r="B5137" s="1">
        <f t="shared" si="80"/>
        <v>11</v>
      </c>
    </row>
    <row r="5138" spans="1:2">
      <c r="A5138" s="112">
        <v>42775</v>
      </c>
      <c r="B5138" s="1">
        <f t="shared" si="80"/>
        <v>12</v>
      </c>
    </row>
    <row r="5139" spans="1:2">
      <c r="A5139" s="112">
        <v>42776</v>
      </c>
      <c r="B5139" s="1">
        <f t="shared" si="80"/>
        <v>13</v>
      </c>
    </row>
    <row r="5140" spans="1:2">
      <c r="A5140" s="112">
        <v>42777</v>
      </c>
      <c r="B5140" s="1">
        <f t="shared" si="80"/>
        <v>14</v>
      </c>
    </row>
    <row r="5141" spans="1:2">
      <c r="A5141" s="112">
        <v>42778</v>
      </c>
      <c r="B5141" s="1">
        <f t="shared" si="80"/>
        <v>15</v>
      </c>
    </row>
    <row r="5142" spans="1:2">
      <c r="A5142" s="112">
        <v>42779</v>
      </c>
      <c r="B5142" s="1">
        <f t="shared" si="80"/>
        <v>16</v>
      </c>
    </row>
    <row r="5143" spans="1:2">
      <c r="A5143" s="112">
        <v>42780</v>
      </c>
      <c r="B5143" s="1">
        <f t="shared" si="80"/>
        <v>17</v>
      </c>
    </row>
    <row r="5144" spans="1:2">
      <c r="A5144" s="112">
        <v>42781</v>
      </c>
      <c r="B5144" s="1">
        <f t="shared" si="80"/>
        <v>18</v>
      </c>
    </row>
    <row r="5145" spans="1:2">
      <c r="A5145" s="112">
        <v>42782</v>
      </c>
      <c r="B5145" s="1">
        <f t="shared" si="80"/>
        <v>19</v>
      </c>
    </row>
    <row r="5146" spans="1:2">
      <c r="A5146" s="112">
        <v>42783</v>
      </c>
      <c r="B5146" s="1">
        <f t="shared" si="80"/>
        <v>20</v>
      </c>
    </row>
    <row r="5147" spans="1:2">
      <c r="A5147" s="112">
        <v>42784</v>
      </c>
      <c r="B5147" s="1">
        <f t="shared" si="80"/>
        <v>21</v>
      </c>
    </row>
    <row r="5148" spans="1:2">
      <c r="A5148" s="112">
        <v>42785</v>
      </c>
      <c r="B5148" s="1">
        <f t="shared" si="80"/>
        <v>22</v>
      </c>
    </row>
    <row r="5149" spans="1:2">
      <c r="A5149" s="112">
        <v>42786</v>
      </c>
      <c r="B5149" s="1">
        <f t="shared" si="80"/>
        <v>23</v>
      </c>
    </row>
    <row r="5150" spans="1:2">
      <c r="A5150" s="112">
        <v>42787</v>
      </c>
      <c r="B5150" s="1">
        <f t="shared" si="80"/>
        <v>24</v>
      </c>
    </row>
    <row r="5151" spans="1:2">
      <c r="A5151" s="112">
        <v>42788</v>
      </c>
      <c r="B5151" s="1">
        <f t="shared" si="80"/>
        <v>25</v>
      </c>
    </row>
    <row r="5152" spans="1:2">
      <c r="A5152" s="112">
        <v>42789</v>
      </c>
      <c r="B5152" s="1">
        <f t="shared" si="80"/>
        <v>26</v>
      </c>
    </row>
    <row r="5153" spans="1:2">
      <c r="A5153" s="112">
        <v>42790</v>
      </c>
      <c r="B5153" s="1">
        <f t="shared" si="80"/>
        <v>27</v>
      </c>
    </row>
    <row r="5154" spans="1:2">
      <c r="A5154" s="112">
        <v>42791</v>
      </c>
      <c r="B5154" s="1">
        <f t="shared" si="80"/>
        <v>28</v>
      </c>
    </row>
    <row r="5155" spans="1:2">
      <c r="A5155" s="112">
        <v>42792</v>
      </c>
      <c r="B5155" s="1">
        <f t="shared" si="80"/>
        <v>0</v>
      </c>
    </row>
    <row r="5156" spans="1:2">
      <c r="A5156" s="112">
        <v>42793</v>
      </c>
      <c r="B5156" s="1">
        <f t="shared" si="80"/>
        <v>1</v>
      </c>
    </row>
    <row r="5157" spans="1:2">
      <c r="A5157" s="112">
        <v>42794</v>
      </c>
      <c r="B5157" s="1">
        <f t="shared" si="80"/>
        <v>2</v>
      </c>
    </row>
    <row r="5158" spans="1:2">
      <c r="A5158" s="112">
        <v>42795</v>
      </c>
      <c r="B5158" s="1">
        <f t="shared" si="80"/>
        <v>3</v>
      </c>
    </row>
    <row r="5159" spans="1:2">
      <c r="A5159" s="112">
        <v>42796</v>
      </c>
      <c r="B5159" s="1">
        <f t="shared" si="80"/>
        <v>4</v>
      </c>
    </row>
    <row r="5160" spans="1:2">
      <c r="A5160" s="112">
        <v>42797</v>
      </c>
      <c r="B5160" s="1">
        <f t="shared" si="80"/>
        <v>5</v>
      </c>
    </row>
    <row r="5161" spans="1:2">
      <c r="A5161" s="112">
        <v>42798</v>
      </c>
      <c r="B5161" s="1">
        <f t="shared" si="80"/>
        <v>6</v>
      </c>
    </row>
    <row r="5162" spans="1:2">
      <c r="A5162" s="112">
        <v>42799</v>
      </c>
      <c r="B5162" s="1">
        <f t="shared" si="80"/>
        <v>7</v>
      </c>
    </row>
    <row r="5163" spans="1:2">
      <c r="A5163" s="112">
        <v>42800</v>
      </c>
      <c r="B5163" s="1">
        <f t="shared" si="80"/>
        <v>8</v>
      </c>
    </row>
    <row r="5164" spans="1:2">
      <c r="A5164" s="112">
        <v>42801</v>
      </c>
      <c r="B5164" s="1">
        <f t="shared" si="80"/>
        <v>9</v>
      </c>
    </row>
    <row r="5165" spans="1:2">
      <c r="A5165" s="112">
        <v>42802</v>
      </c>
      <c r="B5165" s="1">
        <f t="shared" si="80"/>
        <v>10</v>
      </c>
    </row>
    <row r="5166" spans="1:2">
      <c r="A5166" s="112">
        <v>42803</v>
      </c>
      <c r="B5166" s="1">
        <f t="shared" si="80"/>
        <v>11</v>
      </c>
    </row>
    <row r="5167" spans="1:2">
      <c r="A5167" s="112">
        <v>42804</v>
      </c>
      <c r="B5167" s="1">
        <f t="shared" si="80"/>
        <v>12</v>
      </c>
    </row>
    <row r="5168" spans="1:2">
      <c r="A5168" s="112">
        <v>42805</v>
      </c>
      <c r="B5168" s="1">
        <f t="shared" si="80"/>
        <v>13</v>
      </c>
    </row>
    <row r="5169" spans="1:2">
      <c r="A5169" s="112">
        <v>42806</v>
      </c>
      <c r="B5169" s="1">
        <f t="shared" si="80"/>
        <v>14</v>
      </c>
    </row>
    <row r="5170" spans="1:2">
      <c r="A5170" s="112">
        <v>42807</v>
      </c>
      <c r="B5170" s="1">
        <f t="shared" si="80"/>
        <v>15</v>
      </c>
    </row>
    <row r="5171" spans="1:2">
      <c r="A5171" s="112">
        <v>42808</v>
      </c>
      <c r="B5171" s="1">
        <f t="shared" si="80"/>
        <v>16</v>
      </c>
    </row>
    <row r="5172" spans="1:2">
      <c r="A5172" s="112">
        <v>42809</v>
      </c>
      <c r="B5172" s="1">
        <f t="shared" si="80"/>
        <v>17</v>
      </c>
    </row>
    <row r="5173" spans="1:2">
      <c r="A5173" s="112">
        <v>42810</v>
      </c>
      <c r="B5173" s="1">
        <f t="shared" si="80"/>
        <v>18</v>
      </c>
    </row>
    <row r="5174" spans="1:2">
      <c r="A5174" s="112">
        <v>42811</v>
      </c>
      <c r="B5174" s="1">
        <f t="shared" si="80"/>
        <v>19</v>
      </c>
    </row>
    <row r="5175" spans="1:2">
      <c r="A5175" s="112">
        <v>42812</v>
      </c>
      <c r="B5175" s="1">
        <f t="shared" si="80"/>
        <v>20</v>
      </c>
    </row>
    <row r="5176" spans="1:2">
      <c r="A5176" s="112">
        <v>42813</v>
      </c>
      <c r="B5176" s="1">
        <f t="shared" si="80"/>
        <v>21</v>
      </c>
    </row>
    <row r="5177" spans="1:2">
      <c r="A5177" s="112">
        <v>42814</v>
      </c>
      <c r="B5177" s="1">
        <f t="shared" si="80"/>
        <v>22</v>
      </c>
    </row>
    <row r="5178" spans="1:2">
      <c r="A5178" s="112">
        <v>42815</v>
      </c>
      <c r="B5178" s="1">
        <f t="shared" si="80"/>
        <v>23</v>
      </c>
    </row>
    <row r="5179" spans="1:2">
      <c r="A5179" s="112">
        <v>42816</v>
      </c>
      <c r="B5179" s="1">
        <f t="shared" si="80"/>
        <v>24</v>
      </c>
    </row>
    <row r="5180" spans="1:2">
      <c r="A5180" s="112">
        <v>42817</v>
      </c>
      <c r="B5180" s="1">
        <f t="shared" si="80"/>
        <v>25</v>
      </c>
    </row>
    <row r="5181" spans="1:2">
      <c r="A5181" s="112">
        <v>42818</v>
      </c>
      <c r="B5181" s="1">
        <f t="shared" si="80"/>
        <v>26</v>
      </c>
    </row>
    <row r="5182" spans="1:2">
      <c r="A5182" s="112">
        <v>42819</v>
      </c>
      <c r="B5182" s="1">
        <f t="shared" si="80"/>
        <v>27</v>
      </c>
    </row>
    <row r="5183" spans="1:2">
      <c r="A5183" s="112">
        <v>42820</v>
      </c>
      <c r="B5183" s="1">
        <f t="shared" si="80"/>
        <v>28</v>
      </c>
    </row>
    <row r="5184" spans="1:2">
      <c r="A5184" s="112">
        <v>42821</v>
      </c>
      <c r="B5184" s="1">
        <f t="shared" si="80"/>
        <v>29</v>
      </c>
    </row>
    <row r="5185" spans="1:2">
      <c r="A5185" s="112">
        <v>42822</v>
      </c>
      <c r="B5185" s="1">
        <f t="shared" si="80"/>
        <v>0</v>
      </c>
    </row>
    <row r="5186" spans="1:2">
      <c r="A5186" s="112">
        <v>42823</v>
      </c>
      <c r="B5186" s="1">
        <f t="shared" si="80"/>
        <v>1</v>
      </c>
    </row>
    <row r="5187" spans="1:2">
      <c r="A5187" s="112">
        <v>42824</v>
      </c>
      <c r="B5187" s="1">
        <f t="shared" ref="B5187:B5250" si="81">INT(MOD($G$2+A5187-$F$2,29.53))</f>
        <v>2</v>
      </c>
    </row>
    <row r="5188" spans="1:2">
      <c r="A5188" s="112">
        <v>42825</v>
      </c>
      <c r="B5188" s="1">
        <f t="shared" si="81"/>
        <v>3</v>
      </c>
    </row>
    <row r="5189" spans="1:2">
      <c r="A5189" s="112">
        <v>42826</v>
      </c>
      <c r="B5189" s="1">
        <f t="shared" si="81"/>
        <v>4</v>
      </c>
    </row>
    <row r="5190" spans="1:2">
      <c r="A5190" s="112">
        <v>42827</v>
      </c>
      <c r="B5190" s="1">
        <f t="shared" si="81"/>
        <v>5</v>
      </c>
    </row>
    <row r="5191" spans="1:2">
      <c r="A5191" s="112">
        <v>42828</v>
      </c>
      <c r="B5191" s="1">
        <f t="shared" si="81"/>
        <v>6</v>
      </c>
    </row>
    <row r="5192" spans="1:2">
      <c r="A5192" s="112">
        <v>42829</v>
      </c>
      <c r="B5192" s="1">
        <f t="shared" si="81"/>
        <v>7</v>
      </c>
    </row>
    <row r="5193" spans="1:2">
      <c r="A5193" s="112">
        <v>42830</v>
      </c>
      <c r="B5193" s="1">
        <f t="shared" si="81"/>
        <v>8</v>
      </c>
    </row>
    <row r="5194" spans="1:2">
      <c r="A5194" s="112">
        <v>42831</v>
      </c>
      <c r="B5194" s="1">
        <f t="shared" si="81"/>
        <v>9</v>
      </c>
    </row>
    <row r="5195" spans="1:2">
      <c r="A5195" s="112">
        <v>42832</v>
      </c>
      <c r="B5195" s="1">
        <f t="shared" si="81"/>
        <v>10</v>
      </c>
    </row>
    <row r="5196" spans="1:2">
      <c r="A5196" s="112">
        <v>42833</v>
      </c>
      <c r="B5196" s="1">
        <f t="shared" si="81"/>
        <v>11</v>
      </c>
    </row>
    <row r="5197" spans="1:2">
      <c r="A5197" s="112">
        <v>42834</v>
      </c>
      <c r="B5197" s="1">
        <f t="shared" si="81"/>
        <v>12</v>
      </c>
    </row>
    <row r="5198" spans="1:2">
      <c r="A5198" s="112">
        <v>42835</v>
      </c>
      <c r="B5198" s="1">
        <f t="shared" si="81"/>
        <v>13</v>
      </c>
    </row>
    <row r="5199" spans="1:2">
      <c r="A5199" s="112">
        <v>42836</v>
      </c>
      <c r="B5199" s="1">
        <f t="shared" si="81"/>
        <v>14</v>
      </c>
    </row>
    <row r="5200" spans="1:2">
      <c r="A5200" s="112">
        <v>42837</v>
      </c>
      <c r="B5200" s="1">
        <f t="shared" si="81"/>
        <v>15</v>
      </c>
    </row>
    <row r="5201" spans="1:2">
      <c r="A5201" s="112">
        <v>42838</v>
      </c>
      <c r="B5201" s="1">
        <f t="shared" si="81"/>
        <v>16</v>
      </c>
    </row>
    <row r="5202" spans="1:2">
      <c r="A5202" s="112">
        <v>42839</v>
      </c>
      <c r="B5202" s="1">
        <f t="shared" si="81"/>
        <v>17</v>
      </c>
    </row>
    <row r="5203" spans="1:2">
      <c r="A5203" s="112">
        <v>42840</v>
      </c>
      <c r="B5203" s="1">
        <f t="shared" si="81"/>
        <v>18</v>
      </c>
    </row>
    <row r="5204" spans="1:2">
      <c r="A5204" s="112">
        <v>42841</v>
      </c>
      <c r="B5204" s="1">
        <f t="shared" si="81"/>
        <v>19</v>
      </c>
    </row>
    <row r="5205" spans="1:2">
      <c r="A5205" s="112">
        <v>42842</v>
      </c>
      <c r="B5205" s="1">
        <f t="shared" si="81"/>
        <v>20</v>
      </c>
    </row>
    <row r="5206" spans="1:2">
      <c r="A5206" s="112">
        <v>42843</v>
      </c>
      <c r="B5206" s="1">
        <f t="shared" si="81"/>
        <v>21</v>
      </c>
    </row>
    <row r="5207" spans="1:2">
      <c r="A5207" s="112">
        <v>42844</v>
      </c>
      <c r="B5207" s="1">
        <f t="shared" si="81"/>
        <v>22</v>
      </c>
    </row>
    <row r="5208" spans="1:2">
      <c r="A5208" s="112">
        <v>42845</v>
      </c>
      <c r="B5208" s="1">
        <f t="shared" si="81"/>
        <v>23</v>
      </c>
    </row>
    <row r="5209" spans="1:2">
      <c r="A5209" s="112">
        <v>42846</v>
      </c>
      <c r="B5209" s="1">
        <f t="shared" si="81"/>
        <v>24</v>
      </c>
    </row>
    <row r="5210" spans="1:2">
      <c r="A5210" s="112">
        <v>42847</v>
      </c>
      <c r="B5210" s="1">
        <f t="shared" si="81"/>
        <v>25</v>
      </c>
    </row>
    <row r="5211" spans="1:2">
      <c r="A5211" s="112">
        <v>42848</v>
      </c>
      <c r="B5211" s="1">
        <f t="shared" si="81"/>
        <v>26</v>
      </c>
    </row>
    <row r="5212" spans="1:2">
      <c r="A5212" s="112">
        <v>42849</v>
      </c>
      <c r="B5212" s="1">
        <f t="shared" si="81"/>
        <v>27</v>
      </c>
    </row>
    <row r="5213" spans="1:2">
      <c r="A5213" s="112">
        <v>42850</v>
      </c>
      <c r="B5213" s="1">
        <f t="shared" si="81"/>
        <v>28</v>
      </c>
    </row>
    <row r="5214" spans="1:2">
      <c r="A5214" s="112">
        <v>42851</v>
      </c>
      <c r="B5214" s="1">
        <f t="shared" si="81"/>
        <v>0</v>
      </c>
    </row>
    <row r="5215" spans="1:2">
      <c r="A5215" s="112">
        <v>42852</v>
      </c>
      <c r="B5215" s="1">
        <f t="shared" si="81"/>
        <v>1</v>
      </c>
    </row>
    <row r="5216" spans="1:2">
      <c r="A5216" s="112">
        <v>42853</v>
      </c>
      <c r="B5216" s="1">
        <f t="shared" si="81"/>
        <v>2</v>
      </c>
    </row>
    <row r="5217" spans="1:2">
      <c r="A5217" s="112">
        <v>42854</v>
      </c>
      <c r="B5217" s="1">
        <f t="shared" si="81"/>
        <v>3</v>
      </c>
    </row>
    <row r="5218" spans="1:2">
      <c r="A5218" s="112">
        <v>42855</v>
      </c>
      <c r="B5218" s="1">
        <f t="shared" si="81"/>
        <v>4</v>
      </c>
    </row>
    <row r="5219" spans="1:2">
      <c r="A5219" s="112">
        <v>42856</v>
      </c>
      <c r="B5219" s="1">
        <f t="shared" si="81"/>
        <v>5</v>
      </c>
    </row>
    <row r="5220" spans="1:2">
      <c r="A5220" s="112">
        <v>42857</v>
      </c>
      <c r="B5220" s="1">
        <f t="shared" si="81"/>
        <v>6</v>
      </c>
    </row>
    <row r="5221" spans="1:2">
      <c r="A5221" s="112">
        <v>42858</v>
      </c>
      <c r="B5221" s="1">
        <f t="shared" si="81"/>
        <v>7</v>
      </c>
    </row>
    <row r="5222" spans="1:2">
      <c r="A5222" s="112">
        <v>42859</v>
      </c>
      <c r="B5222" s="1">
        <f t="shared" si="81"/>
        <v>8</v>
      </c>
    </row>
    <row r="5223" spans="1:2">
      <c r="A5223" s="112">
        <v>42860</v>
      </c>
      <c r="B5223" s="1">
        <f t="shared" si="81"/>
        <v>9</v>
      </c>
    </row>
    <row r="5224" spans="1:2">
      <c r="A5224" s="112">
        <v>42861</v>
      </c>
      <c r="B5224" s="1">
        <f t="shared" si="81"/>
        <v>10</v>
      </c>
    </row>
    <row r="5225" spans="1:2">
      <c r="A5225" s="112">
        <v>42862</v>
      </c>
      <c r="B5225" s="1">
        <f t="shared" si="81"/>
        <v>11</v>
      </c>
    </row>
    <row r="5226" spans="1:2">
      <c r="A5226" s="112">
        <v>42863</v>
      </c>
      <c r="B5226" s="1">
        <f t="shared" si="81"/>
        <v>12</v>
      </c>
    </row>
    <row r="5227" spans="1:2">
      <c r="A5227" s="112">
        <v>42864</v>
      </c>
      <c r="B5227" s="1">
        <f t="shared" si="81"/>
        <v>13</v>
      </c>
    </row>
    <row r="5228" spans="1:2">
      <c r="A5228" s="112">
        <v>42865</v>
      </c>
      <c r="B5228" s="1">
        <f t="shared" si="81"/>
        <v>14</v>
      </c>
    </row>
    <row r="5229" spans="1:2">
      <c r="A5229" s="112">
        <v>42866</v>
      </c>
      <c r="B5229" s="1">
        <f t="shared" si="81"/>
        <v>15</v>
      </c>
    </row>
    <row r="5230" spans="1:2">
      <c r="A5230" s="112">
        <v>42867</v>
      </c>
      <c r="B5230" s="1">
        <f t="shared" si="81"/>
        <v>16</v>
      </c>
    </row>
    <row r="5231" spans="1:2">
      <c r="A5231" s="112">
        <v>42868</v>
      </c>
      <c r="B5231" s="1">
        <f t="shared" si="81"/>
        <v>17</v>
      </c>
    </row>
    <row r="5232" spans="1:2">
      <c r="A5232" s="112">
        <v>42869</v>
      </c>
      <c r="B5232" s="1">
        <f t="shared" si="81"/>
        <v>18</v>
      </c>
    </row>
    <row r="5233" spans="1:2">
      <c r="A5233" s="112">
        <v>42870</v>
      </c>
      <c r="B5233" s="1">
        <f t="shared" si="81"/>
        <v>19</v>
      </c>
    </row>
    <row r="5234" spans="1:2">
      <c r="A5234" s="112">
        <v>42871</v>
      </c>
      <c r="B5234" s="1">
        <f t="shared" si="81"/>
        <v>20</v>
      </c>
    </row>
    <row r="5235" spans="1:2">
      <c r="A5235" s="112">
        <v>42872</v>
      </c>
      <c r="B5235" s="1">
        <f t="shared" si="81"/>
        <v>21</v>
      </c>
    </row>
    <row r="5236" spans="1:2">
      <c r="A5236" s="112">
        <v>42873</v>
      </c>
      <c r="B5236" s="1">
        <f t="shared" si="81"/>
        <v>22</v>
      </c>
    </row>
    <row r="5237" spans="1:2">
      <c r="A5237" s="112">
        <v>42874</v>
      </c>
      <c r="B5237" s="1">
        <f t="shared" si="81"/>
        <v>23</v>
      </c>
    </row>
    <row r="5238" spans="1:2">
      <c r="A5238" s="112">
        <v>42875</v>
      </c>
      <c r="B5238" s="1">
        <f t="shared" si="81"/>
        <v>24</v>
      </c>
    </row>
    <row r="5239" spans="1:2">
      <c r="A5239" s="112">
        <v>42876</v>
      </c>
      <c r="B5239" s="1">
        <f t="shared" si="81"/>
        <v>25</v>
      </c>
    </row>
    <row r="5240" spans="1:2">
      <c r="A5240" s="112">
        <v>42877</v>
      </c>
      <c r="B5240" s="1">
        <f t="shared" si="81"/>
        <v>26</v>
      </c>
    </row>
    <row r="5241" spans="1:2">
      <c r="A5241" s="112">
        <v>42878</v>
      </c>
      <c r="B5241" s="1">
        <f t="shared" si="81"/>
        <v>27</v>
      </c>
    </row>
    <row r="5242" spans="1:2">
      <c r="A5242" s="112">
        <v>42879</v>
      </c>
      <c r="B5242" s="1">
        <f t="shared" si="81"/>
        <v>28</v>
      </c>
    </row>
    <row r="5243" spans="1:2">
      <c r="A5243" s="112">
        <v>42880</v>
      </c>
      <c r="B5243" s="1">
        <f t="shared" si="81"/>
        <v>29</v>
      </c>
    </row>
    <row r="5244" spans="1:2">
      <c r="A5244" s="112">
        <v>42881</v>
      </c>
      <c r="B5244" s="1">
        <f t="shared" si="81"/>
        <v>0</v>
      </c>
    </row>
    <row r="5245" spans="1:2">
      <c r="A5245" s="112">
        <v>42882</v>
      </c>
      <c r="B5245" s="1">
        <f t="shared" si="81"/>
        <v>1</v>
      </c>
    </row>
    <row r="5246" spans="1:2">
      <c r="A5246" s="112">
        <v>42883</v>
      </c>
      <c r="B5246" s="1">
        <f t="shared" si="81"/>
        <v>2</v>
      </c>
    </row>
    <row r="5247" spans="1:2">
      <c r="A5247" s="112">
        <v>42884</v>
      </c>
      <c r="B5247" s="1">
        <f t="shared" si="81"/>
        <v>3</v>
      </c>
    </row>
    <row r="5248" spans="1:2">
      <c r="A5248" s="112">
        <v>42885</v>
      </c>
      <c r="B5248" s="1">
        <f t="shared" si="81"/>
        <v>4</v>
      </c>
    </row>
    <row r="5249" spans="1:2">
      <c r="A5249" s="112">
        <v>42886</v>
      </c>
      <c r="B5249" s="1">
        <f t="shared" si="81"/>
        <v>5</v>
      </c>
    </row>
    <row r="5250" spans="1:2">
      <c r="A5250" s="112">
        <v>42887</v>
      </c>
      <c r="B5250" s="1">
        <f t="shared" si="81"/>
        <v>6</v>
      </c>
    </row>
    <row r="5251" spans="1:2">
      <c r="A5251" s="112">
        <v>42888</v>
      </c>
      <c r="B5251" s="1">
        <f t="shared" ref="B5251:B5314" si="82">INT(MOD($G$2+A5251-$F$2,29.53))</f>
        <v>7</v>
      </c>
    </row>
    <row r="5252" spans="1:2">
      <c r="A5252" s="112">
        <v>42889</v>
      </c>
      <c r="B5252" s="1">
        <f t="shared" si="82"/>
        <v>8</v>
      </c>
    </row>
    <row r="5253" spans="1:2">
      <c r="A5253" s="112">
        <v>42890</v>
      </c>
      <c r="B5253" s="1">
        <f t="shared" si="82"/>
        <v>9</v>
      </c>
    </row>
    <row r="5254" spans="1:2">
      <c r="A5254" s="112">
        <v>42891</v>
      </c>
      <c r="B5254" s="1">
        <f t="shared" si="82"/>
        <v>10</v>
      </c>
    </row>
    <row r="5255" spans="1:2">
      <c r="A5255" s="112">
        <v>42892</v>
      </c>
      <c r="B5255" s="1">
        <f t="shared" si="82"/>
        <v>11</v>
      </c>
    </row>
    <row r="5256" spans="1:2">
      <c r="A5256" s="112">
        <v>42893</v>
      </c>
      <c r="B5256" s="1">
        <f t="shared" si="82"/>
        <v>12</v>
      </c>
    </row>
    <row r="5257" spans="1:2">
      <c r="A5257" s="112">
        <v>42894</v>
      </c>
      <c r="B5257" s="1">
        <f t="shared" si="82"/>
        <v>13</v>
      </c>
    </row>
    <row r="5258" spans="1:2">
      <c r="A5258" s="112">
        <v>42895</v>
      </c>
      <c r="B5258" s="1">
        <f t="shared" si="82"/>
        <v>14</v>
      </c>
    </row>
    <row r="5259" spans="1:2">
      <c r="A5259" s="112">
        <v>42896</v>
      </c>
      <c r="B5259" s="1">
        <f t="shared" si="82"/>
        <v>15</v>
      </c>
    </row>
    <row r="5260" spans="1:2">
      <c r="A5260" s="112">
        <v>42897</v>
      </c>
      <c r="B5260" s="1">
        <f t="shared" si="82"/>
        <v>16</v>
      </c>
    </row>
    <row r="5261" spans="1:2">
      <c r="A5261" s="112">
        <v>42898</v>
      </c>
      <c r="B5261" s="1">
        <f t="shared" si="82"/>
        <v>17</v>
      </c>
    </row>
    <row r="5262" spans="1:2">
      <c r="A5262" s="112">
        <v>42899</v>
      </c>
      <c r="B5262" s="1">
        <f t="shared" si="82"/>
        <v>18</v>
      </c>
    </row>
    <row r="5263" spans="1:2">
      <c r="A5263" s="112">
        <v>42900</v>
      </c>
      <c r="B5263" s="1">
        <f t="shared" si="82"/>
        <v>19</v>
      </c>
    </row>
    <row r="5264" spans="1:2">
      <c r="A5264" s="112">
        <v>42901</v>
      </c>
      <c r="B5264" s="1">
        <f t="shared" si="82"/>
        <v>20</v>
      </c>
    </row>
    <row r="5265" spans="1:2">
      <c r="A5265" s="112">
        <v>42902</v>
      </c>
      <c r="B5265" s="1">
        <f t="shared" si="82"/>
        <v>21</v>
      </c>
    </row>
    <row r="5266" spans="1:2">
      <c r="A5266" s="112">
        <v>42903</v>
      </c>
      <c r="B5266" s="1">
        <f t="shared" si="82"/>
        <v>22</v>
      </c>
    </row>
    <row r="5267" spans="1:2">
      <c r="A5267" s="112">
        <v>42904</v>
      </c>
      <c r="B5267" s="1">
        <f t="shared" si="82"/>
        <v>23</v>
      </c>
    </row>
    <row r="5268" spans="1:2">
      <c r="A5268" s="112">
        <v>42905</v>
      </c>
      <c r="B5268" s="1">
        <f t="shared" si="82"/>
        <v>24</v>
      </c>
    </row>
    <row r="5269" spans="1:2">
      <c r="A5269" s="112">
        <v>42906</v>
      </c>
      <c r="B5269" s="1">
        <f t="shared" si="82"/>
        <v>25</v>
      </c>
    </row>
    <row r="5270" spans="1:2">
      <c r="A5270" s="112">
        <v>42907</v>
      </c>
      <c r="B5270" s="1">
        <f t="shared" si="82"/>
        <v>26</v>
      </c>
    </row>
    <row r="5271" spans="1:2">
      <c r="A5271" s="112">
        <v>42908</v>
      </c>
      <c r="B5271" s="1">
        <f t="shared" si="82"/>
        <v>27</v>
      </c>
    </row>
    <row r="5272" spans="1:2">
      <c r="A5272" s="112">
        <v>42909</v>
      </c>
      <c r="B5272" s="1">
        <f t="shared" si="82"/>
        <v>28</v>
      </c>
    </row>
    <row r="5273" spans="1:2">
      <c r="A5273" s="112">
        <v>42910</v>
      </c>
      <c r="B5273" s="1">
        <f t="shared" si="82"/>
        <v>0</v>
      </c>
    </row>
    <row r="5274" spans="1:2">
      <c r="A5274" s="112">
        <v>42911</v>
      </c>
      <c r="B5274" s="1">
        <f t="shared" si="82"/>
        <v>1</v>
      </c>
    </row>
    <row r="5275" spans="1:2">
      <c r="A5275" s="112">
        <v>42912</v>
      </c>
      <c r="B5275" s="1">
        <f t="shared" si="82"/>
        <v>2</v>
      </c>
    </row>
    <row r="5276" spans="1:2">
      <c r="A5276" s="112">
        <v>42913</v>
      </c>
      <c r="B5276" s="1">
        <f t="shared" si="82"/>
        <v>3</v>
      </c>
    </row>
    <row r="5277" spans="1:2">
      <c r="A5277" s="112">
        <v>42914</v>
      </c>
      <c r="B5277" s="1">
        <f t="shared" si="82"/>
        <v>4</v>
      </c>
    </row>
    <row r="5278" spans="1:2">
      <c r="A5278" s="112">
        <v>42915</v>
      </c>
      <c r="B5278" s="1">
        <f t="shared" si="82"/>
        <v>5</v>
      </c>
    </row>
    <row r="5279" spans="1:2">
      <c r="A5279" s="112">
        <v>42916</v>
      </c>
      <c r="B5279" s="1">
        <f t="shared" si="82"/>
        <v>6</v>
      </c>
    </row>
    <row r="5280" spans="1:2">
      <c r="A5280" s="112">
        <v>42917</v>
      </c>
      <c r="B5280" s="1">
        <f t="shared" si="82"/>
        <v>7</v>
      </c>
    </row>
    <row r="5281" spans="1:2">
      <c r="A5281" s="112">
        <v>42918</v>
      </c>
      <c r="B5281" s="1">
        <f t="shared" si="82"/>
        <v>8</v>
      </c>
    </row>
    <row r="5282" spans="1:2">
      <c r="A5282" s="112">
        <v>42919</v>
      </c>
      <c r="B5282" s="1">
        <f t="shared" si="82"/>
        <v>9</v>
      </c>
    </row>
    <row r="5283" spans="1:2">
      <c r="A5283" s="112">
        <v>42920</v>
      </c>
      <c r="B5283" s="1">
        <f t="shared" si="82"/>
        <v>10</v>
      </c>
    </row>
    <row r="5284" spans="1:2">
      <c r="A5284" s="112">
        <v>42921</v>
      </c>
      <c r="B5284" s="1">
        <f t="shared" si="82"/>
        <v>11</v>
      </c>
    </row>
    <row r="5285" spans="1:2">
      <c r="A5285" s="112">
        <v>42922</v>
      </c>
      <c r="B5285" s="1">
        <f t="shared" si="82"/>
        <v>12</v>
      </c>
    </row>
    <row r="5286" spans="1:2">
      <c r="A5286" s="112">
        <v>42923</v>
      </c>
      <c r="B5286" s="1">
        <f t="shared" si="82"/>
        <v>13</v>
      </c>
    </row>
    <row r="5287" spans="1:2">
      <c r="A5287" s="112">
        <v>42924</v>
      </c>
      <c r="B5287" s="1">
        <f t="shared" si="82"/>
        <v>14</v>
      </c>
    </row>
    <row r="5288" spans="1:2">
      <c r="A5288" s="112">
        <v>42925</v>
      </c>
      <c r="B5288" s="1">
        <f t="shared" si="82"/>
        <v>15</v>
      </c>
    </row>
    <row r="5289" spans="1:2">
      <c r="A5289" s="112">
        <v>42926</v>
      </c>
      <c r="B5289" s="1">
        <f t="shared" si="82"/>
        <v>16</v>
      </c>
    </row>
    <row r="5290" spans="1:2">
      <c r="A5290" s="112">
        <v>42927</v>
      </c>
      <c r="B5290" s="1">
        <f t="shared" si="82"/>
        <v>17</v>
      </c>
    </row>
    <row r="5291" spans="1:2">
      <c r="A5291" s="112">
        <v>42928</v>
      </c>
      <c r="B5291" s="1">
        <f t="shared" si="82"/>
        <v>18</v>
      </c>
    </row>
    <row r="5292" spans="1:2">
      <c r="A5292" s="112">
        <v>42929</v>
      </c>
      <c r="B5292" s="1">
        <f t="shared" si="82"/>
        <v>19</v>
      </c>
    </row>
    <row r="5293" spans="1:2">
      <c r="A5293" s="112">
        <v>42930</v>
      </c>
      <c r="B5293" s="1">
        <f t="shared" si="82"/>
        <v>20</v>
      </c>
    </row>
    <row r="5294" spans="1:2">
      <c r="A5294" s="112">
        <v>42931</v>
      </c>
      <c r="B5294" s="1">
        <f t="shared" si="82"/>
        <v>21</v>
      </c>
    </row>
    <row r="5295" spans="1:2">
      <c r="A5295" s="112">
        <v>42932</v>
      </c>
      <c r="B5295" s="1">
        <f t="shared" si="82"/>
        <v>22</v>
      </c>
    </row>
    <row r="5296" spans="1:2">
      <c r="A5296" s="112">
        <v>42933</v>
      </c>
      <c r="B5296" s="1">
        <f t="shared" si="82"/>
        <v>23</v>
      </c>
    </row>
    <row r="5297" spans="1:2">
      <c r="A5297" s="112">
        <v>42934</v>
      </c>
      <c r="B5297" s="1">
        <f t="shared" si="82"/>
        <v>24</v>
      </c>
    </row>
    <row r="5298" spans="1:2">
      <c r="A5298" s="112">
        <v>42935</v>
      </c>
      <c r="B5298" s="1">
        <f t="shared" si="82"/>
        <v>25</v>
      </c>
    </row>
    <row r="5299" spans="1:2">
      <c r="A5299" s="112">
        <v>42936</v>
      </c>
      <c r="B5299" s="1">
        <f t="shared" si="82"/>
        <v>26</v>
      </c>
    </row>
    <row r="5300" spans="1:2">
      <c r="A5300" s="112">
        <v>42937</v>
      </c>
      <c r="B5300" s="1">
        <f t="shared" si="82"/>
        <v>27</v>
      </c>
    </row>
    <row r="5301" spans="1:2">
      <c r="A5301" s="112">
        <v>42938</v>
      </c>
      <c r="B5301" s="1">
        <f t="shared" si="82"/>
        <v>28</v>
      </c>
    </row>
    <row r="5302" spans="1:2">
      <c r="A5302" s="112">
        <v>42939</v>
      </c>
      <c r="B5302" s="1">
        <f t="shared" si="82"/>
        <v>29</v>
      </c>
    </row>
    <row r="5303" spans="1:2">
      <c r="A5303" s="112">
        <v>42940</v>
      </c>
      <c r="B5303" s="1">
        <f t="shared" si="82"/>
        <v>0</v>
      </c>
    </row>
    <row r="5304" spans="1:2">
      <c r="A5304" s="112">
        <v>42941</v>
      </c>
      <c r="B5304" s="1">
        <f t="shared" si="82"/>
        <v>1</v>
      </c>
    </row>
    <row r="5305" spans="1:2">
      <c r="A5305" s="112">
        <v>42942</v>
      </c>
      <c r="B5305" s="1">
        <f t="shared" si="82"/>
        <v>2</v>
      </c>
    </row>
    <row r="5306" spans="1:2">
      <c r="A5306" s="112">
        <v>42943</v>
      </c>
      <c r="B5306" s="1">
        <f t="shared" si="82"/>
        <v>3</v>
      </c>
    </row>
    <row r="5307" spans="1:2">
      <c r="A5307" s="112">
        <v>42944</v>
      </c>
      <c r="B5307" s="1">
        <f t="shared" si="82"/>
        <v>4</v>
      </c>
    </row>
    <row r="5308" spans="1:2">
      <c r="A5308" s="112">
        <v>42945</v>
      </c>
      <c r="B5308" s="1">
        <f t="shared" si="82"/>
        <v>5</v>
      </c>
    </row>
    <row r="5309" spans="1:2">
      <c r="A5309" s="112">
        <v>42946</v>
      </c>
      <c r="B5309" s="1">
        <f t="shared" si="82"/>
        <v>6</v>
      </c>
    </row>
    <row r="5310" spans="1:2">
      <c r="A5310" s="112">
        <v>42947</v>
      </c>
      <c r="B5310" s="1">
        <f t="shared" si="82"/>
        <v>7</v>
      </c>
    </row>
    <row r="5311" spans="1:2">
      <c r="A5311" s="112">
        <v>42948</v>
      </c>
      <c r="B5311" s="1">
        <f t="shared" si="82"/>
        <v>8</v>
      </c>
    </row>
    <row r="5312" spans="1:2">
      <c r="A5312" s="112">
        <v>42949</v>
      </c>
      <c r="B5312" s="1">
        <f t="shared" si="82"/>
        <v>9</v>
      </c>
    </row>
    <row r="5313" spans="1:2">
      <c r="A5313" s="112">
        <v>42950</v>
      </c>
      <c r="B5313" s="1">
        <f t="shared" si="82"/>
        <v>10</v>
      </c>
    </row>
    <row r="5314" spans="1:2">
      <c r="A5314" s="112">
        <v>42951</v>
      </c>
      <c r="B5314" s="1">
        <f t="shared" si="82"/>
        <v>11</v>
      </c>
    </row>
    <row r="5315" spans="1:2">
      <c r="A5315" s="112">
        <v>42952</v>
      </c>
      <c r="B5315" s="1">
        <f t="shared" ref="B5315:B5378" si="83">INT(MOD($G$2+A5315-$F$2,29.53))</f>
        <v>12</v>
      </c>
    </row>
    <row r="5316" spans="1:2">
      <c r="A5316" s="112">
        <v>42953</v>
      </c>
      <c r="B5316" s="1">
        <f t="shared" si="83"/>
        <v>13</v>
      </c>
    </row>
    <row r="5317" spans="1:2">
      <c r="A5317" s="112">
        <v>42954</v>
      </c>
      <c r="B5317" s="1">
        <f t="shared" si="83"/>
        <v>14</v>
      </c>
    </row>
    <row r="5318" spans="1:2">
      <c r="A5318" s="112">
        <v>42955</v>
      </c>
      <c r="B5318" s="1">
        <f t="shared" si="83"/>
        <v>15</v>
      </c>
    </row>
    <row r="5319" spans="1:2">
      <c r="A5319" s="112">
        <v>42956</v>
      </c>
      <c r="B5319" s="1">
        <f t="shared" si="83"/>
        <v>16</v>
      </c>
    </row>
    <row r="5320" spans="1:2">
      <c r="A5320" s="112">
        <v>42957</v>
      </c>
      <c r="B5320" s="1">
        <f t="shared" si="83"/>
        <v>17</v>
      </c>
    </row>
    <row r="5321" spans="1:2">
      <c r="A5321" s="112">
        <v>42958</v>
      </c>
      <c r="B5321" s="1">
        <f t="shared" si="83"/>
        <v>18</v>
      </c>
    </row>
    <row r="5322" spans="1:2">
      <c r="A5322" s="112">
        <v>42959</v>
      </c>
      <c r="B5322" s="1">
        <f t="shared" si="83"/>
        <v>19</v>
      </c>
    </row>
    <row r="5323" spans="1:2">
      <c r="A5323" s="112">
        <v>42960</v>
      </c>
      <c r="B5323" s="1">
        <f t="shared" si="83"/>
        <v>20</v>
      </c>
    </row>
    <row r="5324" spans="1:2">
      <c r="A5324" s="112">
        <v>42961</v>
      </c>
      <c r="B5324" s="1">
        <f t="shared" si="83"/>
        <v>21</v>
      </c>
    </row>
    <row r="5325" spans="1:2">
      <c r="A5325" s="112">
        <v>42962</v>
      </c>
      <c r="B5325" s="1">
        <f t="shared" si="83"/>
        <v>22</v>
      </c>
    </row>
    <row r="5326" spans="1:2">
      <c r="A5326" s="112">
        <v>42963</v>
      </c>
      <c r="B5326" s="1">
        <f t="shared" si="83"/>
        <v>23</v>
      </c>
    </row>
    <row r="5327" spans="1:2">
      <c r="A5327" s="112">
        <v>42964</v>
      </c>
      <c r="B5327" s="1">
        <f t="shared" si="83"/>
        <v>24</v>
      </c>
    </row>
    <row r="5328" spans="1:2">
      <c r="A5328" s="112">
        <v>42965</v>
      </c>
      <c r="B5328" s="1">
        <f t="shared" si="83"/>
        <v>25</v>
      </c>
    </row>
    <row r="5329" spans="1:2">
      <c r="A5329" s="112">
        <v>42966</v>
      </c>
      <c r="B5329" s="1">
        <f t="shared" si="83"/>
        <v>26</v>
      </c>
    </row>
    <row r="5330" spans="1:2">
      <c r="A5330" s="112">
        <v>42967</v>
      </c>
      <c r="B5330" s="1">
        <f t="shared" si="83"/>
        <v>27</v>
      </c>
    </row>
    <row r="5331" spans="1:2">
      <c r="A5331" s="112">
        <v>42968</v>
      </c>
      <c r="B5331" s="1">
        <f t="shared" si="83"/>
        <v>28</v>
      </c>
    </row>
    <row r="5332" spans="1:2">
      <c r="A5332" s="112">
        <v>42969</v>
      </c>
      <c r="B5332" s="1">
        <f t="shared" si="83"/>
        <v>0</v>
      </c>
    </row>
    <row r="5333" spans="1:2">
      <c r="A5333" s="112">
        <v>42970</v>
      </c>
      <c r="B5333" s="1">
        <f t="shared" si="83"/>
        <v>1</v>
      </c>
    </row>
    <row r="5334" spans="1:2">
      <c r="A5334" s="112">
        <v>42971</v>
      </c>
      <c r="B5334" s="1">
        <f t="shared" si="83"/>
        <v>2</v>
      </c>
    </row>
    <row r="5335" spans="1:2">
      <c r="A5335" s="112">
        <v>42972</v>
      </c>
      <c r="B5335" s="1">
        <f t="shared" si="83"/>
        <v>3</v>
      </c>
    </row>
    <row r="5336" spans="1:2">
      <c r="A5336" s="112">
        <v>42973</v>
      </c>
      <c r="B5336" s="1">
        <f t="shared" si="83"/>
        <v>4</v>
      </c>
    </row>
    <row r="5337" spans="1:2">
      <c r="A5337" s="112">
        <v>42974</v>
      </c>
      <c r="B5337" s="1">
        <f t="shared" si="83"/>
        <v>5</v>
      </c>
    </row>
    <row r="5338" spans="1:2">
      <c r="A5338" s="112">
        <v>42975</v>
      </c>
      <c r="B5338" s="1">
        <f t="shared" si="83"/>
        <v>6</v>
      </c>
    </row>
    <row r="5339" spans="1:2">
      <c r="A5339" s="112">
        <v>42976</v>
      </c>
      <c r="B5339" s="1">
        <f t="shared" si="83"/>
        <v>7</v>
      </c>
    </row>
    <row r="5340" spans="1:2">
      <c r="A5340" s="112">
        <v>42977</v>
      </c>
      <c r="B5340" s="1">
        <f t="shared" si="83"/>
        <v>8</v>
      </c>
    </row>
    <row r="5341" spans="1:2">
      <c r="A5341" s="112">
        <v>42978</v>
      </c>
      <c r="B5341" s="1">
        <f t="shared" si="83"/>
        <v>9</v>
      </c>
    </row>
    <row r="5342" spans="1:2">
      <c r="A5342" s="112">
        <v>42979</v>
      </c>
      <c r="B5342" s="1">
        <f t="shared" si="83"/>
        <v>10</v>
      </c>
    </row>
    <row r="5343" spans="1:2">
      <c r="A5343" s="112">
        <v>42980</v>
      </c>
      <c r="B5343" s="1">
        <f t="shared" si="83"/>
        <v>11</v>
      </c>
    </row>
    <row r="5344" spans="1:2">
      <c r="A5344" s="112">
        <v>42981</v>
      </c>
      <c r="B5344" s="1">
        <f t="shared" si="83"/>
        <v>12</v>
      </c>
    </row>
    <row r="5345" spans="1:2">
      <c r="A5345" s="112">
        <v>42982</v>
      </c>
      <c r="B5345" s="1">
        <f t="shared" si="83"/>
        <v>13</v>
      </c>
    </row>
    <row r="5346" spans="1:2">
      <c r="A5346" s="112">
        <v>42983</v>
      </c>
      <c r="B5346" s="1">
        <f t="shared" si="83"/>
        <v>14</v>
      </c>
    </row>
    <row r="5347" spans="1:2">
      <c r="A5347" s="112">
        <v>42984</v>
      </c>
      <c r="B5347" s="1">
        <f t="shared" si="83"/>
        <v>15</v>
      </c>
    </row>
    <row r="5348" spans="1:2">
      <c r="A5348" s="112">
        <v>42985</v>
      </c>
      <c r="B5348" s="1">
        <f t="shared" si="83"/>
        <v>16</v>
      </c>
    </row>
    <row r="5349" spans="1:2">
      <c r="A5349" s="112">
        <v>42986</v>
      </c>
      <c r="B5349" s="1">
        <f t="shared" si="83"/>
        <v>17</v>
      </c>
    </row>
    <row r="5350" spans="1:2">
      <c r="A5350" s="112">
        <v>42987</v>
      </c>
      <c r="B5350" s="1">
        <f t="shared" si="83"/>
        <v>18</v>
      </c>
    </row>
    <row r="5351" spans="1:2">
      <c r="A5351" s="112">
        <v>42988</v>
      </c>
      <c r="B5351" s="1">
        <f t="shared" si="83"/>
        <v>19</v>
      </c>
    </row>
    <row r="5352" spans="1:2">
      <c r="A5352" s="112">
        <v>42989</v>
      </c>
      <c r="B5352" s="1">
        <f t="shared" si="83"/>
        <v>20</v>
      </c>
    </row>
    <row r="5353" spans="1:2">
      <c r="A5353" s="112">
        <v>42990</v>
      </c>
      <c r="B5353" s="1">
        <f t="shared" si="83"/>
        <v>21</v>
      </c>
    </row>
    <row r="5354" spans="1:2">
      <c r="A5354" s="112">
        <v>42991</v>
      </c>
      <c r="B5354" s="1">
        <f t="shared" si="83"/>
        <v>22</v>
      </c>
    </row>
    <row r="5355" spans="1:2">
      <c r="A5355" s="112">
        <v>42992</v>
      </c>
      <c r="B5355" s="1">
        <f t="shared" si="83"/>
        <v>23</v>
      </c>
    </row>
    <row r="5356" spans="1:2">
      <c r="A5356" s="112">
        <v>42993</v>
      </c>
      <c r="B5356" s="1">
        <f t="shared" si="83"/>
        <v>24</v>
      </c>
    </row>
    <row r="5357" spans="1:2">
      <c r="A5357" s="112">
        <v>42994</v>
      </c>
      <c r="B5357" s="1">
        <f t="shared" si="83"/>
        <v>25</v>
      </c>
    </row>
    <row r="5358" spans="1:2">
      <c r="A5358" s="112">
        <v>42995</v>
      </c>
      <c r="B5358" s="1">
        <f t="shared" si="83"/>
        <v>26</v>
      </c>
    </row>
    <row r="5359" spans="1:2">
      <c r="A5359" s="112">
        <v>42996</v>
      </c>
      <c r="B5359" s="1">
        <f t="shared" si="83"/>
        <v>27</v>
      </c>
    </row>
    <row r="5360" spans="1:2">
      <c r="A5360" s="112">
        <v>42997</v>
      </c>
      <c r="B5360" s="1">
        <f t="shared" si="83"/>
        <v>28</v>
      </c>
    </row>
    <row r="5361" spans="1:2">
      <c r="A5361" s="112">
        <v>42998</v>
      </c>
      <c r="B5361" s="1">
        <f t="shared" si="83"/>
        <v>29</v>
      </c>
    </row>
    <row r="5362" spans="1:2">
      <c r="A5362" s="112">
        <v>42999</v>
      </c>
      <c r="B5362" s="1">
        <f t="shared" si="83"/>
        <v>0</v>
      </c>
    </row>
    <row r="5363" spans="1:2">
      <c r="A5363" s="112">
        <v>43000</v>
      </c>
      <c r="B5363" s="1">
        <f t="shared" si="83"/>
        <v>1</v>
      </c>
    </row>
    <row r="5364" spans="1:2">
      <c r="A5364" s="112">
        <v>43001</v>
      </c>
      <c r="B5364" s="1">
        <f t="shared" si="83"/>
        <v>2</v>
      </c>
    </row>
    <row r="5365" spans="1:2">
      <c r="A5365" s="112">
        <v>43002</v>
      </c>
      <c r="B5365" s="1">
        <f t="shared" si="83"/>
        <v>3</v>
      </c>
    </row>
    <row r="5366" spans="1:2">
      <c r="A5366" s="112">
        <v>43003</v>
      </c>
      <c r="B5366" s="1">
        <f t="shared" si="83"/>
        <v>4</v>
      </c>
    </row>
    <row r="5367" spans="1:2">
      <c r="A5367" s="112">
        <v>43004</v>
      </c>
      <c r="B5367" s="1">
        <f t="shared" si="83"/>
        <v>5</v>
      </c>
    </row>
    <row r="5368" spans="1:2">
      <c r="A5368" s="112">
        <v>43005</v>
      </c>
      <c r="B5368" s="1">
        <f t="shared" si="83"/>
        <v>6</v>
      </c>
    </row>
    <row r="5369" spans="1:2">
      <c r="A5369" s="112">
        <v>43006</v>
      </c>
      <c r="B5369" s="1">
        <f t="shared" si="83"/>
        <v>7</v>
      </c>
    </row>
    <row r="5370" spans="1:2">
      <c r="A5370" s="112">
        <v>43007</v>
      </c>
      <c r="B5370" s="1">
        <f t="shared" si="83"/>
        <v>8</v>
      </c>
    </row>
    <row r="5371" spans="1:2">
      <c r="A5371" s="112">
        <v>43008</v>
      </c>
      <c r="B5371" s="1">
        <f t="shared" si="83"/>
        <v>9</v>
      </c>
    </row>
    <row r="5372" spans="1:2">
      <c r="A5372" s="112">
        <v>43009</v>
      </c>
      <c r="B5372" s="1">
        <f t="shared" si="83"/>
        <v>10</v>
      </c>
    </row>
    <row r="5373" spans="1:2">
      <c r="A5373" s="112">
        <v>43010</v>
      </c>
      <c r="B5373" s="1">
        <f t="shared" si="83"/>
        <v>11</v>
      </c>
    </row>
    <row r="5374" spans="1:2">
      <c r="A5374" s="112">
        <v>43011</v>
      </c>
      <c r="B5374" s="1">
        <f t="shared" si="83"/>
        <v>12</v>
      </c>
    </row>
    <row r="5375" spans="1:2">
      <c r="A5375" s="112">
        <v>43012</v>
      </c>
      <c r="B5375" s="1">
        <f t="shared" si="83"/>
        <v>13</v>
      </c>
    </row>
    <row r="5376" spans="1:2">
      <c r="A5376" s="112">
        <v>43013</v>
      </c>
      <c r="B5376" s="1">
        <f t="shared" si="83"/>
        <v>14</v>
      </c>
    </row>
    <row r="5377" spans="1:2">
      <c r="A5377" s="112">
        <v>43014</v>
      </c>
      <c r="B5377" s="1">
        <f t="shared" si="83"/>
        <v>15</v>
      </c>
    </row>
    <row r="5378" spans="1:2">
      <c r="A5378" s="112">
        <v>43015</v>
      </c>
      <c r="B5378" s="1">
        <f t="shared" si="83"/>
        <v>16</v>
      </c>
    </row>
    <row r="5379" spans="1:2">
      <c r="A5379" s="112">
        <v>43016</v>
      </c>
      <c r="B5379" s="1">
        <f t="shared" ref="B5379:B5442" si="84">INT(MOD($G$2+A5379-$F$2,29.53))</f>
        <v>17</v>
      </c>
    </row>
    <row r="5380" spans="1:2">
      <c r="A5380" s="112">
        <v>43017</v>
      </c>
      <c r="B5380" s="1">
        <f t="shared" si="84"/>
        <v>18</v>
      </c>
    </row>
    <row r="5381" spans="1:2">
      <c r="A5381" s="112">
        <v>43018</v>
      </c>
      <c r="B5381" s="1">
        <f t="shared" si="84"/>
        <v>19</v>
      </c>
    </row>
    <row r="5382" spans="1:2">
      <c r="A5382" s="112">
        <v>43019</v>
      </c>
      <c r="B5382" s="1">
        <f t="shared" si="84"/>
        <v>20</v>
      </c>
    </row>
    <row r="5383" spans="1:2">
      <c r="A5383" s="112">
        <v>43020</v>
      </c>
      <c r="B5383" s="1">
        <f t="shared" si="84"/>
        <v>21</v>
      </c>
    </row>
    <row r="5384" spans="1:2">
      <c r="A5384" s="112">
        <v>43021</v>
      </c>
      <c r="B5384" s="1">
        <f t="shared" si="84"/>
        <v>22</v>
      </c>
    </row>
    <row r="5385" spans="1:2">
      <c r="A5385" s="112">
        <v>43022</v>
      </c>
      <c r="B5385" s="1">
        <f t="shared" si="84"/>
        <v>23</v>
      </c>
    </row>
    <row r="5386" spans="1:2">
      <c r="A5386" s="112">
        <v>43023</v>
      </c>
      <c r="B5386" s="1">
        <f t="shared" si="84"/>
        <v>24</v>
      </c>
    </row>
    <row r="5387" spans="1:2">
      <c r="A5387" s="112">
        <v>43024</v>
      </c>
      <c r="B5387" s="1">
        <f t="shared" si="84"/>
        <v>25</v>
      </c>
    </row>
    <row r="5388" spans="1:2">
      <c r="A5388" s="112">
        <v>43025</v>
      </c>
      <c r="B5388" s="1">
        <f t="shared" si="84"/>
        <v>26</v>
      </c>
    </row>
    <row r="5389" spans="1:2">
      <c r="A5389" s="112">
        <v>43026</v>
      </c>
      <c r="B5389" s="1">
        <f t="shared" si="84"/>
        <v>27</v>
      </c>
    </row>
    <row r="5390" spans="1:2">
      <c r="A5390" s="112">
        <v>43027</v>
      </c>
      <c r="B5390" s="1">
        <f t="shared" si="84"/>
        <v>28</v>
      </c>
    </row>
    <row r="5391" spans="1:2">
      <c r="A5391" s="112">
        <v>43028</v>
      </c>
      <c r="B5391" s="1">
        <f t="shared" si="84"/>
        <v>0</v>
      </c>
    </row>
    <row r="5392" spans="1:2">
      <c r="A5392" s="112">
        <v>43029</v>
      </c>
      <c r="B5392" s="1">
        <f t="shared" si="84"/>
        <v>1</v>
      </c>
    </row>
    <row r="5393" spans="1:2">
      <c r="A5393" s="112">
        <v>43030</v>
      </c>
      <c r="B5393" s="1">
        <f t="shared" si="84"/>
        <v>2</v>
      </c>
    </row>
    <row r="5394" spans="1:2">
      <c r="A5394" s="112">
        <v>43031</v>
      </c>
      <c r="B5394" s="1">
        <f t="shared" si="84"/>
        <v>3</v>
      </c>
    </row>
    <row r="5395" spans="1:2">
      <c r="A5395" s="112">
        <v>43032</v>
      </c>
      <c r="B5395" s="1">
        <f t="shared" si="84"/>
        <v>4</v>
      </c>
    </row>
    <row r="5396" spans="1:2">
      <c r="A5396" s="112">
        <v>43033</v>
      </c>
      <c r="B5396" s="1">
        <f t="shared" si="84"/>
        <v>5</v>
      </c>
    </row>
    <row r="5397" spans="1:2">
      <c r="A5397" s="112">
        <v>43034</v>
      </c>
      <c r="B5397" s="1">
        <f t="shared" si="84"/>
        <v>6</v>
      </c>
    </row>
    <row r="5398" spans="1:2">
      <c r="A5398" s="112">
        <v>43035</v>
      </c>
      <c r="B5398" s="1">
        <f t="shared" si="84"/>
        <v>7</v>
      </c>
    </row>
    <row r="5399" spans="1:2">
      <c r="A5399" s="112">
        <v>43036</v>
      </c>
      <c r="B5399" s="1">
        <f t="shared" si="84"/>
        <v>8</v>
      </c>
    </row>
    <row r="5400" spans="1:2">
      <c r="A5400" s="112">
        <v>43037</v>
      </c>
      <c r="B5400" s="1">
        <f t="shared" si="84"/>
        <v>9</v>
      </c>
    </row>
    <row r="5401" spans="1:2">
      <c r="A5401" s="112">
        <v>43038</v>
      </c>
      <c r="B5401" s="1">
        <f t="shared" si="84"/>
        <v>10</v>
      </c>
    </row>
    <row r="5402" spans="1:2">
      <c r="A5402" s="112">
        <v>43039</v>
      </c>
      <c r="B5402" s="1">
        <f t="shared" si="84"/>
        <v>11</v>
      </c>
    </row>
    <row r="5403" spans="1:2">
      <c r="A5403" s="112">
        <v>43040</v>
      </c>
      <c r="B5403" s="1">
        <f t="shared" si="84"/>
        <v>12</v>
      </c>
    </row>
    <row r="5404" spans="1:2">
      <c r="A5404" s="112">
        <v>43041</v>
      </c>
      <c r="B5404" s="1">
        <f t="shared" si="84"/>
        <v>13</v>
      </c>
    </row>
    <row r="5405" spans="1:2">
      <c r="A5405" s="112">
        <v>43042</v>
      </c>
      <c r="B5405" s="1">
        <f t="shared" si="84"/>
        <v>14</v>
      </c>
    </row>
    <row r="5406" spans="1:2">
      <c r="A5406" s="112">
        <v>43043</v>
      </c>
      <c r="B5406" s="1">
        <f t="shared" si="84"/>
        <v>15</v>
      </c>
    </row>
    <row r="5407" spans="1:2">
      <c r="A5407" s="112">
        <v>43044</v>
      </c>
      <c r="B5407" s="1">
        <f t="shared" si="84"/>
        <v>16</v>
      </c>
    </row>
    <row r="5408" spans="1:2">
      <c r="A5408" s="112">
        <v>43045</v>
      </c>
      <c r="B5408" s="1">
        <f t="shared" si="84"/>
        <v>17</v>
      </c>
    </row>
    <row r="5409" spans="1:2">
      <c r="A5409" s="112">
        <v>43046</v>
      </c>
      <c r="B5409" s="1">
        <f t="shared" si="84"/>
        <v>18</v>
      </c>
    </row>
    <row r="5410" spans="1:2">
      <c r="A5410" s="112">
        <v>43047</v>
      </c>
      <c r="B5410" s="1">
        <f t="shared" si="84"/>
        <v>19</v>
      </c>
    </row>
    <row r="5411" spans="1:2">
      <c r="A5411" s="112">
        <v>43048</v>
      </c>
      <c r="B5411" s="1">
        <f t="shared" si="84"/>
        <v>20</v>
      </c>
    </row>
    <row r="5412" spans="1:2">
      <c r="A5412" s="112">
        <v>43049</v>
      </c>
      <c r="B5412" s="1">
        <f t="shared" si="84"/>
        <v>21</v>
      </c>
    </row>
    <row r="5413" spans="1:2">
      <c r="A5413" s="112">
        <v>43050</v>
      </c>
      <c r="B5413" s="1">
        <f t="shared" si="84"/>
        <v>22</v>
      </c>
    </row>
    <row r="5414" spans="1:2">
      <c r="A5414" s="112">
        <v>43051</v>
      </c>
      <c r="B5414" s="1">
        <f t="shared" si="84"/>
        <v>23</v>
      </c>
    </row>
    <row r="5415" spans="1:2">
      <c r="A5415" s="112">
        <v>43052</v>
      </c>
      <c r="B5415" s="1">
        <f t="shared" si="84"/>
        <v>24</v>
      </c>
    </row>
    <row r="5416" spans="1:2">
      <c r="A5416" s="112">
        <v>43053</v>
      </c>
      <c r="B5416" s="1">
        <f t="shared" si="84"/>
        <v>25</v>
      </c>
    </row>
    <row r="5417" spans="1:2">
      <c r="A5417" s="112">
        <v>43054</v>
      </c>
      <c r="B5417" s="1">
        <f t="shared" si="84"/>
        <v>26</v>
      </c>
    </row>
    <row r="5418" spans="1:2">
      <c r="A5418" s="112">
        <v>43055</v>
      </c>
      <c r="B5418" s="1">
        <f t="shared" si="84"/>
        <v>27</v>
      </c>
    </row>
    <row r="5419" spans="1:2">
      <c r="A5419" s="112">
        <v>43056</v>
      </c>
      <c r="B5419" s="1">
        <f t="shared" si="84"/>
        <v>28</v>
      </c>
    </row>
    <row r="5420" spans="1:2">
      <c r="A5420" s="112">
        <v>43057</v>
      </c>
      <c r="B5420" s="1">
        <f t="shared" si="84"/>
        <v>29</v>
      </c>
    </row>
    <row r="5421" spans="1:2">
      <c r="A5421" s="112">
        <v>43058</v>
      </c>
      <c r="B5421" s="1">
        <f t="shared" si="84"/>
        <v>0</v>
      </c>
    </row>
    <row r="5422" spans="1:2">
      <c r="A5422" s="112">
        <v>43059</v>
      </c>
      <c r="B5422" s="1">
        <f t="shared" si="84"/>
        <v>1</v>
      </c>
    </row>
    <row r="5423" spans="1:2">
      <c r="A5423" s="112">
        <v>43060</v>
      </c>
      <c r="B5423" s="1">
        <f t="shared" si="84"/>
        <v>2</v>
      </c>
    </row>
    <row r="5424" spans="1:2">
      <c r="A5424" s="112">
        <v>43061</v>
      </c>
      <c r="B5424" s="1">
        <f t="shared" si="84"/>
        <v>3</v>
      </c>
    </row>
    <row r="5425" spans="1:2">
      <c r="A5425" s="112">
        <v>43062</v>
      </c>
      <c r="B5425" s="1">
        <f t="shared" si="84"/>
        <v>4</v>
      </c>
    </row>
    <row r="5426" spans="1:2">
      <c r="A5426" s="112">
        <v>43063</v>
      </c>
      <c r="B5426" s="1">
        <f t="shared" si="84"/>
        <v>5</v>
      </c>
    </row>
    <row r="5427" spans="1:2">
      <c r="A5427" s="112">
        <v>43064</v>
      </c>
      <c r="B5427" s="1">
        <f t="shared" si="84"/>
        <v>6</v>
      </c>
    </row>
    <row r="5428" spans="1:2">
      <c r="A5428" s="112">
        <v>43065</v>
      </c>
      <c r="B5428" s="1">
        <f t="shared" si="84"/>
        <v>7</v>
      </c>
    </row>
    <row r="5429" spans="1:2">
      <c r="A5429" s="112">
        <v>43066</v>
      </c>
      <c r="B5429" s="1">
        <f t="shared" si="84"/>
        <v>8</v>
      </c>
    </row>
    <row r="5430" spans="1:2">
      <c r="A5430" s="112">
        <v>43067</v>
      </c>
      <c r="B5430" s="1">
        <f t="shared" si="84"/>
        <v>9</v>
      </c>
    </row>
    <row r="5431" spans="1:2">
      <c r="A5431" s="112">
        <v>43068</v>
      </c>
      <c r="B5431" s="1">
        <f t="shared" si="84"/>
        <v>10</v>
      </c>
    </row>
    <row r="5432" spans="1:2">
      <c r="A5432" s="112">
        <v>43069</v>
      </c>
      <c r="B5432" s="1">
        <f t="shared" si="84"/>
        <v>11</v>
      </c>
    </row>
    <row r="5433" spans="1:2">
      <c r="A5433" s="112">
        <v>43070</v>
      </c>
      <c r="B5433" s="1">
        <f t="shared" si="84"/>
        <v>12</v>
      </c>
    </row>
    <row r="5434" spans="1:2">
      <c r="A5434" s="112">
        <v>43071</v>
      </c>
      <c r="B5434" s="1">
        <f t="shared" si="84"/>
        <v>13</v>
      </c>
    </row>
    <row r="5435" spans="1:2">
      <c r="A5435" s="112">
        <v>43072</v>
      </c>
      <c r="B5435" s="1">
        <f t="shared" si="84"/>
        <v>14</v>
      </c>
    </row>
    <row r="5436" spans="1:2">
      <c r="A5436" s="112">
        <v>43073</v>
      </c>
      <c r="B5436" s="1">
        <f t="shared" si="84"/>
        <v>15</v>
      </c>
    </row>
    <row r="5437" spans="1:2">
      <c r="A5437" s="112">
        <v>43074</v>
      </c>
      <c r="B5437" s="1">
        <f t="shared" si="84"/>
        <v>16</v>
      </c>
    </row>
    <row r="5438" spans="1:2">
      <c r="A5438" s="112">
        <v>43075</v>
      </c>
      <c r="B5438" s="1">
        <f t="shared" si="84"/>
        <v>17</v>
      </c>
    </row>
    <row r="5439" spans="1:2">
      <c r="A5439" s="112">
        <v>43076</v>
      </c>
      <c r="B5439" s="1">
        <f t="shared" si="84"/>
        <v>18</v>
      </c>
    </row>
    <row r="5440" spans="1:2">
      <c r="A5440" s="112">
        <v>43077</v>
      </c>
      <c r="B5440" s="1">
        <f t="shared" si="84"/>
        <v>19</v>
      </c>
    </row>
    <row r="5441" spans="1:2">
      <c r="A5441" s="112">
        <v>43078</v>
      </c>
      <c r="B5441" s="1">
        <f t="shared" si="84"/>
        <v>20</v>
      </c>
    </row>
    <row r="5442" spans="1:2">
      <c r="A5442" s="112">
        <v>43079</v>
      </c>
      <c r="B5442" s="1">
        <f t="shared" si="84"/>
        <v>21</v>
      </c>
    </row>
    <row r="5443" spans="1:2">
      <c r="A5443" s="112">
        <v>43080</v>
      </c>
      <c r="B5443" s="1">
        <f t="shared" ref="B5443:B5506" si="85">INT(MOD($G$2+A5443-$F$2,29.53))</f>
        <v>22</v>
      </c>
    </row>
    <row r="5444" spans="1:2">
      <c r="A5444" s="112">
        <v>43081</v>
      </c>
      <c r="B5444" s="1">
        <f t="shared" si="85"/>
        <v>23</v>
      </c>
    </row>
    <row r="5445" spans="1:2">
      <c r="A5445" s="112">
        <v>43082</v>
      </c>
      <c r="B5445" s="1">
        <f t="shared" si="85"/>
        <v>24</v>
      </c>
    </row>
    <row r="5446" spans="1:2">
      <c r="A5446" s="112">
        <v>43083</v>
      </c>
      <c r="B5446" s="1">
        <f t="shared" si="85"/>
        <v>25</v>
      </c>
    </row>
    <row r="5447" spans="1:2">
      <c r="A5447" s="112">
        <v>43084</v>
      </c>
      <c r="B5447" s="1">
        <f t="shared" si="85"/>
        <v>26</v>
      </c>
    </row>
    <row r="5448" spans="1:2">
      <c r="A5448" s="112">
        <v>43085</v>
      </c>
      <c r="B5448" s="1">
        <f t="shared" si="85"/>
        <v>27</v>
      </c>
    </row>
    <row r="5449" spans="1:2">
      <c r="A5449" s="112">
        <v>43086</v>
      </c>
      <c r="B5449" s="1">
        <f t="shared" si="85"/>
        <v>28</v>
      </c>
    </row>
    <row r="5450" spans="1:2">
      <c r="A5450" s="112">
        <v>43087</v>
      </c>
      <c r="B5450" s="1">
        <f t="shared" si="85"/>
        <v>0</v>
      </c>
    </row>
    <row r="5451" spans="1:2">
      <c r="A5451" s="112">
        <v>43088</v>
      </c>
      <c r="B5451" s="1">
        <f t="shared" si="85"/>
        <v>1</v>
      </c>
    </row>
    <row r="5452" spans="1:2">
      <c r="A5452" s="112">
        <v>43089</v>
      </c>
      <c r="B5452" s="1">
        <f t="shared" si="85"/>
        <v>2</v>
      </c>
    </row>
    <row r="5453" spans="1:2">
      <c r="A5453" s="112">
        <v>43090</v>
      </c>
      <c r="B5453" s="1">
        <f t="shared" si="85"/>
        <v>3</v>
      </c>
    </row>
    <row r="5454" spans="1:2">
      <c r="A5454" s="112">
        <v>43091</v>
      </c>
      <c r="B5454" s="1">
        <f t="shared" si="85"/>
        <v>4</v>
      </c>
    </row>
    <row r="5455" spans="1:2">
      <c r="A5455" s="112">
        <v>43092</v>
      </c>
      <c r="B5455" s="1">
        <f t="shared" si="85"/>
        <v>5</v>
      </c>
    </row>
    <row r="5456" spans="1:2">
      <c r="A5456" s="112">
        <v>43093</v>
      </c>
      <c r="B5456" s="1">
        <f t="shared" si="85"/>
        <v>6</v>
      </c>
    </row>
    <row r="5457" spans="1:2">
      <c r="A5457" s="112">
        <v>43094</v>
      </c>
      <c r="B5457" s="1">
        <f t="shared" si="85"/>
        <v>7</v>
      </c>
    </row>
    <row r="5458" spans="1:2">
      <c r="A5458" s="112">
        <v>43095</v>
      </c>
      <c r="B5458" s="1">
        <f t="shared" si="85"/>
        <v>8</v>
      </c>
    </row>
    <row r="5459" spans="1:2">
      <c r="A5459" s="112">
        <v>43096</v>
      </c>
      <c r="B5459" s="1">
        <f t="shared" si="85"/>
        <v>9</v>
      </c>
    </row>
    <row r="5460" spans="1:2">
      <c r="A5460" s="112">
        <v>43097</v>
      </c>
      <c r="B5460" s="1">
        <f t="shared" si="85"/>
        <v>10</v>
      </c>
    </row>
    <row r="5461" spans="1:2">
      <c r="A5461" s="112">
        <v>43098</v>
      </c>
      <c r="B5461" s="1">
        <f t="shared" si="85"/>
        <v>11</v>
      </c>
    </row>
    <row r="5462" spans="1:2">
      <c r="A5462" s="112">
        <v>43099</v>
      </c>
      <c r="B5462" s="1">
        <f t="shared" si="85"/>
        <v>12</v>
      </c>
    </row>
    <row r="5463" spans="1:2">
      <c r="A5463" s="112">
        <v>43100</v>
      </c>
      <c r="B5463" s="1">
        <f t="shared" si="85"/>
        <v>13</v>
      </c>
    </row>
    <row r="5464" spans="1:2">
      <c r="A5464" s="112">
        <v>43101</v>
      </c>
      <c r="B5464" s="1">
        <f t="shared" si="85"/>
        <v>14</v>
      </c>
    </row>
    <row r="5465" spans="1:2">
      <c r="A5465" s="112">
        <v>43102</v>
      </c>
      <c r="B5465" s="1">
        <f t="shared" si="85"/>
        <v>15</v>
      </c>
    </row>
    <row r="5466" spans="1:2">
      <c r="A5466" s="112">
        <v>43103</v>
      </c>
      <c r="B5466" s="1">
        <f t="shared" si="85"/>
        <v>16</v>
      </c>
    </row>
    <row r="5467" spans="1:2">
      <c r="A5467" s="112">
        <v>43104</v>
      </c>
      <c r="B5467" s="1">
        <f t="shared" si="85"/>
        <v>17</v>
      </c>
    </row>
    <row r="5468" spans="1:2">
      <c r="A5468" s="112">
        <v>43105</v>
      </c>
      <c r="B5468" s="1">
        <f t="shared" si="85"/>
        <v>18</v>
      </c>
    </row>
    <row r="5469" spans="1:2">
      <c r="A5469" s="112">
        <v>43106</v>
      </c>
      <c r="B5469" s="1">
        <f t="shared" si="85"/>
        <v>19</v>
      </c>
    </row>
    <row r="5470" spans="1:2">
      <c r="A5470" s="112">
        <v>43107</v>
      </c>
      <c r="B5470" s="1">
        <f t="shared" si="85"/>
        <v>20</v>
      </c>
    </row>
    <row r="5471" spans="1:2">
      <c r="A5471" s="112">
        <v>43108</v>
      </c>
      <c r="B5471" s="1">
        <f t="shared" si="85"/>
        <v>21</v>
      </c>
    </row>
    <row r="5472" spans="1:2">
      <c r="A5472" s="112">
        <v>43109</v>
      </c>
      <c r="B5472" s="1">
        <f t="shared" si="85"/>
        <v>22</v>
      </c>
    </row>
    <row r="5473" spans="1:2">
      <c r="A5473" s="112">
        <v>43110</v>
      </c>
      <c r="B5473" s="1">
        <f t="shared" si="85"/>
        <v>23</v>
      </c>
    </row>
    <row r="5474" spans="1:2">
      <c r="A5474" s="112">
        <v>43111</v>
      </c>
      <c r="B5474" s="1">
        <f t="shared" si="85"/>
        <v>24</v>
      </c>
    </row>
    <row r="5475" spans="1:2">
      <c r="A5475" s="112">
        <v>43112</v>
      </c>
      <c r="B5475" s="1">
        <f t="shared" si="85"/>
        <v>25</v>
      </c>
    </row>
    <row r="5476" spans="1:2">
      <c r="A5476" s="112">
        <v>43113</v>
      </c>
      <c r="B5476" s="1">
        <f t="shared" si="85"/>
        <v>26</v>
      </c>
    </row>
    <row r="5477" spans="1:2">
      <c r="A5477" s="112">
        <v>43114</v>
      </c>
      <c r="B5477" s="1">
        <f t="shared" si="85"/>
        <v>27</v>
      </c>
    </row>
    <row r="5478" spans="1:2">
      <c r="A5478" s="112">
        <v>43115</v>
      </c>
      <c r="B5478" s="1">
        <f t="shared" si="85"/>
        <v>28</v>
      </c>
    </row>
    <row r="5479" spans="1:2">
      <c r="A5479" s="112">
        <v>43116</v>
      </c>
      <c r="B5479" s="1">
        <f t="shared" si="85"/>
        <v>29</v>
      </c>
    </row>
    <row r="5480" spans="1:2">
      <c r="A5480" s="112">
        <v>43117</v>
      </c>
      <c r="B5480" s="1">
        <f t="shared" si="85"/>
        <v>0</v>
      </c>
    </row>
    <row r="5481" spans="1:2">
      <c r="A5481" s="112">
        <v>43118</v>
      </c>
      <c r="B5481" s="1">
        <f t="shared" si="85"/>
        <v>1</v>
      </c>
    </row>
    <row r="5482" spans="1:2">
      <c r="A5482" s="112">
        <v>43119</v>
      </c>
      <c r="B5482" s="1">
        <f t="shared" si="85"/>
        <v>2</v>
      </c>
    </row>
    <row r="5483" spans="1:2">
      <c r="A5483" s="112">
        <v>43120</v>
      </c>
      <c r="B5483" s="1">
        <f t="shared" si="85"/>
        <v>3</v>
      </c>
    </row>
    <row r="5484" spans="1:2">
      <c r="A5484" s="112">
        <v>43121</v>
      </c>
      <c r="B5484" s="1">
        <f t="shared" si="85"/>
        <v>4</v>
      </c>
    </row>
    <row r="5485" spans="1:2">
      <c r="A5485" s="112">
        <v>43122</v>
      </c>
      <c r="B5485" s="1">
        <f t="shared" si="85"/>
        <v>5</v>
      </c>
    </row>
    <row r="5486" spans="1:2">
      <c r="A5486" s="112">
        <v>43123</v>
      </c>
      <c r="B5486" s="1">
        <f t="shared" si="85"/>
        <v>6</v>
      </c>
    </row>
    <row r="5487" spans="1:2">
      <c r="A5487" s="112">
        <v>43124</v>
      </c>
      <c r="B5487" s="1">
        <f t="shared" si="85"/>
        <v>7</v>
      </c>
    </row>
    <row r="5488" spans="1:2">
      <c r="A5488" s="112">
        <v>43125</v>
      </c>
      <c r="B5488" s="1">
        <f t="shared" si="85"/>
        <v>8</v>
      </c>
    </row>
    <row r="5489" spans="1:2">
      <c r="A5489" s="112">
        <v>43126</v>
      </c>
      <c r="B5489" s="1">
        <f t="shared" si="85"/>
        <v>9</v>
      </c>
    </row>
    <row r="5490" spans="1:2">
      <c r="A5490" s="112">
        <v>43127</v>
      </c>
      <c r="B5490" s="1">
        <f t="shared" si="85"/>
        <v>10</v>
      </c>
    </row>
    <row r="5491" spans="1:2">
      <c r="A5491" s="112">
        <v>43128</v>
      </c>
      <c r="B5491" s="1">
        <f t="shared" si="85"/>
        <v>11</v>
      </c>
    </row>
    <row r="5492" spans="1:2">
      <c r="A5492" s="112">
        <v>43129</v>
      </c>
      <c r="B5492" s="1">
        <f t="shared" si="85"/>
        <v>12</v>
      </c>
    </row>
    <row r="5493" spans="1:2">
      <c r="A5493" s="112">
        <v>43130</v>
      </c>
      <c r="B5493" s="1">
        <f t="shared" si="85"/>
        <v>13</v>
      </c>
    </row>
    <row r="5494" spans="1:2">
      <c r="A5494" s="112">
        <v>43131</v>
      </c>
      <c r="B5494" s="1">
        <f t="shared" si="85"/>
        <v>14</v>
      </c>
    </row>
    <row r="5495" spans="1:2">
      <c r="A5495" s="112">
        <v>43132</v>
      </c>
      <c r="B5495" s="1">
        <f t="shared" si="85"/>
        <v>15</v>
      </c>
    </row>
    <row r="5496" spans="1:2">
      <c r="A5496" s="112">
        <v>43133</v>
      </c>
      <c r="B5496" s="1">
        <f t="shared" si="85"/>
        <v>16</v>
      </c>
    </row>
    <row r="5497" spans="1:2">
      <c r="A5497" s="112">
        <v>43134</v>
      </c>
      <c r="B5497" s="1">
        <f t="shared" si="85"/>
        <v>17</v>
      </c>
    </row>
    <row r="5498" spans="1:2">
      <c r="A5498" s="112">
        <v>43135</v>
      </c>
      <c r="B5498" s="1">
        <f t="shared" si="85"/>
        <v>18</v>
      </c>
    </row>
    <row r="5499" spans="1:2">
      <c r="A5499" s="112">
        <v>43136</v>
      </c>
      <c r="B5499" s="1">
        <f t="shared" si="85"/>
        <v>19</v>
      </c>
    </row>
    <row r="5500" spans="1:2">
      <c r="A5500" s="112">
        <v>43137</v>
      </c>
      <c r="B5500" s="1">
        <f t="shared" si="85"/>
        <v>20</v>
      </c>
    </row>
    <row r="5501" spans="1:2">
      <c r="A5501" s="112">
        <v>43138</v>
      </c>
      <c r="B5501" s="1">
        <f t="shared" si="85"/>
        <v>21</v>
      </c>
    </row>
    <row r="5502" spans="1:2">
      <c r="A5502" s="112">
        <v>43139</v>
      </c>
      <c r="B5502" s="1">
        <f t="shared" si="85"/>
        <v>22</v>
      </c>
    </row>
    <row r="5503" spans="1:2">
      <c r="A5503" s="112">
        <v>43140</v>
      </c>
      <c r="B5503" s="1">
        <f t="shared" si="85"/>
        <v>23</v>
      </c>
    </row>
    <row r="5504" spans="1:2">
      <c r="A5504" s="112">
        <v>43141</v>
      </c>
      <c r="B5504" s="1">
        <f t="shared" si="85"/>
        <v>24</v>
      </c>
    </row>
    <row r="5505" spans="1:2">
      <c r="A5505" s="112">
        <v>43142</v>
      </c>
      <c r="B5505" s="1">
        <f t="shared" si="85"/>
        <v>25</v>
      </c>
    </row>
    <row r="5506" spans="1:2">
      <c r="A5506" s="112">
        <v>43143</v>
      </c>
      <c r="B5506" s="1">
        <f t="shared" si="85"/>
        <v>26</v>
      </c>
    </row>
    <row r="5507" spans="1:2">
      <c r="A5507" s="112">
        <v>43144</v>
      </c>
      <c r="B5507" s="1">
        <f t="shared" ref="B5507:B5570" si="86">INT(MOD($G$2+A5507-$F$2,29.53))</f>
        <v>27</v>
      </c>
    </row>
    <row r="5508" spans="1:2">
      <c r="A5508" s="112">
        <v>43145</v>
      </c>
      <c r="B5508" s="1">
        <f t="shared" si="86"/>
        <v>28</v>
      </c>
    </row>
    <row r="5509" spans="1:2">
      <c r="A5509" s="112">
        <v>43146</v>
      </c>
      <c r="B5509" s="1">
        <f t="shared" si="86"/>
        <v>0</v>
      </c>
    </row>
    <row r="5510" spans="1:2">
      <c r="A5510" s="112">
        <v>43147</v>
      </c>
      <c r="B5510" s="1">
        <f t="shared" si="86"/>
        <v>1</v>
      </c>
    </row>
    <row r="5511" spans="1:2">
      <c r="A5511" s="112">
        <v>43148</v>
      </c>
      <c r="B5511" s="1">
        <f t="shared" si="86"/>
        <v>2</v>
      </c>
    </row>
    <row r="5512" spans="1:2">
      <c r="A5512" s="112">
        <v>43149</v>
      </c>
      <c r="B5512" s="1">
        <f t="shared" si="86"/>
        <v>3</v>
      </c>
    </row>
    <row r="5513" spans="1:2">
      <c r="A5513" s="112">
        <v>43150</v>
      </c>
      <c r="B5513" s="1">
        <f t="shared" si="86"/>
        <v>4</v>
      </c>
    </row>
    <row r="5514" spans="1:2">
      <c r="A5514" s="112">
        <v>43151</v>
      </c>
      <c r="B5514" s="1">
        <f t="shared" si="86"/>
        <v>5</v>
      </c>
    </row>
    <row r="5515" spans="1:2">
      <c r="A5515" s="112">
        <v>43152</v>
      </c>
      <c r="B5515" s="1">
        <f t="shared" si="86"/>
        <v>6</v>
      </c>
    </row>
    <row r="5516" spans="1:2">
      <c r="A5516" s="112">
        <v>43153</v>
      </c>
      <c r="B5516" s="1">
        <f t="shared" si="86"/>
        <v>7</v>
      </c>
    </row>
    <row r="5517" spans="1:2">
      <c r="A5517" s="112">
        <v>43154</v>
      </c>
      <c r="B5517" s="1">
        <f t="shared" si="86"/>
        <v>8</v>
      </c>
    </row>
    <row r="5518" spans="1:2">
      <c r="A5518" s="112">
        <v>43155</v>
      </c>
      <c r="B5518" s="1">
        <f t="shared" si="86"/>
        <v>9</v>
      </c>
    </row>
    <row r="5519" spans="1:2">
      <c r="A5519" s="112">
        <v>43156</v>
      </c>
      <c r="B5519" s="1">
        <f t="shared" si="86"/>
        <v>10</v>
      </c>
    </row>
    <row r="5520" spans="1:2">
      <c r="A5520" s="112">
        <v>43157</v>
      </c>
      <c r="B5520" s="1">
        <f t="shared" si="86"/>
        <v>11</v>
      </c>
    </row>
    <row r="5521" spans="1:2">
      <c r="A5521" s="112">
        <v>43158</v>
      </c>
      <c r="B5521" s="1">
        <f t="shared" si="86"/>
        <v>12</v>
      </c>
    </row>
    <row r="5522" spans="1:2">
      <c r="A5522" s="112">
        <v>43159</v>
      </c>
      <c r="B5522" s="1">
        <f t="shared" si="86"/>
        <v>13</v>
      </c>
    </row>
    <row r="5523" spans="1:2">
      <c r="A5523" s="112">
        <v>43160</v>
      </c>
      <c r="B5523" s="1">
        <f t="shared" si="86"/>
        <v>14</v>
      </c>
    </row>
    <row r="5524" spans="1:2">
      <c r="A5524" s="112">
        <v>43161</v>
      </c>
      <c r="B5524" s="1">
        <f t="shared" si="86"/>
        <v>15</v>
      </c>
    </row>
    <row r="5525" spans="1:2">
      <c r="A5525" s="112">
        <v>43162</v>
      </c>
      <c r="B5525" s="1">
        <f t="shared" si="86"/>
        <v>16</v>
      </c>
    </row>
    <row r="5526" spans="1:2">
      <c r="A5526" s="112">
        <v>43163</v>
      </c>
      <c r="B5526" s="1">
        <f t="shared" si="86"/>
        <v>17</v>
      </c>
    </row>
    <row r="5527" spans="1:2">
      <c r="A5527" s="112">
        <v>43164</v>
      </c>
      <c r="B5527" s="1">
        <f t="shared" si="86"/>
        <v>18</v>
      </c>
    </row>
    <row r="5528" spans="1:2">
      <c r="A5528" s="112">
        <v>43165</v>
      </c>
      <c r="B5528" s="1">
        <f t="shared" si="86"/>
        <v>19</v>
      </c>
    </row>
    <row r="5529" spans="1:2">
      <c r="A5529" s="112">
        <v>43166</v>
      </c>
      <c r="B5529" s="1">
        <f t="shared" si="86"/>
        <v>20</v>
      </c>
    </row>
    <row r="5530" spans="1:2">
      <c r="A5530" s="112">
        <v>43167</v>
      </c>
      <c r="B5530" s="1">
        <f t="shared" si="86"/>
        <v>21</v>
      </c>
    </row>
    <row r="5531" spans="1:2">
      <c r="A5531" s="112">
        <v>43168</v>
      </c>
      <c r="B5531" s="1">
        <f t="shared" si="86"/>
        <v>22</v>
      </c>
    </row>
    <row r="5532" spans="1:2">
      <c r="A5532" s="112">
        <v>43169</v>
      </c>
      <c r="B5532" s="1">
        <f t="shared" si="86"/>
        <v>23</v>
      </c>
    </row>
    <row r="5533" spans="1:2">
      <c r="A5533" s="112">
        <v>43170</v>
      </c>
      <c r="B5533" s="1">
        <f t="shared" si="86"/>
        <v>24</v>
      </c>
    </row>
    <row r="5534" spans="1:2">
      <c r="A5534" s="112">
        <v>43171</v>
      </c>
      <c r="B5534" s="1">
        <f t="shared" si="86"/>
        <v>25</v>
      </c>
    </row>
    <row r="5535" spans="1:2">
      <c r="A5535" s="112">
        <v>43172</v>
      </c>
      <c r="B5535" s="1">
        <f t="shared" si="86"/>
        <v>26</v>
      </c>
    </row>
    <row r="5536" spans="1:2">
      <c r="A5536" s="112">
        <v>43173</v>
      </c>
      <c r="B5536" s="1">
        <f t="shared" si="86"/>
        <v>27</v>
      </c>
    </row>
    <row r="5537" spans="1:2">
      <c r="A5537" s="112">
        <v>43174</v>
      </c>
      <c r="B5537" s="1">
        <f t="shared" si="86"/>
        <v>28</v>
      </c>
    </row>
    <row r="5538" spans="1:2">
      <c r="A5538" s="112">
        <v>43175</v>
      </c>
      <c r="B5538" s="1">
        <f t="shared" si="86"/>
        <v>29</v>
      </c>
    </row>
    <row r="5539" spans="1:2">
      <c r="A5539" s="112">
        <v>43176</v>
      </c>
      <c r="B5539" s="1">
        <f t="shared" si="86"/>
        <v>0</v>
      </c>
    </row>
    <row r="5540" spans="1:2">
      <c r="A5540" s="112">
        <v>43177</v>
      </c>
      <c r="B5540" s="1">
        <f t="shared" si="86"/>
        <v>1</v>
      </c>
    </row>
    <row r="5541" spans="1:2">
      <c r="A5541" s="112">
        <v>43178</v>
      </c>
      <c r="B5541" s="1">
        <f t="shared" si="86"/>
        <v>2</v>
      </c>
    </row>
    <row r="5542" spans="1:2">
      <c r="A5542" s="112">
        <v>43179</v>
      </c>
      <c r="B5542" s="1">
        <f t="shared" si="86"/>
        <v>3</v>
      </c>
    </row>
    <row r="5543" spans="1:2">
      <c r="A5543" s="112">
        <v>43180</v>
      </c>
      <c r="B5543" s="1">
        <f t="shared" si="86"/>
        <v>4</v>
      </c>
    </row>
    <row r="5544" spans="1:2">
      <c r="A5544" s="112">
        <v>43181</v>
      </c>
      <c r="B5544" s="1">
        <f t="shared" si="86"/>
        <v>5</v>
      </c>
    </row>
    <row r="5545" spans="1:2">
      <c r="A5545" s="112">
        <v>43182</v>
      </c>
      <c r="B5545" s="1">
        <f t="shared" si="86"/>
        <v>6</v>
      </c>
    </row>
    <row r="5546" spans="1:2">
      <c r="A5546" s="112">
        <v>43183</v>
      </c>
      <c r="B5546" s="1">
        <f t="shared" si="86"/>
        <v>7</v>
      </c>
    </row>
    <row r="5547" spans="1:2">
      <c r="A5547" s="112">
        <v>43184</v>
      </c>
      <c r="B5547" s="1">
        <f t="shared" si="86"/>
        <v>8</v>
      </c>
    </row>
    <row r="5548" spans="1:2">
      <c r="A5548" s="112">
        <v>43185</v>
      </c>
      <c r="B5548" s="1">
        <f t="shared" si="86"/>
        <v>9</v>
      </c>
    </row>
    <row r="5549" spans="1:2">
      <c r="A5549" s="112">
        <v>43186</v>
      </c>
      <c r="B5549" s="1">
        <f t="shared" si="86"/>
        <v>10</v>
      </c>
    </row>
    <row r="5550" spans="1:2">
      <c r="A5550" s="112">
        <v>43187</v>
      </c>
      <c r="B5550" s="1">
        <f t="shared" si="86"/>
        <v>11</v>
      </c>
    </row>
    <row r="5551" spans="1:2">
      <c r="A5551" s="112">
        <v>43188</v>
      </c>
      <c r="B5551" s="1">
        <f t="shared" si="86"/>
        <v>12</v>
      </c>
    </row>
    <row r="5552" spans="1:2">
      <c r="A5552" s="112">
        <v>43189</v>
      </c>
      <c r="B5552" s="1">
        <f t="shared" si="86"/>
        <v>13</v>
      </c>
    </row>
    <row r="5553" spans="1:2">
      <c r="A5553" s="112">
        <v>43190</v>
      </c>
      <c r="B5553" s="1">
        <f t="shared" si="86"/>
        <v>14</v>
      </c>
    </row>
    <row r="5554" spans="1:2">
      <c r="A5554" s="112">
        <v>43191</v>
      </c>
      <c r="B5554" s="1">
        <f t="shared" si="86"/>
        <v>15</v>
      </c>
    </row>
    <row r="5555" spans="1:2">
      <c r="A5555" s="112">
        <v>43192</v>
      </c>
      <c r="B5555" s="1">
        <f t="shared" si="86"/>
        <v>16</v>
      </c>
    </row>
    <row r="5556" spans="1:2">
      <c r="A5556" s="112">
        <v>43193</v>
      </c>
      <c r="B5556" s="1">
        <f t="shared" si="86"/>
        <v>17</v>
      </c>
    </row>
    <row r="5557" spans="1:2">
      <c r="A5557" s="112">
        <v>43194</v>
      </c>
      <c r="B5557" s="1">
        <f t="shared" si="86"/>
        <v>18</v>
      </c>
    </row>
    <row r="5558" spans="1:2">
      <c r="A5558" s="112">
        <v>43195</v>
      </c>
      <c r="B5558" s="1">
        <f t="shared" si="86"/>
        <v>19</v>
      </c>
    </row>
    <row r="5559" spans="1:2">
      <c r="A5559" s="112">
        <v>43196</v>
      </c>
      <c r="B5559" s="1">
        <f t="shared" si="86"/>
        <v>20</v>
      </c>
    </row>
    <row r="5560" spans="1:2">
      <c r="A5560" s="112">
        <v>43197</v>
      </c>
      <c r="B5560" s="1">
        <f t="shared" si="86"/>
        <v>21</v>
      </c>
    </row>
    <row r="5561" spans="1:2">
      <c r="A5561" s="112">
        <v>43198</v>
      </c>
      <c r="B5561" s="1">
        <f t="shared" si="86"/>
        <v>22</v>
      </c>
    </row>
    <row r="5562" spans="1:2">
      <c r="A5562" s="112">
        <v>43199</v>
      </c>
      <c r="B5562" s="1">
        <f t="shared" si="86"/>
        <v>23</v>
      </c>
    </row>
    <row r="5563" spans="1:2">
      <c r="A5563" s="112">
        <v>43200</v>
      </c>
      <c r="B5563" s="1">
        <f t="shared" si="86"/>
        <v>24</v>
      </c>
    </row>
    <row r="5564" spans="1:2">
      <c r="A5564" s="112">
        <v>43201</v>
      </c>
      <c r="B5564" s="1">
        <f t="shared" si="86"/>
        <v>25</v>
      </c>
    </row>
    <row r="5565" spans="1:2">
      <c r="A5565" s="112">
        <v>43202</v>
      </c>
      <c r="B5565" s="1">
        <f t="shared" si="86"/>
        <v>26</v>
      </c>
    </row>
    <row r="5566" spans="1:2">
      <c r="A5566" s="112">
        <v>43203</v>
      </c>
      <c r="B5566" s="1">
        <f t="shared" si="86"/>
        <v>27</v>
      </c>
    </row>
    <row r="5567" spans="1:2">
      <c r="A5567" s="112">
        <v>43204</v>
      </c>
      <c r="B5567" s="1">
        <f t="shared" si="86"/>
        <v>28</v>
      </c>
    </row>
    <row r="5568" spans="1:2">
      <c r="A5568" s="112">
        <v>43205</v>
      </c>
      <c r="B5568" s="1">
        <f t="shared" si="86"/>
        <v>-1</v>
      </c>
    </row>
    <row r="5569" spans="1:2">
      <c r="A5569" s="112">
        <v>43206</v>
      </c>
      <c r="B5569" s="1">
        <f t="shared" si="86"/>
        <v>0</v>
      </c>
    </row>
    <row r="5570" spans="1:2">
      <c r="A5570" s="112">
        <v>43207</v>
      </c>
      <c r="B5570" s="1">
        <f t="shared" si="86"/>
        <v>1</v>
      </c>
    </row>
    <row r="5571" spans="1:2">
      <c r="A5571" s="112">
        <v>43208</v>
      </c>
      <c r="B5571" s="1">
        <f t="shared" ref="B5571:B5634" si="87">INT(MOD($G$2+A5571-$F$2,29.53))</f>
        <v>2</v>
      </c>
    </row>
    <row r="5572" spans="1:2">
      <c r="A5572" s="112">
        <v>43209</v>
      </c>
      <c r="B5572" s="1">
        <f t="shared" si="87"/>
        <v>3</v>
      </c>
    </row>
    <row r="5573" spans="1:2">
      <c r="A5573" s="112">
        <v>43210</v>
      </c>
      <c r="B5573" s="1">
        <f t="shared" si="87"/>
        <v>4</v>
      </c>
    </row>
    <row r="5574" spans="1:2">
      <c r="A5574" s="112">
        <v>43211</v>
      </c>
      <c r="B5574" s="1">
        <f t="shared" si="87"/>
        <v>5</v>
      </c>
    </row>
    <row r="5575" spans="1:2">
      <c r="A5575" s="112">
        <v>43212</v>
      </c>
      <c r="B5575" s="1">
        <f t="shared" si="87"/>
        <v>6</v>
      </c>
    </row>
    <row r="5576" spans="1:2">
      <c r="A5576" s="112">
        <v>43213</v>
      </c>
      <c r="B5576" s="1">
        <f t="shared" si="87"/>
        <v>7</v>
      </c>
    </row>
    <row r="5577" spans="1:2">
      <c r="A5577" s="112">
        <v>43214</v>
      </c>
      <c r="B5577" s="1">
        <f t="shared" si="87"/>
        <v>8</v>
      </c>
    </row>
    <row r="5578" spans="1:2">
      <c r="A5578" s="112">
        <v>43215</v>
      </c>
      <c r="B5578" s="1">
        <f t="shared" si="87"/>
        <v>9</v>
      </c>
    </row>
    <row r="5579" spans="1:2">
      <c r="A5579" s="112">
        <v>43216</v>
      </c>
      <c r="B5579" s="1">
        <f t="shared" si="87"/>
        <v>10</v>
      </c>
    </row>
    <row r="5580" spans="1:2">
      <c r="A5580" s="112">
        <v>43217</v>
      </c>
      <c r="B5580" s="1">
        <f t="shared" si="87"/>
        <v>11</v>
      </c>
    </row>
    <row r="5581" spans="1:2">
      <c r="A5581" s="112">
        <v>43218</v>
      </c>
      <c r="B5581" s="1">
        <f t="shared" si="87"/>
        <v>12</v>
      </c>
    </row>
    <row r="5582" spans="1:2">
      <c r="A5582" s="112">
        <v>43219</v>
      </c>
      <c r="B5582" s="1">
        <f t="shared" si="87"/>
        <v>13</v>
      </c>
    </row>
    <row r="5583" spans="1:2">
      <c r="A5583" s="112">
        <v>43220</v>
      </c>
      <c r="B5583" s="1">
        <f t="shared" si="87"/>
        <v>14</v>
      </c>
    </row>
    <row r="5584" spans="1:2">
      <c r="A5584" s="112">
        <v>43221</v>
      </c>
      <c r="B5584" s="1">
        <f t="shared" si="87"/>
        <v>15</v>
      </c>
    </row>
    <row r="5585" spans="1:2">
      <c r="A5585" s="112">
        <v>43222</v>
      </c>
      <c r="B5585" s="1">
        <f t="shared" si="87"/>
        <v>16</v>
      </c>
    </row>
    <row r="5586" spans="1:2">
      <c r="A5586" s="112">
        <v>43223</v>
      </c>
      <c r="B5586" s="1">
        <f t="shared" si="87"/>
        <v>17</v>
      </c>
    </row>
    <row r="5587" spans="1:2">
      <c r="A5587" s="112">
        <v>43224</v>
      </c>
      <c r="B5587" s="1">
        <f t="shared" si="87"/>
        <v>18</v>
      </c>
    </row>
    <row r="5588" spans="1:2">
      <c r="A5588" s="112">
        <v>43225</v>
      </c>
      <c r="B5588" s="1">
        <f t="shared" si="87"/>
        <v>19</v>
      </c>
    </row>
    <row r="5589" spans="1:2">
      <c r="A5589" s="112">
        <v>43226</v>
      </c>
      <c r="B5589" s="1">
        <f t="shared" si="87"/>
        <v>20</v>
      </c>
    </row>
    <row r="5590" spans="1:2">
      <c r="A5590" s="112">
        <v>43227</v>
      </c>
      <c r="B5590" s="1">
        <f t="shared" si="87"/>
        <v>21</v>
      </c>
    </row>
    <row r="5591" spans="1:2">
      <c r="A5591" s="112">
        <v>43228</v>
      </c>
      <c r="B5591" s="1">
        <f t="shared" si="87"/>
        <v>22</v>
      </c>
    </row>
    <row r="5592" spans="1:2">
      <c r="A5592" s="112">
        <v>43229</v>
      </c>
      <c r="B5592" s="1">
        <f t="shared" si="87"/>
        <v>23</v>
      </c>
    </row>
    <row r="5593" spans="1:2">
      <c r="A5593" s="112">
        <v>43230</v>
      </c>
      <c r="B5593" s="1">
        <f t="shared" si="87"/>
        <v>24</v>
      </c>
    </row>
    <row r="5594" spans="1:2">
      <c r="A5594" s="112">
        <v>43231</v>
      </c>
      <c r="B5594" s="1">
        <f t="shared" si="87"/>
        <v>25</v>
      </c>
    </row>
    <row r="5595" spans="1:2">
      <c r="A5595" s="112">
        <v>43232</v>
      </c>
      <c r="B5595" s="1">
        <f t="shared" si="87"/>
        <v>26</v>
      </c>
    </row>
    <row r="5596" spans="1:2">
      <c r="A5596" s="112">
        <v>43233</v>
      </c>
      <c r="B5596" s="1">
        <f t="shared" si="87"/>
        <v>27</v>
      </c>
    </row>
    <row r="5597" spans="1:2">
      <c r="A5597" s="112">
        <v>43234</v>
      </c>
      <c r="B5597" s="1">
        <f t="shared" si="87"/>
        <v>28</v>
      </c>
    </row>
    <row r="5598" spans="1:2">
      <c r="A5598" s="112">
        <v>43235</v>
      </c>
      <c r="B5598" s="1">
        <f t="shared" si="87"/>
        <v>0</v>
      </c>
    </row>
    <row r="5599" spans="1:2">
      <c r="A5599" s="112">
        <v>43236</v>
      </c>
      <c r="B5599" s="1">
        <f t="shared" si="87"/>
        <v>1</v>
      </c>
    </row>
    <row r="5600" spans="1:2">
      <c r="A5600" s="112">
        <v>43237</v>
      </c>
      <c r="B5600" s="1">
        <f t="shared" si="87"/>
        <v>2</v>
      </c>
    </row>
    <row r="5601" spans="1:2">
      <c r="A5601" s="112">
        <v>43238</v>
      </c>
      <c r="B5601" s="1">
        <f t="shared" si="87"/>
        <v>3</v>
      </c>
    </row>
    <row r="5602" spans="1:2">
      <c r="A5602" s="112">
        <v>43239</v>
      </c>
      <c r="B5602" s="1">
        <f t="shared" si="87"/>
        <v>4</v>
      </c>
    </row>
    <row r="5603" spans="1:2">
      <c r="A5603" s="112">
        <v>43240</v>
      </c>
      <c r="B5603" s="1">
        <f t="shared" si="87"/>
        <v>5</v>
      </c>
    </row>
    <row r="5604" spans="1:2">
      <c r="A5604" s="112">
        <v>43241</v>
      </c>
      <c r="B5604" s="1">
        <f t="shared" si="87"/>
        <v>6</v>
      </c>
    </row>
    <row r="5605" spans="1:2">
      <c r="A5605" s="112">
        <v>43242</v>
      </c>
      <c r="B5605" s="1">
        <f t="shared" si="87"/>
        <v>7</v>
      </c>
    </row>
    <row r="5606" spans="1:2">
      <c r="A5606" s="112">
        <v>43243</v>
      </c>
      <c r="B5606" s="1">
        <f t="shared" si="87"/>
        <v>8</v>
      </c>
    </row>
    <row r="5607" spans="1:2">
      <c r="A5607" s="112">
        <v>43244</v>
      </c>
      <c r="B5607" s="1">
        <f t="shared" si="87"/>
        <v>9</v>
      </c>
    </row>
    <row r="5608" spans="1:2">
      <c r="A5608" s="112">
        <v>43245</v>
      </c>
      <c r="B5608" s="1">
        <f t="shared" si="87"/>
        <v>10</v>
      </c>
    </row>
    <row r="5609" spans="1:2">
      <c r="A5609" s="112">
        <v>43246</v>
      </c>
      <c r="B5609" s="1">
        <f t="shared" si="87"/>
        <v>11</v>
      </c>
    </row>
    <row r="5610" spans="1:2">
      <c r="A5610" s="112">
        <v>43247</v>
      </c>
      <c r="B5610" s="1">
        <f t="shared" si="87"/>
        <v>12</v>
      </c>
    </row>
    <row r="5611" spans="1:2">
      <c r="A5611" s="112">
        <v>43248</v>
      </c>
      <c r="B5611" s="1">
        <f t="shared" si="87"/>
        <v>13</v>
      </c>
    </row>
    <row r="5612" spans="1:2">
      <c r="A5612" s="112">
        <v>43249</v>
      </c>
      <c r="B5612" s="1">
        <f t="shared" si="87"/>
        <v>14</v>
      </c>
    </row>
    <row r="5613" spans="1:2">
      <c r="A5613" s="112">
        <v>43250</v>
      </c>
      <c r="B5613" s="1">
        <f t="shared" si="87"/>
        <v>15</v>
      </c>
    </row>
    <row r="5614" spans="1:2">
      <c r="A5614" s="112">
        <v>43251</v>
      </c>
      <c r="B5614" s="1">
        <f t="shared" si="87"/>
        <v>16</v>
      </c>
    </row>
    <row r="5615" spans="1:2">
      <c r="A5615" s="112">
        <v>43252</v>
      </c>
      <c r="B5615" s="1">
        <f t="shared" si="87"/>
        <v>17</v>
      </c>
    </row>
    <row r="5616" spans="1:2">
      <c r="A5616" s="112">
        <v>43253</v>
      </c>
      <c r="B5616" s="1">
        <f t="shared" si="87"/>
        <v>18</v>
      </c>
    </row>
    <row r="5617" spans="1:2">
      <c r="A5617" s="112">
        <v>43254</v>
      </c>
      <c r="B5617" s="1">
        <f t="shared" si="87"/>
        <v>19</v>
      </c>
    </row>
    <row r="5618" spans="1:2">
      <c r="A5618" s="112">
        <v>43255</v>
      </c>
      <c r="B5618" s="1">
        <f t="shared" si="87"/>
        <v>20</v>
      </c>
    </row>
    <row r="5619" spans="1:2">
      <c r="A5619" s="112">
        <v>43256</v>
      </c>
      <c r="B5619" s="1">
        <f t="shared" si="87"/>
        <v>21</v>
      </c>
    </row>
    <row r="5620" spans="1:2">
      <c r="A5620" s="112">
        <v>43257</v>
      </c>
      <c r="B5620" s="1">
        <f t="shared" si="87"/>
        <v>22</v>
      </c>
    </row>
    <row r="5621" spans="1:2">
      <c r="A5621" s="112">
        <v>43258</v>
      </c>
      <c r="B5621" s="1">
        <f t="shared" si="87"/>
        <v>23</v>
      </c>
    </row>
    <row r="5622" spans="1:2">
      <c r="A5622" s="112">
        <v>43259</v>
      </c>
      <c r="B5622" s="1">
        <f t="shared" si="87"/>
        <v>24</v>
      </c>
    </row>
    <row r="5623" spans="1:2">
      <c r="A5623" s="112">
        <v>43260</v>
      </c>
      <c r="B5623" s="1">
        <f t="shared" si="87"/>
        <v>25</v>
      </c>
    </row>
    <row r="5624" spans="1:2">
      <c r="A5624" s="112">
        <v>43261</v>
      </c>
      <c r="B5624" s="1">
        <f t="shared" si="87"/>
        <v>26</v>
      </c>
    </row>
    <row r="5625" spans="1:2">
      <c r="A5625" s="112">
        <v>43262</v>
      </c>
      <c r="B5625" s="1">
        <f t="shared" si="87"/>
        <v>27</v>
      </c>
    </row>
    <row r="5626" spans="1:2">
      <c r="A5626" s="112">
        <v>43263</v>
      </c>
      <c r="B5626" s="1">
        <f t="shared" si="87"/>
        <v>28</v>
      </c>
    </row>
    <row r="5627" spans="1:2">
      <c r="A5627" s="112">
        <v>43264</v>
      </c>
      <c r="B5627" s="1">
        <f t="shared" si="87"/>
        <v>29</v>
      </c>
    </row>
    <row r="5628" spans="1:2">
      <c r="A5628" s="112">
        <v>43265</v>
      </c>
      <c r="B5628" s="1">
        <f t="shared" si="87"/>
        <v>0</v>
      </c>
    </row>
    <row r="5629" spans="1:2">
      <c r="A5629" s="112">
        <v>43266</v>
      </c>
      <c r="B5629" s="1">
        <f t="shared" si="87"/>
        <v>1</v>
      </c>
    </row>
    <row r="5630" spans="1:2">
      <c r="A5630" s="112">
        <v>43267</v>
      </c>
      <c r="B5630" s="1">
        <f t="shared" si="87"/>
        <v>2</v>
      </c>
    </row>
    <row r="5631" spans="1:2">
      <c r="A5631" s="112">
        <v>43268</v>
      </c>
      <c r="B5631" s="1">
        <f t="shared" si="87"/>
        <v>3</v>
      </c>
    </row>
    <row r="5632" spans="1:2">
      <c r="A5632" s="112">
        <v>43269</v>
      </c>
      <c r="B5632" s="1">
        <f t="shared" si="87"/>
        <v>4</v>
      </c>
    </row>
    <row r="5633" spans="1:2">
      <c r="A5633" s="112">
        <v>43270</v>
      </c>
      <c r="B5633" s="1">
        <f t="shared" si="87"/>
        <v>5</v>
      </c>
    </row>
    <row r="5634" spans="1:2">
      <c r="A5634" s="112">
        <v>43271</v>
      </c>
      <c r="B5634" s="1">
        <f t="shared" si="87"/>
        <v>6</v>
      </c>
    </row>
    <row r="5635" spans="1:2">
      <c r="A5635" s="112">
        <v>43272</v>
      </c>
      <c r="B5635" s="1">
        <f t="shared" ref="B5635:B5698" si="88">INT(MOD($G$2+A5635-$F$2,29.53))</f>
        <v>7</v>
      </c>
    </row>
    <row r="5636" spans="1:2">
      <c r="A5636" s="112">
        <v>43273</v>
      </c>
      <c r="B5636" s="1">
        <f t="shared" si="88"/>
        <v>8</v>
      </c>
    </row>
    <row r="5637" spans="1:2">
      <c r="A5637" s="112">
        <v>43274</v>
      </c>
      <c r="B5637" s="1">
        <f t="shared" si="88"/>
        <v>9</v>
      </c>
    </row>
    <row r="5638" spans="1:2">
      <c r="A5638" s="112">
        <v>43275</v>
      </c>
      <c r="B5638" s="1">
        <f t="shared" si="88"/>
        <v>10</v>
      </c>
    </row>
    <row r="5639" spans="1:2">
      <c r="A5639" s="112">
        <v>43276</v>
      </c>
      <c r="B5639" s="1">
        <f t="shared" si="88"/>
        <v>11</v>
      </c>
    </row>
    <row r="5640" spans="1:2">
      <c r="A5640" s="112">
        <v>43277</v>
      </c>
      <c r="B5640" s="1">
        <f t="shared" si="88"/>
        <v>12</v>
      </c>
    </row>
    <row r="5641" spans="1:2">
      <c r="A5641" s="112">
        <v>43278</v>
      </c>
      <c r="B5641" s="1">
        <f t="shared" si="88"/>
        <v>13</v>
      </c>
    </row>
    <row r="5642" spans="1:2">
      <c r="A5642" s="112">
        <v>43279</v>
      </c>
      <c r="B5642" s="1">
        <f t="shared" si="88"/>
        <v>14</v>
      </c>
    </row>
    <row r="5643" spans="1:2">
      <c r="A5643" s="112">
        <v>43280</v>
      </c>
      <c r="B5643" s="1">
        <f t="shared" si="88"/>
        <v>15</v>
      </c>
    </row>
    <row r="5644" spans="1:2">
      <c r="A5644" s="112">
        <v>43281</v>
      </c>
      <c r="B5644" s="1">
        <f t="shared" si="88"/>
        <v>16</v>
      </c>
    </row>
    <row r="5645" spans="1:2">
      <c r="A5645" s="112">
        <v>43282</v>
      </c>
      <c r="B5645" s="1">
        <f t="shared" si="88"/>
        <v>17</v>
      </c>
    </row>
    <row r="5646" spans="1:2">
      <c r="A5646" s="112">
        <v>43283</v>
      </c>
      <c r="B5646" s="1">
        <f t="shared" si="88"/>
        <v>18</v>
      </c>
    </row>
    <row r="5647" spans="1:2">
      <c r="A5647" s="112">
        <v>43284</v>
      </c>
      <c r="B5647" s="1">
        <f t="shared" si="88"/>
        <v>19</v>
      </c>
    </row>
    <row r="5648" spans="1:2">
      <c r="A5648" s="112">
        <v>43285</v>
      </c>
      <c r="B5648" s="1">
        <f t="shared" si="88"/>
        <v>20</v>
      </c>
    </row>
    <row r="5649" spans="1:2">
      <c r="A5649" s="112">
        <v>43286</v>
      </c>
      <c r="B5649" s="1">
        <f t="shared" si="88"/>
        <v>21</v>
      </c>
    </row>
    <row r="5650" spans="1:2">
      <c r="A5650" s="112">
        <v>43287</v>
      </c>
      <c r="B5650" s="1">
        <f t="shared" si="88"/>
        <v>22</v>
      </c>
    </row>
    <row r="5651" spans="1:2">
      <c r="A5651" s="112">
        <v>43288</v>
      </c>
      <c r="B5651" s="1">
        <f t="shared" si="88"/>
        <v>23</v>
      </c>
    </row>
    <row r="5652" spans="1:2">
      <c r="A5652" s="112">
        <v>43289</v>
      </c>
      <c r="B5652" s="1">
        <f t="shared" si="88"/>
        <v>24</v>
      </c>
    </row>
    <row r="5653" spans="1:2">
      <c r="A5653" s="112">
        <v>43290</v>
      </c>
      <c r="B5653" s="1">
        <f t="shared" si="88"/>
        <v>25</v>
      </c>
    </row>
    <row r="5654" spans="1:2">
      <c r="A5654" s="112">
        <v>43291</v>
      </c>
      <c r="B5654" s="1">
        <f t="shared" si="88"/>
        <v>26</v>
      </c>
    </row>
    <row r="5655" spans="1:2">
      <c r="A5655" s="112">
        <v>43292</v>
      </c>
      <c r="B5655" s="1">
        <f t="shared" si="88"/>
        <v>27</v>
      </c>
    </row>
    <row r="5656" spans="1:2">
      <c r="A5656" s="112">
        <v>43293</v>
      </c>
      <c r="B5656" s="1">
        <f t="shared" si="88"/>
        <v>28</v>
      </c>
    </row>
    <row r="5657" spans="1:2">
      <c r="A5657" s="112">
        <v>43294</v>
      </c>
      <c r="B5657" s="1">
        <f t="shared" si="88"/>
        <v>0</v>
      </c>
    </row>
    <row r="5658" spans="1:2">
      <c r="A5658" s="112">
        <v>43295</v>
      </c>
      <c r="B5658" s="1">
        <f t="shared" si="88"/>
        <v>1</v>
      </c>
    </row>
    <row r="5659" spans="1:2">
      <c r="A5659" s="112">
        <v>43296</v>
      </c>
      <c r="B5659" s="1">
        <f t="shared" si="88"/>
        <v>2</v>
      </c>
    </row>
    <row r="5660" spans="1:2">
      <c r="A5660" s="112">
        <v>43297</v>
      </c>
      <c r="B5660" s="1">
        <f t="shared" si="88"/>
        <v>3</v>
      </c>
    </row>
    <row r="5661" spans="1:2">
      <c r="A5661" s="112">
        <v>43298</v>
      </c>
      <c r="B5661" s="1">
        <f t="shared" si="88"/>
        <v>4</v>
      </c>
    </row>
    <row r="5662" spans="1:2">
      <c r="A5662" s="112">
        <v>43299</v>
      </c>
      <c r="B5662" s="1">
        <f t="shared" si="88"/>
        <v>5</v>
      </c>
    </row>
    <row r="5663" spans="1:2">
      <c r="A5663" s="112">
        <v>43300</v>
      </c>
      <c r="B5663" s="1">
        <f t="shared" si="88"/>
        <v>6</v>
      </c>
    </row>
    <row r="5664" spans="1:2">
      <c r="A5664" s="112">
        <v>43301</v>
      </c>
      <c r="B5664" s="1">
        <f t="shared" si="88"/>
        <v>7</v>
      </c>
    </row>
    <row r="5665" spans="1:2">
      <c r="A5665" s="112">
        <v>43302</v>
      </c>
      <c r="B5665" s="1">
        <f t="shared" si="88"/>
        <v>8</v>
      </c>
    </row>
    <row r="5666" spans="1:2">
      <c r="A5666" s="112">
        <v>43303</v>
      </c>
      <c r="B5666" s="1">
        <f t="shared" si="88"/>
        <v>9</v>
      </c>
    </row>
    <row r="5667" spans="1:2">
      <c r="A5667" s="112">
        <v>43304</v>
      </c>
      <c r="B5667" s="1">
        <f t="shared" si="88"/>
        <v>10</v>
      </c>
    </row>
    <row r="5668" spans="1:2">
      <c r="A5668" s="112">
        <v>43305</v>
      </c>
      <c r="B5668" s="1">
        <f t="shared" si="88"/>
        <v>11</v>
      </c>
    </row>
    <row r="5669" spans="1:2">
      <c r="A5669" s="112">
        <v>43306</v>
      </c>
      <c r="B5669" s="1">
        <f t="shared" si="88"/>
        <v>12</v>
      </c>
    </row>
    <row r="5670" spans="1:2">
      <c r="A5670" s="112">
        <v>43307</v>
      </c>
      <c r="B5670" s="1">
        <f t="shared" si="88"/>
        <v>13</v>
      </c>
    </row>
    <row r="5671" spans="1:2">
      <c r="A5671" s="112">
        <v>43308</v>
      </c>
      <c r="B5671" s="1">
        <f t="shared" si="88"/>
        <v>14</v>
      </c>
    </row>
    <row r="5672" spans="1:2">
      <c r="A5672" s="112">
        <v>43309</v>
      </c>
      <c r="B5672" s="1">
        <f t="shared" si="88"/>
        <v>15</v>
      </c>
    </row>
    <row r="5673" spans="1:2">
      <c r="A5673" s="112">
        <v>43310</v>
      </c>
      <c r="B5673" s="1">
        <f t="shared" si="88"/>
        <v>16</v>
      </c>
    </row>
    <row r="5674" spans="1:2">
      <c r="A5674" s="112">
        <v>43311</v>
      </c>
      <c r="B5674" s="1">
        <f t="shared" si="88"/>
        <v>17</v>
      </c>
    </row>
    <row r="5675" spans="1:2">
      <c r="A5675" s="112">
        <v>43312</v>
      </c>
      <c r="B5675" s="1">
        <f t="shared" si="88"/>
        <v>18</v>
      </c>
    </row>
    <row r="5676" spans="1:2">
      <c r="A5676" s="112">
        <v>43313</v>
      </c>
      <c r="B5676" s="1">
        <f t="shared" si="88"/>
        <v>19</v>
      </c>
    </row>
    <row r="5677" spans="1:2">
      <c r="A5677" s="112">
        <v>43314</v>
      </c>
      <c r="B5677" s="1">
        <f t="shared" si="88"/>
        <v>20</v>
      </c>
    </row>
    <row r="5678" spans="1:2">
      <c r="A5678" s="112">
        <v>43315</v>
      </c>
      <c r="B5678" s="1">
        <f t="shared" si="88"/>
        <v>21</v>
      </c>
    </row>
    <row r="5679" spans="1:2">
      <c r="A5679" s="112">
        <v>43316</v>
      </c>
      <c r="B5679" s="1">
        <f t="shared" si="88"/>
        <v>22</v>
      </c>
    </row>
    <row r="5680" spans="1:2">
      <c r="A5680" s="112">
        <v>43317</v>
      </c>
      <c r="B5680" s="1">
        <f t="shared" si="88"/>
        <v>23</v>
      </c>
    </row>
    <row r="5681" spans="1:2">
      <c r="A5681" s="112">
        <v>43318</v>
      </c>
      <c r="B5681" s="1">
        <f t="shared" si="88"/>
        <v>24</v>
      </c>
    </row>
    <row r="5682" spans="1:2">
      <c r="A5682" s="112">
        <v>43319</v>
      </c>
      <c r="B5682" s="1">
        <f t="shared" si="88"/>
        <v>25</v>
      </c>
    </row>
    <row r="5683" spans="1:2">
      <c r="A5683" s="112">
        <v>43320</v>
      </c>
      <c r="B5683" s="1">
        <f t="shared" si="88"/>
        <v>26</v>
      </c>
    </row>
    <row r="5684" spans="1:2">
      <c r="A5684" s="112">
        <v>43321</v>
      </c>
      <c r="B5684" s="1">
        <f t="shared" si="88"/>
        <v>27</v>
      </c>
    </row>
    <row r="5685" spans="1:2">
      <c r="A5685" s="112">
        <v>43322</v>
      </c>
      <c r="B5685" s="1">
        <f t="shared" si="88"/>
        <v>28</v>
      </c>
    </row>
    <row r="5686" spans="1:2">
      <c r="A5686" s="112">
        <v>43323</v>
      </c>
      <c r="B5686" s="1">
        <f t="shared" si="88"/>
        <v>29</v>
      </c>
    </row>
    <row r="5687" spans="1:2">
      <c r="A5687" s="112">
        <v>43324</v>
      </c>
      <c r="B5687" s="1">
        <f t="shared" si="88"/>
        <v>0</v>
      </c>
    </row>
    <row r="5688" spans="1:2">
      <c r="A5688" s="112">
        <v>43325</v>
      </c>
      <c r="B5688" s="1">
        <f t="shared" si="88"/>
        <v>1</v>
      </c>
    </row>
    <row r="5689" spans="1:2">
      <c r="A5689" s="112">
        <v>43326</v>
      </c>
      <c r="B5689" s="1">
        <f t="shared" si="88"/>
        <v>2</v>
      </c>
    </row>
    <row r="5690" spans="1:2">
      <c r="A5690" s="112">
        <v>43327</v>
      </c>
      <c r="B5690" s="1">
        <f t="shared" si="88"/>
        <v>3</v>
      </c>
    </row>
    <row r="5691" spans="1:2">
      <c r="A5691" s="112">
        <v>43328</v>
      </c>
      <c r="B5691" s="1">
        <f t="shared" si="88"/>
        <v>4</v>
      </c>
    </row>
    <row r="5692" spans="1:2">
      <c r="A5692" s="112">
        <v>43329</v>
      </c>
      <c r="B5692" s="1">
        <f t="shared" si="88"/>
        <v>5</v>
      </c>
    </row>
    <row r="5693" spans="1:2">
      <c r="A5693" s="112">
        <v>43330</v>
      </c>
      <c r="B5693" s="1">
        <f t="shared" si="88"/>
        <v>6</v>
      </c>
    </row>
    <row r="5694" spans="1:2">
      <c r="A5694" s="112">
        <v>43331</v>
      </c>
      <c r="B5694" s="1">
        <f t="shared" si="88"/>
        <v>7</v>
      </c>
    </row>
    <row r="5695" spans="1:2">
      <c r="A5695" s="112">
        <v>43332</v>
      </c>
      <c r="B5695" s="1">
        <f t="shared" si="88"/>
        <v>8</v>
      </c>
    </row>
    <row r="5696" spans="1:2">
      <c r="A5696" s="112">
        <v>43333</v>
      </c>
      <c r="B5696" s="1">
        <f t="shared" si="88"/>
        <v>9</v>
      </c>
    </row>
    <row r="5697" spans="1:2">
      <c r="A5697" s="112">
        <v>43334</v>
      </c>
      <c r="B5697" s="1">
        <f t="shared" si="88"/>
        <v>10</v>
      </c>
    </row>
    <row r="5698" spans="1:2">
      <c r="A5698" s="112">
        <v>43335</v>
      </c>
      <c r="B5698" s="1">
        <f t="shared" si="88"/>
        <v>11</v>
      </c>
    </row>
    <row r="5699" spans="1:2">
      <c r="A5699" s="112">
        <v>43336</v>
      </c>
      <c r="B5699" s="1">
        <f t="shared" ref="B5699:B5762" si="89">INT(MOD($G$2+A5699-$F$2,29.53))</f>
        <v>12</v>
      </c>
    </row>
    <row r="5700" spans="1:2">
      <c r="A5700" s="112">
        <v>43337</v>
      </c>
      <c r="B5700" s="1">
        <f t="shared" si="89"/>
        <v>13</v>
      </c>
    </row>
    <row r="5701" spans="1:2">
      <c r="A5701" s="112">
        <v>43338</v>
      </c>
      <c r="B5701" s="1">
        <f t="shared" si="89"/>
        <v>14</v>
      </c>
    </row>
    <row r="5702" spans="1:2">
      <c r="A5702" s="112">
        <v>43339</v>
      </c>
      <c r="B5702" s="1">
        <f t="shared" si="89"/>
        <v>15</v>
      </c>
    </row>
    <row r="5703" spans="1:2">
      <c r="A5703" s="112">
        <v>43340</v>
      </c>
      <c r="B5703" s="1">
        <f t="shared" si="89"/>
        <v>16</v>
      </c>
    </row>
    <row r="5704" spans="1:2">
      <c r="A5704" s="112">
        <v>43341</v>
      </c>
      <c r="B5704" s="1">
        <f t="shared" si="89"/>
        <v>17</v>
      </c>
    </row>
    <row r="5705" spans="1:2">
      <c r="A5705" s="112">
        <v>43342</v>
      </c>
      <c r="B5705" s="1">
        <f t="shared" si="89"/>
        <v>18</v>
      </c>
    </row>
    <row r="5706" spans="1:2">
      <c r="A5706" s="112">
        <v>43343</v>
      </c>
      <c r="B5706" s="1">
        <f t="shared" si="89"/>
        <v>19</v>
      </c>
    </row>
    <row r="5707" spans="1:2">
      <c r="A5707" s="112">
        <v>43344</v>
      </c>
      <c r="B5707" s="1">
        <f t="shared" si="89"/>
        <v>20</v>
      </c>
    </row>
    <row r="5708" spans="1:2">
      <c r="A5708" s="112">
        <v>43345</v>
      </c>
      <c r="B5708" s="1">
        <f t="shared" si="89"/>
        <v>21</v>
      </c>
    </row>
    <row r="5709" spans="1:2">
      <c r="A5709" s="112">
        <v>43346</v>
      </c>
      <c r="B5709" s="1">
        <f t="shared" si="89"/>
        <v>22</v>
      </c>
    </row>
    <row r="5710" spans="1:2">
      <c r="A5710" s="112">
        <v>43347</v>
      </c>
      <c r="B5710" s="1">
        <f t="shared" si="89"/>
        <v>23</v>
      </c>
    </row>
    <row r="5711" spans="1:2">
      <c r="A5711" s="112">
        <v>43348</v>
      </c>
      <c r="B5711" s="1">
        <f t="shared" si="89"/>
        <v>24</v>
      </c>
    </row>
    <row r="5712" spans="1:2">
      <c r="A5712" s="112">
        <v>43349</v>
      </c>
      <c r="B5712" s="1">
        <f t="shared" si="89"/>
        <v>25</v>
      </c>
    </row>
    <row r="5713" spans="1:2">
      <c r="A5713" s="112">
        <v>43350</v>
      </c>
      <c r="B5713" s="1">
        <f t="shared" si="89"/>
        <v>26</v>
      </c>
    </row>
    <row r="5714" spans="1:2">
      <c r="A5714" s="112">
        <v>43351</v>
      </c>
      <c r="B5714" s="1">
        <f t="shared" si="89"/>
        <v>27</v>
      </c>
    </row>
    <row r="5715" spans="1:2">
      <c r="A5715" s="112">
        <v>43352</v>
      </c>
      <c r="B5715" s="1">
        <f t="shared" si="89"/>
        <v>28</v>
      </c>
    </row>
    <row r="5716" spans="1:2">
      <c r="A5716" s="112">
        <v>43353</v>
      </c>
      <c r="B5716" s="1">
        <f t="shared" si="89"/>
        <v>0</v>
      </c>
    </row>
    <row r="5717" spans="1:2">
      <c r="A5717" s="112">
        <v>43354</v>
      </c>
      <c r="B5717" s="1">
        <f t="shared" si="89"/>
        <v>1</v>
      </c>
    </row>
    <row r="5718" spans="1:2">
      <c r="A5718" s="112">
        <v>43355</v>
      </c>
      <c r="B5718" s="1">
        <f t="shared" si="89"/>
        <v>2</v>
      </c>
    </row>
    <row r="5719" spans="1:2">
      <c r="A5719" s="112">
        <v>43356</v>
      </c>
      <c r="B5719" s="1">
        <f t="shared" si="89"/>
        <v>3</v>
      </c>
    </row>
    <row r="5720" spans="1:2">
      <c r="A5720" s="112">
        <v>43357</v>
      </c>
      <c r="B5720" s="1">
        <f t="shared" si="89"/>
        <v>4</v>
      </c>
    </row>
    <row r="5721" spans="1:2">
      <c r="A5721" s="112">
        <v>43358</v>
      </c>
      <c r="B5721" s="1">
        <f t="shared" si="89"/>
        <v>5</v>
      </c>
    </row>
    <row r="5722" spans="1:2">
      <c r="A5722" s="112">
        <v>43359</v>
      </c>
      <c r="B5722" s="1">
        <f t="shared" si="89"/>
        <v>6</v>
      </c>
    </row>
    <row r="5723" spans="1:2">
      <c r="A5723" s="112">
        <v>43360</v>
      </c>
      <c r="B5723" s="1">
        <f t="shared" si="89"/>
        <v>7</v>
      </c>
    </row>
    <row r="5724" spans="1:2">
      <c r="A5724" s="112">
        <v>43361</v>
      </c>
      <c r="B5724" s="1">
        <f t="shared" si="89"/>
        <v>8</v>
      </c>
    </row>
    <row r="5725" spans="1:2">
      <c r="A5725" s="112">
        <v>43362</v>
      </c>
      <c r="B5725" s="1">
        <f t="shared" si="89"/>
        <v>9</v>
      </c>
    </row>
    <row r="5726" spans="1:2">
      <c r="A5726" s="112">
        <v>43363</v>
      </c>
      <c r="B5726" s="1">
        <f t="shared" si="89"/>
        <v>10</v>
      </c>
    </row>
    <row r="5727" spans="1:2">
      <c r="A5727" s="112">
        <v>43364</v>
      </c>
      <c r="B5727" s="1">
        <f t="shared" si="89"/>
        <v>11</v>
      </c>
    </row>
    <row r="5728" spans="1:2">
      <c r="A5728" s="112">
        <v>43365</v>
      </c>
      <c r="B5728" s="1">
        <f t="shared" si="89"/>
        <v>12</v>
      </c>
    </row>
    <row r="5729" spans="1:2">
      <c r="A5729" s="112">
        <v>43366</v>
      </c>
      <c r="B5729" s="1">
        <f t="shared" si="89"/>
        <v>13</v>
      </c>
    </row>
    <row r="5730" spans="1:2">
      <c r="A5730" s="112">
        <v>43367</v>
      </c>
      <c r="B5730" s="1">
        <f t="shared" si="89"/>
        <v>14</v>
      </c>
    </row>
    <row r="5731" spans="1:2">
      <c r="A5731" s="112">
        <v>43368</v>
      </c>
      <c r="B5731" s="1">
        <f t="shared" si="89"/>
        <v>15</v>
      </c>
    </row>
    <row r="5732" spans="1:2">
      <c r="A5732" s="112">
        <v>43369</v>
      </c>
      <c r="B5732" s="1">
        <f t="shared" si="89"/>
        <v>16</v>
      </c>
    </row>
    <row r="5733" spans="1:2">
      <c r="A5733" s="112">
        <v>43370</v>
      </c>
      <c r="B5733" s="1">
        <f t="shared" si="89"/>
        <v>17</v>
      </c>
    </row>
    <row r="5734" spans="1:2">
      <c r="A5734" s="112">
        <v>43371</v>
      </c>
      <c r="B5734" s="1">
        <f t="shared" si="89"/>
        <v>18</v>
      </c>
    </row>
    <row r="5735" spans="1:2">
      <c r="A5735" s="112">
        <v>43372</v>
      </c>
      <c r="B5735" s="1">
        <f t="shared" si="89"/>
        <v>19</v>
      </c>
    </row>
    <row r="5736" spans="1:2">
      <c r="A5736" s="112">
        <v>43373</v>
      </c>
      <c r="B5736" s="1">
        <f t="shared" si="89"/>
        <v>20</v>
      </c>
    </row>
    <row r="5737" spans="1:2">
      <c r="A5737" s="112">
        <v>43374</v>
      </c>
      <c r="B5737" s="1">
        <f t="shared" si="89"/>
        <v>21</v>
      </c>
    </row>
    <row r="5738" spans="1:2">
      <c r="A5738" s="112">
        <v>43375</v>
      </c>
      <c r="B5738" s="1">
        <f t="shared" si="89"/>
        <v>22</v>
      </c>
    </row>
    <row r="5739" spans="1:2">
      <c r="A5739" s="112">
        <v>43376</v>
      </c>
      <c r="B5739" s="1">
        <f t="shared" si="89"/>
        <v>23</v>
      </c>
    </row>
    <row r="5740" spans="1:2">
      <c r="A5740" s="112">
        <v>43377</v>
      </c>
      <c r="B5740" s="1">
        <f t="shared" si="89"/>
        <v>24</v>
      </c>
    </row>
    <row r="5741" spans="1:2">
      <c r="A5741" s="112">
        <v>43378</v>
      </c>
      <c r="B5741" s="1">
        <f t="shared" si="89"/>
        <v>25</v>
      </c>
    </row>
    <row r="5742" spans="1:2">
      <c r="A5742" s="112">
        <v>43379</v>
      </c>
      <c r="B5742" s="1">
        <f t="shared" si="89"/>
        <v>26</v>
      </c>
    </row>
    <row r="5743" spans="1:2">
      <c r="A5743" s="112">
        <v>43380</v>
      </c>
      <c r="B5743" s="1">
        <f t="shared" si="89"/>
        <v>27</v>
      </c>
    </row>
    <row r="5744" spans="1:2">
      <c r="A5744" s="112">
        <v>43381</v>
      </c>
      <c r="B5744" s="1">
        <f t="shared" si="89"/>
        <v>28</v>
      </c>
    </row>
    <row r="5745" spans="1:2">
      <c r="A5745" s="112">
        <v>43382</v>
      </c>
      <c r="B5745" s="1">
        <f t="shared" si="89"/>
        <v>29</v>
      </c>
    </row>
    <row r="5746" spans="1:2">
      <c r="A5746" s="112">
        <v>43383</v>
      </c>
      <c r="B5746" s="1">
        <f t="shared" si="89"/>
        <v>0</v>
      </c>
    </row>
    <row r="5747" spans="1:2">
      <c r="A5747" s="112">
        <v>43384</v>
      </c>
      <c r="B5747" s="1">
        <f t="shared" si="89"/>
        <v>1</v>
      </c>
    </row>
    <row r="5748" spans="1:2">
      <c r="A5748" s="112">
        <v>43385</v>
      </c>
      <c r="B5748" s="1">
        <f t="shared" si="89"/>
        <v>2</v>
      </c>
    </row>
    <row r="5749" spans="1:2">
      <c r="A5749" s="112">
        <v>43386</v>
      </c>
      <c r="B5749" s="1">
        <f t="shared" si="89"/>
        <v>3</v>
      </c>
    </row>
    <row r="5750" spans="1:2">
      <c r="A5750" s="112">
        <v>43387</v>
      </c>
      <c r="B5750" s="1">
        <f t="shared" si="89"/>
        <v>4</v>
      </c>
    </row>
    <row r="5751" spans="1:2">
      <c r="A5751" s="112">
        <v>43388</v>
      </c>
      <c r="B5751" s="1">
        <f t="shared" si="89"/>
        <v>5</v>
      </c>
    </row>
    <row r="5752" spans="1:2">
      <c r="A5752" s="112">
        <v>43389</v>
      </c>
      <c r="B5752" s="1">
        <f t="shared" si="89"/>
        <v>6</v>
      </c>
    </row>
    <row r="5753" spans="1:2">
      <c r="A5753" s="112">
        <v>43390</v>
      </c>
      <c r="B5753" s="1">
        <f t="shared" si="89"/>
        <v>7</v>
      </c>
    </row>
    <row r="5754" spans="1:2">
      <c r="A5754" s="112">
        <v>43391</v>
      </c>
      <c r="B5754" s="1">
        <f t="shared" si="89"/>
        <v>8</v>
      </c>
    </row>
    <row r="5755" spans="1:2">
      <c r="A5755" s="112">
        <v>43392</v>
      </c>
      <c r="B5755" s="1">
        <f t="shared" si="89"/>
        <v>9</v>
      </c>
    </row>
    <row r="5756" spans="1:2">
      <c r="A5756" s="112">
        <v>43393</v>
      </c>
      <c r="B5756" s="1">
        <f t="shared" si="89"/>
        <v>10</v>
      </c>
    </row>
    <row r="5757" spans="1:2">
      <c r="A5757" s="112">
        <v>43394</v>
      </c>
      <c r="B5757" s="1">
        <f t="shared" si="89"/>
        <v>11</v>
      </c>
    </row>
    <row r="5758" spans="1:2">
      <c r="A5758" s="112">
        <v>43395</v>
      </c>
      <c r="B5758" s="1">
        <f t="shared" si="89"/>
        <v>12</v>
      </c>
    </row>
    <row r="5759" spans="1:2">
      <c r="A5759" s="112">
        <v>43396</v>
      </c>
      <c r="B5759" s="1">
        <f t="shared" si="89"/>
        <v>13</v>
      </c>
    </row>
    <row r="5760" spans="1:2">
      <c r="A5760" s="112">
        <v>43397</v>
      </c>
      <c r="B5760" s="1">
        <f t="shared" si="89"/>
        <v>14</v>
      </c>
    </row>
    <row r="5761" spans="1:2">
      <c r="A5761" s="112">
        <v>43398</v>
      </c>
      <c r="B5761" s="1">
        <f t="shared" si="89"/>
        <v>15</v>
      </c>
    </row>
    <row r="5762" spans="1:2">
      <c r="A5762" s="112">
        <v>43399</v>
      </c>
      <c r="B5762" s="1">
        <f t="shared" si="89"/>
        <v>16</v>
      </c>
    </row>
    <row r="5763" spans="1:2">
      <c r="A5763" s="112">
        <v>43400</v>
      </c>
      <c r="B5763" s="1">
        <f t="shared" ref="B5763:B5826" si="90">INT(MOD($G$2+A5763-$F$2,29.53))</f>
        <v>17</v>
      </c>
    </row>
    <row r="5764" spans="1:2">
      <c r="A5764" s="112">
        <v>43401</v>
      </c>
      <c r="B5764" s="1">
        <f t="shared" si="90"/>
        <v>18</v>
      </c>
    </row>
    <row r="5765" spans="1:2">
      <c r="A5765" s="112">
        <v>43402</v>
      </c>
      <c r="B5765" s="1">
        <f t="shared" si="90"/>
        <v>19</v>
      </c>
    </row>
    <row r="5766" spans="1:2">
      <c r="A5766" s="112">
        <v>43403</v>
      </c>
      <c r="B5766" s="1">
        <f t="shared" si="90"/>
        <v>20</v>
      </c>
    </row>
    <row r="5767" spans="1:2">
      <c r="A5767" s="112">
        <v>43404</v>
      </c>
      <c r="B5767" s="1">
        <f t="shared" si="90"/>
        <v>21</v>
      </c>
    </row>
    <row r="5768" spans="1:2">
      <c r="A5768" s="112">
        <v>43405</v>
      </c>
      <c r="B5768" s="1">
        <f t="shared" si="90"/>
        <v>22</v>
      </c>
    </row>
    <row r="5769" spans="1:2">
      <c r="A5769" s="112">
        <v>43406</v>
      </c>
      <c r="B5769" s="1">
        <f t="shared" si="90"/>
        <v>23</v>
      </c>
    </row>
    <row r="5770" spans="1:2">
      <c r="A5770" s="112">
        <v>43407</v>
      </c>
      <c r="B5770" s="1">
        <f t="shared" si="90"/>
        <v>24</v>
      </c>
    </row>
    <row r="5771" spans="1:2">
      <c r="A5771" s="112">
        <v>43408</v>
      </c>
      <c r="B5771" s="1">
        <f t="shared" si="90"/>
        <v>25</v>
      </c>
    </row>
    <row r="5772" spans="1:2">
      <c r="A5772" s="112">
        <v>43409</v>
      </c>
      <c r="B5772" s="1">
        <f t="shared" si="90"/>
        <v>26</v>
      </c>
    </row>
    <row r="5773" spans="1:2">
      <c r="A5773" s="112">
        <v>43410</v>
      </c>
      <c r="B5773" s="1">
        <f t="shared" si="90"/>
        <v>27</v>
      </c>
    </row>
    <row r="5774" spans="1:2">
      <c r="A5774" s="112">
        <v>43411</v>
      </c>
      <c r="B5774" s="1">
        <f t="shared" si="90"/>
        <v>28</v>
      </c>
    </row>
    <row r="5775" spans="1:2">
      <c r="A5775" s="112">
        <v>43412</v>
      </c>
      <c r="B5775" s="1">
        <f t="shared" si="90"/>
        <v>0</v>
      </c>
    </row>
    <row r="5776" spans="1:2">
      <c r="A5776" s="112">
        <v>43413</v>
      </c>
      <c r="B5776" s="1">
        <f t="shared" si="90"/>
        <v>1</v>
      </c>
    </row>
    <row r="5777" spans="1:2">
      <c r="A5777" s="112">
        <v>43414</v>
      </c>
      <c r="B5777" s="1">
        <f t="shared" si="90"/>
        <v>2</v>
      </c>
    </row>
    <row r="5778" spans="1:2">
      <c r="A5778" s="112">
        <v>43415</v>
      </c>
      <c r="B5778" s="1">
        <f t="shared" si="90"/>
        <v>3</v>
      </c>
    </row>
    <row r="5779" spans="1:2">
      <c r="A5779" s="112">
        <v>43416</v>
      </c>
      <c r="B5779" s="1">
        <f t="shared" si="90"/>
        <v>4</v>
      </c>
    </row>
    <row r="5780" spans="1:2">
      <c r="A5780" s="112">
        <v>43417</v>
      </c>
      <c r="B5780" s="1">
        <f t="shared" si="90"/>
        <v>5</v>
      </c>
    </row>
    <row r="5781" spans="1:2">
      <c r="A5781" s="112">
        <v>43418</v>
      </c>
      <c r="B5781" s="1">
        <f t="shared" si="90"/>
        <v>6</v>
      </c>
    </row>
    <row r="5782" spans="1:2">
      <c r="A5782" s="112">
        <v>43419</v>
      </c>
      <c r="B5782" s="1">
        <f t="shared" si="90"/>
        <v>7</v>
      </c>
    </row>
    <row r="5783" spans="1:2">
      <c r="A5783" s="112">
        <v>43420</v>
      </c>
      <c r="B5783" s="1">
        <f t="shared" si="90"/>
        <v>8</v>
      </c>
    </row>
    <row r="5784" spans="1:2">
      <c r="A5784" s="112">
        <v>43421</v>
      </c>
      <c r="B5784" s="1">
        <f t="shared" si="90"/>
        <v>9</v>
      </c>
    </row>
    <row r="5785" spans="1:2">
      <c r="A5785" s="112">
        <v>43422</v>
      </c>
      <c r="B5785" s="1">
        <f t="shared" si="90"/>
        <v>10</v>
      </c>
    </row>
    <row r="5786" spans="1:2">
      <c r="A5786" s="112">
        <v>43423</v>
      </c>
      <c r="B5786" s="1">
        <f t="shared" si="90"/>
        <v>11</v>
      </c>
    </row>
    <row r="5787" spans="1:2">
      <c r="A5787" s="112">
        <v>43424</v>
      </c>
      <c r="B5787" s="1">
        <f t="shared" si="90"/>
        <v>12</v>
      </c>
    </row>
    <row r="5788" spans="1:2">
      <c r="A5788" s="112">
        <v>43425</v>
      </c>
      <c r="B5788" s="1">
        <f t="shared" si="90"/>
        <v>13</v>
      </c>
    </row>
    <row r="5789" spans="1:2">
      <c r="A5789" s="112">
        <v>43426</v>
      </c>
      <c r="B5789" s="1">
        <f t="shared" si="90"/>
        <v>14</v>
      </c>
    </row>
    <row r="5790" spans="1:2">
      <c r="A5790" s="112">
        <v>43427</v>
      </c>
      <c r="B5790" s="1">
        <f t="shared" si="90"/>
        <v>15</v>
      </c>
    </row>
    <row r="5791" spans="1:2">
      <c r="A5791" s="112">
        <v>43428</v>
      </c>
      <c r="B5791" s="1">
        <f t="shared" si="90"/>
        <v>16</v>
      </c>
    </row>
    <row r="5792" spans="1:2">
      <c r="A5792" s="112">
        <v>43429</v>
      </c>
      <c r="B5792" s="1">
        <f t="shared" si="90"/>
        <v>17</v>
      </c>
    </row>
    <row r="5793" spans="1:2">
      <c r="A5793" s="112">
        <v>43430</v>
      </c>
      <c r="B5793" s="1">
        <f t="shared" si="90"/>
        <v>18</v>
      </c>
    </row>
    <row r="5794" spans="1:2">
      <c r="A5794" s="112">
        <v>43431</v>
      </c>
      <c r="B5794" s="1">
        <f t="shared" si="90"/>
        <v>19</v>
      </c>
    </row>
    <row r="5795" spans="1:2">
      <c r="A5795" s="112">
        <v>43432</v>
      </c>
      <c r="B5795" s="1">
        <f t="shared" si="90"/>
        <v>20</v>
      </c>
    </row>
    <row r="5796" spans="1:2">
      <c r="A5796" s="112">
        <v>43433</v>
      </c>
      <c r="B5796" s="1">
        <f t="shared" si="90"/>
        <v>21</v>
      </c>
    </row>
    <row r="5797" spans="1:2">
      <c r="A5797" s="112">
        <v>43434</v>
      </c>
      <c r="B5797" s="1">
        <f t="shared" si="90"/>
        <v>22</v>
      </c>
    </row>
    <row r="5798" spans="1:2">
      <c r="A5798" s="112">
        <v>43435</v>
      </c>
      <c r="B5798" s="1">
        <f t="shared" si="90"/>
        <v>23</v>
      </c>
    </row>
    <row r="5799" spans="1:2">
      <c r="A5799" s="112">
        <v>43436</v>
      </c>
      <c r="B5799" s="1">
        <f t="shared" si="90"/>
        <v>24</v>
      </c>
    </row>
    <row r="5800" spans="1:2">
      <c r="A5800" s="112">
        <v>43437</v>
      </c>
      <c r="B5800" s="1">
        <f t="shared" si="90"/>
        <v>25</v>
      </c>
    </row>
    <row r="5801" spans="1:2">
      <c r="A5801" s="112">
        <v>43438</v>
      </c>
      <c r="B5801" s="1">
        <f t="shared" si="90"/>
        <v>26</v>
      </c>
    </row>
    <row r="5802" spans="1:2">
      <c r="A5802" s="112">
        <v>43439</v>
      </c>
      <c r="B5802" s="1">
        <f t="shared" si="90"/>
        <v>27</v>
      </c>
    </row>
    <row r="5803" spans="1:2">
      <c r="A5803" s="112">
        <v>43440</v>
      </c>
      <c r="B5803" s="1">
        <f t="shared" si="90"/>
        <v>28</v>
      </c>
    </row>
    <row r="5804" spans="1:2">
      <c r="A5804" s="112">
        <v>43441</v>
      </c>
      <c r="B5804" s="1">
        <f t="shared" si="90"/>
        <v>29</v>
      </c>
    </row>
    <row r="5805" spans="1:2">
      <c r="A5805" s="112">
        <v>43442</v>
      </c>
      <c r="B5805" s="1">
        <f t="shared" si="90"/>
        <v>0</v>
      </c>
    </row>
    <row r="5806" spans="1:2">
      <c r="A5806" s="112">
        <v>43443</v>
      </c>
      <c r="B5806" s="1">
        <f t="shared" si="90"/>
        <v>1</v>
      </c>
    </row>
    <row r="5807" spans="1:2">
      <c r="A5807" s="112">
        <v>43444</v>
      </c>
      <c r="B5807" s="1">
        <f t="shared" si="90"/>
        <v>2</v>
      </c>
    </row>
    <row r="5808" spans="1:2">
      <c r="A5808" s="112">
        <v>43445</v>
      </c>
      <c r="B5808" s="1">
        <f t="shared" si="90"/>
        <v>3</v>
      </c>
    </row>
    <row r="5809" spans="1:2">
      <c r="A5809" s="112">
        <v>43446</v>
      </c>
      <c r="B5809" s="1">
        <f t="shared" si="90"/>
        <v>4</v>
      </c>
    </row>
    <row r="5810" spans="1:2">
      <c r="A5810" s="112">
        <v>43447</v>
      </c>
      <c r="B5810" s="1">
        <f t="shared" si="90"/>
        <v>5</v>
      </c>
    </row>
    <row r="5811" spans="1:2">
      <c r="A5811" s="112">
        <v>43448</v>
      </c>
      <c r="B5811" s="1">
        <f t="shared" si="90"/>
        <v>6</v>
      </c>
    </row>
    <row r="5812" spans="1:2">
      <c r="A5812" s="112">
        <v>43449</v>
      </c>
      <c r="B5812" s="1">
        <f t="shared" si="90"/>
        <v>7</v>
      </c>
    </row>
    <row r="5813" spans="1:2">
      <c r="A5813" s="112">
        <v>43450</v>
      </c>
      <c r="B5813" s="1">
        <f t="shared" si="90"/>
        <v>8</v>
      </c>
    </row>
    <row r="5814" spans="1:2">
      <c r="A5814" s="112">
        <v>43451</v>
      </c>
      <c r="B5814" s="1">
        <f t="shared" si="90"/>
        <v>9</v>
      </c>
    </row>
    <row r="5815" spans="1:2">
      <c r="A5815" s="112">
        <v>43452</v>
      </c>
      <c r="B5815" s="1">
        <f t="shared" si="90"/>
        <v>10</v>
      </c>
    </row>
    <row r="5816" spans="1:2">
      <c r="A5816" s="112">
        <v>43453</v>
      </c>
      <c r="B5816" s="1">
        <f t="shared" si="90"/>
        <v>11</v>
      </c>
    </row>
    <row r="5817" spans="1:2">
      <c r="A5817" s="112">
        <v>43454</v>
      </c>
      <c r="B5817" s="1">
        <f t="shared" si="90"/>
        <v>12</v>
      </c>
    </row>
    <row r="5818" spans="1:2">
      <c r="A5818" s="112">
        <v>43455</v>
      </c>
      <c r="B5818" s="1">
        <f t="shared" si="90"/>
        <v>13</v>
      </c>
    </row>
    <row r="5819" spans="1:2">
      <c r="A5819" s="112">
        <v>43456</v>
      </c>
      <c r="B5819" s="1">
        <f t="shared" si="90"/>
        <v>14</v>
      </c>
    </row>
    <row r="5820" spans="1:2">
      <c r="A5820" s="112">
        <v>43457</v>
      </c>
      <c r="B5820" s="1">
        <f t="shared" si="90"/>
        <v>15</v>
      </c>
    </row>
    <row r="5821" spans="1:2">
      <c r="A5821" s="112">
        <v>43458</v>
      </c>
      <c r="B5821" s="1">
        <f t="shared" si="90"/>
        <v>16</v>
      </c>
    </row>
    <row r="5822" spans="1:2">
      <c r="A5822" s="112">
        <v>43459</v>
      </c>
      <c r="B5822" s="1">
        <f t="shared" si="90"/>
        <v>17</v>
      </c>
    </row>
    <row r="5823" spans="1:2">
      <c r="A5823" s="112">
        <v>43460</v>
      </c>
      <c r="B5823" s="1">
        <f t="shared" si="90"/>
        <v>18</v>
      </c>
    </row>
    <row r="5824" spans="1:2">
      <c r="A5824" s="112">
        <v>43461</v>
      </c>
      <c r="B5824" s="1">
        <f t="shared" si="90"/>
        <v>19</v>
      </c>
    </row>
    <row r="5825" spans="1:2">
      <c r="A5825" s="112">
        <v>43462</v>
      </c>
      <c r="B5825" s="1">
        <f t="shared" si="90"/>
        <v>20</v>
      </c>
    </row>
    <row r="5826" spans="1:2">
      <c r="A5826" s="112">
        <v>43463</v>
      </c>
      <c r="B5826" s="1">
        <f t="shared" si="90"/>
        <v>21</v>
      </c>
    </row>
    <row r="5827" spans="1:2">
      <c r="A5827" s="112">
        <v>43464</v>
      </c>
      <c r="B5827" s="1">
        <f t="shared" ref="B5827:B5890" si="91">INT(MOD($G$2+A5827-$F$2,29.53))</f>
        <v>22</v>
      </c>
    </row>
    <row r="5828" spans="1:2">
      <c r="A5828" s="112">
        <v>43465</v>
      </c>
      <c r="B5828" s="1">
        <f t="shared" si="91"/>
        <v>23</v>
      </c>
    </row>
    <row r="5829" spans="1:2">
      <c r="A5829" s="112">
        <v>43466</v>
      </c>
      <c r="B5829" s="1">
        <f t="shared" si="91"/>
        <v>24</v>
      </c>
    </row>
    <row r="5830" spans="1:2">
      <c r="A5830" s="112">
        <v>43467</v>
      </c>
      <c r="B5830" s="1">
        <f t="shared" si="91"/>
        <v>25</v>
      </c>
    </row>
    <row r="5831" spans="1:2">
      <c r="A5831" s="112">
        <v>43468</v>
      </c>
      <c r="B5831" s="1">
        <f t="shared" si="91"/>
        <v>26</v>
      </c>
    </row>
    <row r="5832" spans="1:2">
      <c r="A5832" s="112">
        <v>43469</v>
      </c>
      <c r="B5832" s="1">
        <f t="shared" si="91"/>
        <v>27</v>
      </c>
    </row>
    <row r="5833" spans="1:2">
      <c r="A5833" s="112">
        <v>43470</v>
      </c>
      <c r="B5833" s="1">
        <f t="shared" si="91"/>
        <v>28</v>
      </c>
    </row>
    <row r="5834" spans="1:2">
      <c r="A5834" s="112">
        <v>43471</v>
      </c>
      <c r="B5834" s="1">
        <f t="shared" si="91"/>
        <v>0</v>
      </c>
    </row>
    <row r="5835" spans="1:2">
      <c r="A5835" s="112">
        <v>43472</v>
      </c>
      <c r="B5835" s="1">
        <f t="shared" si="91"/>
        <v>1</v>
      </c>
    </row>
    <row r="5836" spans="1:2">
      <c r="A5836" s="112">
        <v>43473</v>
      </c>
      <c r="B5836" s="1">
        <f t="shared" si="91"/>
        <v>2</v>
      </c>
    </row>
    <row r="5837" spans="1:2">
      <c r="A5837" s="112">
        <v>43474</v>
      </c>
      <c r="B5837" s="1">
        <f t="shared" si="91"/>
        <v>3</v>
      </c>
    </row>
    <row r="5838" spans="1:2">
      <c r="A5838" s="112">
        <v>43475</v>
      </c>
      <c r="B5838" s="1">
        <f t="shared" si="91"/>
        <v>4</v>
      </c>
    </row>
    <row r="5839" spans="1:2">
      <c r="A5839" s="112">
        <v>43476</v>
      </c>
      <c r="B5839" s="1">
        <f t="shared" si="91"/>
        <v>5</v>
      </c>
    </row>
    <row r="5840" spans="1:2">
      <c r="A5840" s="112">
        <v>43477</v>
      </c>
      <c r="B5840" s="1">
        <f t="shared" si="91"/>
        <v>6</v>
      </c>
    </row>
    <row r="5841" spans="1:2">
      <c r="A5841" s="112">
        <v>43478</v>
      </c>
      <c r="B5841" s="1">
        <f t="shared" si="91"/>
        <v>7</v>
      </c>
    </row>
    <row r="5842" spans="1:2">
      <c r="A5842" s="112">
        <v>43479</v>
      </c>
      <c r="B5842" s="1">
        <f t="shared" si="91"/>
        <v>8</v>
      </c>
    </row>
    <row r="5843" spans="1:2">
      <c r="A5843" s="112">
        <v>43480</v>
      </c>
      <c r="B5843" s="1">
        <f t="shared" si="91"/>
        <v>9</v>
      </c>
    </row>
    <row r="5844" spans="1:2">
      <c r="A5844" s="112">
        <v>43481</v>
      </c>
      <c r="B5844" s="1">
        <f t="shared" si="91"/>
        <v>10</v>
      </c>
    </row>
    <row r="5845" spans="1:2">
      <c r="A5845" s="112">
        <v>43482</v>
      </c>
      <c r="B5845" s="1">
        <f t="shared" si="91"/>
        <v>11</v>
      </c>
    </row>
    <row r="5846" spans="1:2">
      <c r="A5846" s="112">
        <v>43483</v>
      </c>
      <c r="B5846" s="1">
        <f t="shared" si="91"/>
        <v>12</v>
      </c>
    </row>
    <row r="5847" spans="1:2">
      <c r="A5847" s="112">
        <v>43484</v>
      </c>
      <c r="B5847" s="1">
        <f t="shared" si="91"/>
        <v>13</v>
      </c>
    </row>
    <row r="5848" spans="1:2">
      <c r="A5848" s="112">
        <v>43485</v>
      </c>
      <c r="B5848" s="1">
        <f t="shared" si="91"/>
        <v>14</v>
      </c>
    </row>
    <row r="5849" spans="1:2">
      <c r="A5849" s="112">
        <v>43486</v>
      </c>
      <c r="B5849" s="1">
        <f t="shared" si="91"/>
        <v>15</v>
      </c>
    </row>
    <row r="5850" spans="1:2">
      <c r="A5850" s="112">
        <v>43487</v>
      </c>
      <c r="B5850" s="1">
        <f t="shared" si="91"/>
        <v>16</v>
      </c>
    </row>
    <row r="5851" spans="1:2">
      <c r="A5851" s="112">
        <v>43488</v>
      </c>
      <c r="B5851" s="1">
        <f t="shared" si="91"/>
        <v>17</v>
      </c>
    </row>
    <row r="5852" spans="1:2">
      <c r="A5852" s="112">
        <v>43489</v>
      </c>
      <c r="B5852" s="1">
        <f t="shared" si="91"/>
        <v>18</v>
      </c>
    </row>
    <row r="5853" spans="1:2">
      <c r="A5853" s="112">
        <v>43490</v>
      </c>
      <c r="B5853" s="1">
        <f t="shared" si="91"/>
        <v>19</v>
      </c>
    </row>
    <row r="5854" spans="1:2">
      <c r="A5854" s="112">
        <v>43491</v>
      </c>
      <c r="B5854" s="1">
        <f t="shared" si="91"/>
        <v>20</v>
      </c>
    </row>
    <row r="5855" spans="1:2">
      <c r="A5855" s="112">
        <v>43492</v>
      </c>
      <c r="B5855" s="1">
        <f t="shared" si="91"/>
        <v>21</v>
      </c>
    </row>
    <row r="5856" spans="1:2">
      <c r="A5856" s="112">
        <v>43493</v>
      </c>
      <c r="B5856" s="1">
        <f t="shared" si="91"/>
        <v>22</v>
      </c>
    </row>
    <row r="5857" spans="1:2">
      <c r="A5857" s="112">
        <v>43494</v>
      </c>
      <c r="B5857" s="1">
        <f t="shared" si="91"/>
        <v>23</v>
      </c>
    </row>
    <row r="5858" spans="1:2">
      <c r="A5858" s="112">
        <v>43495</v>
      </c>
      <c r="B5858" s="1">
        <f t="shared" si="91"/>
        <v>24</v>
      </c>
    </row>
    <row r="5859" spans="1:2">
      <c r="A5859" s="112">
        <v>43496</v>
      </c>
      <c r="B5859" s="1">
        <f t="shared" si="91"/>
        <v>25</v>
      </c>
    </row>
    <row r="5860" spans="1:2">
      <c r="A5860" s="112">
        <v>43497</v>
      </c>
      <c r="B5860" s="1">
        <f t="shared" si="91"/>
        <v>26</v>
      </c>
    </row>
    <row r="5861" spans="1:2">
      <c r="A5861" s="112">
        <v>43498</v>
      </c>
      <c r="B5861" s="1">
        <f t="shared" si="91"/>
        <v>27</v>
      </c>
    </row>
    <row r="5862" spans="1:2">
      <c r="A5862" s="112">
        <v>43499</v>
      </c>
      <c r="B5862" s="1">
        <f t="shared" si="91"/>
        <v>28</v>
      </c>
    </row>
    <row r="5863" spans="1:2">
      <c r="A5863" s="112">
        <v>43500</v>
      </c>
      <c r="B5863" s="1">
        <f t="shared" si="91"/>
        <v>29</v>
      </c>
    </row>
    <row r="5864" spans="1:2">
      <c r="A5864" s="112">
        <v>43501</v>
      </c>
      <c r="B5864" s="1">
        <f t="shared" si="91"/>
        <v>0</v>
      </c>
    </row>
    <row r="5865" spans="1:2">
      <c r="A5865" s="112">
        <v>43502</v>
      </c>
      <c r="B5865" s="1">
        <f t="shared" si="91"/>
        <v>1</v>
      </c>
    </row>
    <row r="5866" spans="1:2">
      <c r="A5866" s="112">
        <v>43503</v>
      </c>
      <c r="B5866" s="1">
        <f t="shared" si="91"/>
        <v>2</v>
      </c>
    </row>
    <row r="5867" spans="1:2">
      <c r="A5867" s="112">
        <v>43504</v>
      </c>
      <c r="B5867" s="1">
        <f t="shared" si="91"/>
        <v>3</v>
      </c>
    </row>
    <row r="5868" spans="1:2">
      <c r="A5868" s="112">
        <v>43505</v>
      </c>
      <c r="B5868" s="1">
        <f t="shared" si="91"/>
        <v>4</v>
      </c>
    </row>
    <row r="5869" spans="1:2">
      <c r="A5869" s="112">
        <v>43506</v>
      </c>
      <c r="B5869" s="1">
        <f t="shared" si="91"/>
        <v>5</v>
      </c>
    </row>
    <row r="5870" spans="1:2">
      <c r="A5870" s="112">
        <v>43507</v>
      </c>
      <c r="B5870" s="1">
        <f t="shared" si="91"/>
        <v>6</v>
      </c>
    </row>
    <row r="5871" spans="1:2">
      <c r="A5871" s="112">
        <v>43508</v>
      </c>
      <c r="B5871" s="1">
        <f t="shared" si="91"/>
        <v>7</v>
      </c>
    </row>
    <row r="5872" spans="1:2">
      <c r="A5872" s="112">
        <v>43509</v>
      </c>
      <c r="B5872" s="1">
        <f t="shared" si="91"/>
        <v>8</v>
      </c>
    </row>
    <row r="5873" spans="1:2">
      <c r="A5873" s="112">
        <v>43510</v>
      </c>
      <c r="B5873" s="1">
        <f t="shared" si="91"/>
        <v>9</v>
      </c>
    </row>
    <row r="5874" spans="1:2">
      <c r="A5874" s="112">
        <v>43511</v>
      </c>
      <c r="B5874" s="1">
        <f t="shared" si="91"/>
        <v>10</v>
      </c>
    </row>
    <row r="5875" spans="1:2">
      <c r="A5875" s="112">
        <v>43512</v>
      </c>
      <c r="B5875" s="1">
        <f t="shared" si="91"/>
        <v>11</v>
      </c>
    </row>
    <row r="5876" spans="1:2">
      <c r="A5876" s="112">
        <v>43513</v>
      </c>
      <c r="B5876" s="1">
        <f t="shared" si="91"/>
        <v>12</v>
      </c>
    </row>
    <row r="5877" spans="1:2">
      <c r="A5877" s="112">
        <v>43514</v>
      </c>
      <c r="B5877" s="1">
        <f t="shared" si="91"/>
        <v>13</v>
      </c>
    </row>
    <row r="5878" spans="1:2">
      <c r="A5878" s="112">
        <v>43515</v>
      </c>
      <c r="B5878" s="1">
        <f t="shared" si="91"/>
        <v>14</v>
      </c>
    </row>
    <row r="5879" spans="1:2">
      <c r="A5879" s="112">
        <v>43516</v>
      </c>
      <c r="B5879" s="1">
        <f t="shared" si="91"/>
        <v>15</v>
      </c>
    </row>
    <row r="5880" spans="1:2">
      <c r="A5880" s="112">
        <v>43517</v>
      </c>
      <c r="B5880" s="1">
        <f t="shared" si="91"/>
        <v>16</v>
      </c>
    </row>
    <row r="5881" spans="1:2">
      <c r="A5881" s="112">
        <v>43518</v>
      </c>
      <c r="B5881" s="1">
        <f t="shared" si="91"/>
        <v>17</v>
      </c>
    </row>
    <row r="5882" spans="1:2">
      <c r="A5882" s="112">
        <v>43519</v>
      </c>
      <c r="B5882" s="1">
        <f t="shared" si="91"/>
        <v>18</v>
      </c>
    </row>
    <row r="5883" spans="1:2">
      <c r="A5883" s="112">
        <v>43520</v>
      </c>
      <c r="B5883" s="1">
        <f t="shared" si="91"/>
        <v>19</v>
      </c>
    </row>
    <row r="5884" spans="1:2">
      <c r="A5884" s="112">
        <v>43521</v>
      </c>
      <c r="B5884" s="1">
        <f t="shared" si="91"/>
        <v>20</v>
      </c>
    </row>
    <row r="5885" spans="1:2">
      <c r="A5885" s="112">
        <v>43522</v>
      </c>
      <c r="B5885" s="1">
        <f t="shared" si="91"/>
        <v>21</v>
      </c>
    </row>
    <row r="5886" spans="1:2">
      <c r="A5886" s="112">
        <v>43523</v>
      </c>
      <c r="B5886" s="1">
        <f t="shared" si="91"/>
        <v>22</v>
      </c>
    </row>
    <row r="5887" spans="1:2">
      <c r="A5887" s="112">
        <v>43524</v>
      </c>
      <c r="B5887" s="1">
        <f t="shared" si="91"/>
        <v>23</v>
      </c>
    </row>
    <row r="5888" spans="1:2">
      <c r="A5888" s="112">
        <v>43525</v>
      </c>
      <c r="B5888" s="1">
        <f t="shared" si="91"/>
        <v>24</v>
      </c>
    </row>
    <row r="5889" spans="1:2">
      <c r="A5889" s="112">
        <v>43526</v>
      </c>
      <c r="B5889" s="1">
        <f t="shared" si="91"/>
        <v>25</v>
      </c>
    </row>
    <row r="5890" spans="1:2">
      <c r="A5890" s="112">
        <v>43527</v>
      </c>
      <c r="B5890" s="1">
        <f t="shared" si="91"/>
        <v>26</v>
      </c>
    </row>
    <row r="5891" spans="1:2">
      <c r="A5891" s="112">
        <v>43528</v>
      </c>
      <c r="B5891" s="1">
        <f t="shared" ref="B5891:B5954" si="92">INT(MOD($G$2+A5891-$F$2,29.53))</f>
        <v>27</v>
      </c>
    </row>
    <row r="5892" spans="1:2">
      <c r="A5892" s="112">
        <v>43529</v>
      </c>
      <c r="B5892" s="1">
        <f t="shared" si="92"/>
        <v>28</v>
      </c>
    </row>
    <row r="5893" spans="1:2">
      <c r="A5893" s="112">
        <v>43530</v>
      </c>
      <c r="B5893" s="1">
        <f t="shared" si="92"/>
        <v>0</v>
      </c>
    </row>
    <row r="5894" spans="1:2">
      <c r="A5894" s="112">
        <v>43531</v>
      </c>
      <c r="B5894" s="1">
        <f t="shared" si="92"/>
        <v>1</v>
      </c>
    </row>
    <row r="5895" spans="1:2">
      <c r="A5895" s="112">
        <v>43532</v>
      </c>
      <c r="B5895" s="1">
        <f t="shared" si="92"/>
        <v>2</v>
      </c>
    </row>
    <row r="5896" spans="1:2">
      <c r="A5896" s="112">
        <v>43533</v>
      </c>
      <c r="B5896" s="1">
        <f t="shared" si="92"/>
        <v>3</v>
      </c>
    </row>
    <row r="5897" spans="1:2">
      <c r="A5897" s="112">
        <v>43534</v>
      </c>
      <c r="B5897" s="1">
        <f t="shared" si="92"/>
        <v>4</v>
      </c>
    </row>
    <row r="5898" spans="1:2">
      <c r="A5898" s="112">
        <v>43535</v>
      </c>
      <c r="B5898" s="1">
        <f t="shared" si="92"/>
        <v>5</v>
      </c>
    </row>
    <row r="5899" spans="1:2">
      <c r="A5899" s="112">
        <v>43536</v>
      </c>
      <c r="B5899" s="1">
        <f t="shared" si="92"/>
        <v>6</v>
      </c>
    </row>
    <row r="5900" spans="1:2">
      <c r="A5900" s="112">
        <v>43537</v>
      </c>
      <c r="B5900" s="1">
        <f t="shared" si="92"/>
        <v>7</v>
      </c>
    </row>
    <row r="5901" spans="1:2">
      <c r="A5901" s="112">
        <v>43538</v>
      </c>
      <c r="B5901" s="1">
        <f t="shared" si="92"/>
        <v>8</v>
      </c>
    </row>
    <row r="5902" spans="1:2">
      <c r="A5902" s="112">
        <v>43539</v>
      </c>
      <c r="B5902" s="1">
        <f t="shared" si="92"/>
        <v>9</v>
      </c>
    </row>
    <row r="5903" spans="1:2">
      <c r="A5903" s="112">
        <v>43540</v>
      </c>
      <c r="B5903" s="1">
        <f t="shared" si="92"/>
        <v>10</v>
      </c>
    </row>
    <row r="5904" spans="1:2">
      <c r="A5904" s="112">
        <v>43541</v>
      </c>
      <c r="B5904" s="1">
        <f t="shared" si="92"/>
        <v>11</v>
      </c>
    </row>
    <row r="5905" spans="1:2">
      <c r="A5905" s="112">
        <v>43542</v>
      </c>
      <c r="B5905" s="1">
        <f t="shared" si="92"/>
        <v>12</v>
      </c>
    </row>
    <row r="5906" spans="1:2">
      <c r="A5906" s="112">
        <v>43543</v>
      </c>
      <c r="B5906" s="1">
        <f t="shared" si="92"/>
        <v>13</v>
      </c>
    </row>
    <row r="5907" spans="1:2">
      <c r="A5907" s="112">
        <v>43544</v>
      </c>
      <c r="B5907" s="1">
        <f t="shared" si="92"/>
        <v>14</v>
      </c>
    </row>
    <row r="5908" spans="1:2">
      <c r="A5908" s="112">
        <v>43545</v>
      </c>
      <c r="B5908" s="1">
        <f t="shared" si="92"/>
        <v>15</v>
      </c>
    </row>
    <row r="5909" spans="1:2">
      <c r="A5909" s="112">
        <v>43546</v>
      </c>
      <c r="B5909" s="1">
        <f t="shared" si="92"/>
        <v>16</v>
      </c>
    </row>
    <row r="5910" spans="1:2">
      <c r="A5910" s="112">
        <v>43547</v>
      </c>
      <c r="B5910" s="1">
        <f t="shared" si="92"/>
        <v>17</v>
      </c>
    </row>
    <row r="5911" spans="1:2">
      <c r="A5911" s="112">
        <v>43548</v>
      </c>
      <c r="B5911" s="1">
        <f t="shared" si="92"/>
        <v>18</v>
      </c>
    </row>
    <row r="5912" spans="1:2">
      <c r="A5912" s="112">
        <v>43549</v>
      </c>
      <c r="B5912" s="1">
        <f t="shared" si="92"/>
        <v>19</v>
      </c>
    </row>
    <row r="5913" spans="1:2">
      <c r="A5913" s="112">
        <v>43550</v>
      </c>
      <c r="B5913" s="1">
        <f t="shared" si="92"/>
        <v>20</v>
      </c>
    </row>
    <row r="5914" spans="1:2">
      <c r="A5914" s="112">
        <v>43551</v>
      </c>
      <c r="B5914" s="1">
        <f t="shared" si="92"/>
        <v>21</v>
      </c>
    </row>
    <row r="5915" spans="1:2">
      <c r="A5915" s="112">
        <v>43552</v>
      </c>
      <c r="B5915" s="1">
        <f t="shared" si="92"/>
        <v>22</v>
      </c>
    </row>
    <row r="5916" spans="1:2">
      <c r="A5916" s="112">
        <v>43553</v>
      </c>
      <c r="B5916" s="1">
        <f t="shared" si="92"/>
        <v>23</v>
      </c>
    </row>
    <row r="5917" spans="1:2">
      <c r="A5917" s="112">
        <v>43554</v>
      </c>
      <c r="B5917" s="1">
        <f t="shared" si="92"/>
        <v>24</v>
      </c>
    </row>
    <row r="5918" spans="1:2">
      <c r="A5918" s="112">
        <v>43555</v>
      </c>
      <c r="B5918" s="1">
        <f t="shared" si="92"/>
        <v>25</v>
      </c>
    </row>
    <row r="5919" spans="1:2">
      <c r="A5919" s="112">
        <v>43556</v>
      </c>
      <c r="B5919" s="1">
        <f t="shared" si="92"/>
        <v>26</v>
      </c>
    </row>
    <row r="5920" spans="1:2">
      <c r="A5920" s="112">
        <v>43557</v>
      </c>
      <c r="B5920" s="1">
        <f t="shared" si="92"/>
        <v>27</v>
      </c>
    </row>
    <row r="5921" spans="1:2">
      <c r="A5921" s="112">
        <v>43558</v>
      </c>
      <c r="B5921" s="1">
        <f t="shared" si="92"/>
        <v>28</v>
      </c>
    </row>
    <row r="5922" spans="1:2">
      <c r="A5922" s="112">
        <v>43559</v>
      </c>
      <c r="B5922" s="1">
        <f t="shared" si="92"/>
        <v>29</v>
      </c>
    </row>
    <row r="5923" spans="1:2">
      <c r="A5923" s="112">
        <v>43560</v>
      </c>
      <c r="B5923" s="1">
        <f t="shared" si="92"/>
        <v>0</v>
      </c>
    </row>
    <row r="5924" spans="1:2">
      <c r="A5924" s="112">
        <v>43561</v>
      </c>
      <c r="B5924" s="1">
        <f t="shared" si="92"/>
        <v>1</v>
      </c>
    </row>
    <row r="5925" spans="1:2">
      <c r="A5925" s="112">
        <v>43562</v>
      </c>
      <c r="B5925" s="1">
        <f t="shared" si="92"/>
        <v>2</v>
      </c>
    </row>
    <row r="5926" spans="1:2">
      <c r="A5926" s="112">
        <v>43563</v>
      </c>
      <c r="B5926" s="1">
        <f t="shared" si="92"/>
        <v>3</v>
      </c>
    </row>
    <row r="5927" spans="1:2">
      <c r="A5927" s="112">
        <v>43564</v>
      </c>
      <c r="B5927" s="1">
        <f t="shared" si="92"/>
        <v>4</v>
      </c>
    </row>
    <row r="5928" spans="1:2">
      <c r="A5928" s="112">
        <v>43565</v>
      </c>
      <c r="B5928" s="1">
        <f t="shared" si="92"/>
        <v>5</v>
      </c>
    </row>
    <row r="5929" spans="1:2">
      <c r="A5929" s="112">
        <v>43566</v>
      </c>
      <c r="B5929" s="1">
        <f t="shared" si="92"/>
        <v>6</v>
      </c>
    </row>
    <row r="5930" spans="1:2">
      <c r="A5930" s="112">
        <v>43567</v>
      </c>
      <c r="B5930" s="1">
        <f t="shared" si="92"/>
        <v>7</v>
      </c>
    </row>
    <row r="5931" spans="1:2">
      <c r="A5931" s="112">
        <v>43568</v>
      </c>
      <c r="B5931" s="1">
        <f t="shared" si="92"/>
        <v>8</v>
      </c>
    </row>
    <row r="5932" spans="1:2">
      <c r="A5932" s="112">
        <v>43569</v>
      </c>
      <c r="B5932" s="1">
        <f t="shared" si="92"/>
        <v>9</v>
      </c>
    </row>
    <row r="5933" spans="1:2">
      <c r="A5933" s="112">
        <v>43570</v>
      </c>
      <c r="B5933" s="1">
        <f t="shared" si="92"/>
        <v>10</v>
      </c>
    </row>
    <row r="5934" spans="1:2">
      <c r="A5934" s="112">
        <v>43571</v>
      </c>
      <c r="B5934" s="1">
        <f t="shared" si="92"/>
        <v>11</v>
      </c>
    </row>
    <row r="5935" spans="1:2">
      <c r="A5935" s="112">
        <v>43572</v>
      </c>
      <c r="B5935" s="1">
        <f t="shared" si="92"/>
        <v>12</v>
      </c>
    </row>
    <row r="5936" spans="1:2">
      <c r="A5936" s="112">
        <v>43573</v>
      </c>
      <c r="B5936" s="1">
        <f t="shared" si="92"/>
        <v>13</v>
      </c>
    </row>
    <row r="5937" spans="1:2">
      <c r="A5937" s="112">
        <v>43574</v>
      </c>
      <c r="B5937" s="1">
        <f t="shared" si="92"/>
        <v>14</v>
      </c>
    </row>
    <row r="5938" spans="1:2">
      <c r="A5938" s="112">
        <v>43575</v>
      </c>
      <c r="B5938" s="1">
        <f t="shared" si="92"/>
        <v>15</v>
      </c>
    </row>
    <row r="5939" spans="1:2">
      <c r="A5939" s="112">
        <v>43576</v>
      </c>
      <c r="B5939" s="1">
        <f t="shared" si="92"/>
        <v>16</v>
      </c>
    </row>
    <row r="5940" spans="1:2">
      <c r="A5940" s="112">
        <v>43577</v>
      </c>
      <c r="B5940" s="1">
        <f t="shared" si="92"/>
        <v>17</v>
      </c>
    </row>
    <row r="5941" spans="1:2">
      <c r="A5941" s="112">
        <v>43578</v>
      </c>
      <c r="B5941" s="1">
        <f t="shared" si="92"/>
        <v>18</v>
      </c>
    </row>
    <row r="5942" spans="1:2">
      <c r="A5942" s="112">
        <v>43579</v>
      </c>
      <c r="B5942" s="1">
        <f t="shared" si="92"/>
        <v>19</v>
      </c>
    </row>
    <row r="5943" spans="1:2">
      <c r="A5943" s="112">
        <v>43580</v>
      </c>
      <c r="B5943" s="1">
        <f t="shared" si="92"/>
        <v>20</v>
      </c>
    </row>
    <row r="5944" spans="1:2">
      <c r="A5944" s="112">
        <v>43581</v>
      </c>
      <c r="B5944" s="1">
        <f t="shared" si="92"/>
        <v>21</v>
      </c>
    </row>
    <row r="5945" spans="1:2">
      <c r="A5945" s="112">
        <v>43582</v>
      </c>
      <c r="B5945" s="1">
        <f t="shared" si="92"/>
        <v>22</v>
      </c>
    </row>
    <row r="5946" spans="1:2">
      <c r="A5946" s="112">
        <v>43583</v>
      </c>
      <c r="B5946" s="1">
        <f t="shared" si="92"/>
        <v>23</v>
      </c>
    </row>
    <row r="5947" spans="1:2">
      <c r="A5947" s="112">
        <v>43584</v>
      </c>
      <c r="B5947" s="1">
        <f t="shared" si="92"/>
        <v>24</v>
      </c>
    </row>
    <row r="5948" spans="1:2">
      <c r="A5948" s="112">
        <v>43585</v>
      </c>
      <c r="B5948" s="1">
        <f t="shared" si="92"/>
        <v>25</v>
      </c>
    </row>
    <row r="5949" spans="1:2">
      <c r="A5949" s="112">
        <v>43586</v>
      </c>
      <c r="B5949" s="1">
        <f t="shared" si="92"/>
        <v>26</v>
      </c>
    </row>
    <row r="5950" spans="1:2">
      <c r="A5950" s="112">
        <v>43587</v>
      </c>
      <c r="B5950" s="1">
        <f t="shared" si="92"/>
        <v>27</v>
      </c>
    </row>
    <row r="5951" spans="1:2">
      <c r="A5951" s="112">
        <v>43588</v>
      </c>
      <c r="B5951" s="1">
        <f t="shared" si="92"/>
        <v>28</v>
      </c>
    </row>
    <row r="5952" spans="1:2">
      <c r="A5952" s="112">
        <v>43589</v>
      </c>
      <c r="B5952" s="1">
        <f t="shared" si="92"/>
        <v>0</v>
      </c>
    </row>
    <row r="5953" spans="1:2">
      <c r="A5953" s="112">
        <v>43590</v>
      </c>
      <c r="B5953" s="1">
        <f t="shared" si="92"/>
        <v>1</v>
      </c>
    </row>
    <row r="5954" spans="1:2">
      <c r="A5954" s="112">
        <v>43591</v>
      </c>
      <c r="B5954" s="1">
        <f t="shared" si="92"/>
        <v>2</v>
      </c>
    </row>
    <row r="5955" spans="1:2">
      <c r="A5955" s="112">
        <v>43592</v>
      </c>
      <c r="B5955" s="1">
        <f t="shared" ref="B5955:B6018" si="93">INT(MOD($G$2+A5955-$F$2,29.53))</f>
        <v>3</v>
      </c>
    </row>
    <row r="5956" spans="1:2">
      <c r="A5956" s="112">
        <v>43593</v>
      </c>
      <c r="B5956" s="1">
        <f t="shared" si="93"/>
        <v>4</v>
      </c>
    </row>
    <row r="5957" spans="1:2">
      <c r="A5957" s="112">
        <v>43594</v>
      </c>
      <c r="B5957" s="1">
        <f t="shared" si="93"/>
        <v>5</v>
      </c>
    </row>
    <row r="5958" spans="1:2">
      <c r="A5958" s="112">
        <v>43595</v>
      </c>
      <c r="B5958" s="1">
        <f t="shared" si="93"/>
        <v>6</v>
      </c>
    </row>
    <row r="5959" spans="1:2">
      <c r="A5959" s="112">
        <v>43596</v>
      </c>
      <c r="B5959" s="1">
        <f t="shared" si="93"/>
        <v>7</v>
      </c>
    </row>
    <row r="5960" spans="1:2">
      <c r="A5960" s="112">
        <v>43597</v>
      </c>
      <c r="B5960" s="1">
        <f t="shared" si="93"/>
        <v>8</v>
      </c>
    </row>
    <row r="5961" spans="1:2">
      <c r="A5961" s="112">
        <v>43598</v>
      </c>
      <c r="B5961" s="1">
        <f t="shared" si="93"/>
        <v>9</v>
      </c>
    </row>
    <row r="5962" spans="1:2">
      <c r="A5962" s="112">
        <v>43599</v>
      </c>
      <c r="B5962" s="1">
        <f t="shared" si="93"/>
        <v>10</v>
      </c>
    </row>
    <row r="5963" spans="1:2">
      <c r="A5963" s="112">
        <v>43600</v>
      </c>
      <c r="B5963" s="1">
        <f t="shared" si="93"/>
        <v>11</v>
      </c>
    </row>
    <row r="5964" spans="1:2">
      <c r="A5964" s="112">
        <v>43601</v>
      </c>
      <c r="B5964" s="1">
        <f t="shared" si="93"/>
        <v>12</v>
      </c>
    </row>
    <row r="5965" spans="1:2">
      <c r="A5965" s="112">
        <v>43602</v>
      </c>
      <c r="B5965" s="1">
        <f t="shared" si="93"/>
        <v>13</v>
      </c>
    </row>
    <row r="5966" spans="1:2">
      <c r="A5966" s="112">
        <v>43603</v>
      </c>
      <c r="B5966" s="1">
        <f t="shared" si="93"/>
        <v>14</v>
      </c>
    </row>
    <row r="5967" spans="1:2">
      <c r="A5967" s="112">
        <v>43604</v>
      </c>
      <c r="B5967" s="1">
        <f t="shared" si="93"/>
        <v>15</v>
      </c>
    </row>
    <row r="5968" spans="1:2">
      <c r="A5968" s="112">
        <v>43605</v>
      </c>
      <c r="B5968" s="1">
        <f t="shared" si="93"/>
        <v>16</v>
      </c>
    </row>
    <row r="5969" spans="1:2">
      <c r="A5969" s="112">
        <v>43606</v>
      </c>
      <c r="B5969" s="1">
        <f t="shared" si="93"/>
        <v>17</v>
      </c>
    </row>
    <row r="5970" spans="1:2">
      <c r="A5970" s="112">
        <v>43607</v>
      </c>
      <c r="B5970" s="1">
        <f t="shared" si="93"/>
        <v>18</v>
      </c>
    </row>
    <row r="5971" spans="1:2">
      <c r="A5971" s="112">
        <v>43608</v>
      </c>
      <c r="B5971" s="1">
        <f t="shared" si="93"/>
        <v>19</v>
      </c>
    </row>
    <row r="5972" spans="1:2">
      <c r="A5972" s="112">
        <v>43609</v>
      </c>
      <c r="B5972" s="1">
        <f t="shared" si="93"/>
        <v>20</v>
      </c>
    </row>
    <row r="5973" spans="1:2">
      <c r="A5973" s="112">
        <v>43610</v>
      </c>
      <c r="B5973" s="1">
        <f t="shared" si="93"/>
        <v>21</v>
      </c>
    </row>
    <row r="5974" spans="1:2">
      <c r="A5974" s="112">
        <v>43611</v>
      </c>
      <c r="B5974" s="1">
        <f t="shared" si="93"/>
        <v>22</v>
      </c>
    </row>
    <row r="5975" spans="1:2">
      <c r="A5975" s="112">
        <v>43612</v>
      </c>
      <c r="B5975" s="1">
        <f t="shared" si="93"/>
        <v>23</v>
      </c>
    </row>
    <row r="5976" spans="1:2">
      <c r="A5976" s="112">
        <v>43613</v>
      </c>
      <c r="B5976" s="1">
        <f t="shared" si="93"/>
        <v>24</v>
      </c>
    </row>
    <row r="5977" spans="1:2">
      <c r="A5977" s="112">
        <v>43614</v>
      </c>
      <c r="B5977" s="1">
        <f t="shared" si="93"/>
        <v>25</v>
      </c>
    </row>
    <row r="5978" spans="1:2">
      <c r="A5978" s="112">
        <v>43615</v>
      </c>
      <c r="B5978" s="1">
        <f t="shared" si="93"/>
        <v>26</v>
      </c>
    </row>
    <row r="5979" spans="1:2">
      <c r="A5979" s="112">
        <v>43616</v>
      </c>
      <c r="B5979" s="1">
        <f t="shared" si="93"/>
        <v>27</v>
      </c>
    </row>
    <row r="5980" spans="1:2">
      <c r="A5980" s="112">
        <v>43617</v>
      </c>
      <c r="B5980" s="1">
        <f t="shared" si="93"/>
        <v>28</v>
      </c>
    </row>
    <row r="5981" spans="1:2">
      <c r="A5981" s="112">
        <v>43618</v>
      </c>
      <c r="B5981" s="1">
        <f t="shared" si="93"/>
        <v>29</v>
      </c>
    </row>
    <row r="5982" spans="1:2">
      <c r="A5982" s="112">
        <v>43619</v>
      </c>
      <c r="B5982" s="1">
        <f t="shared" si="93"/>
        <v>0</v>
      </c>
    </row>
    <row r="5983" spans="1:2">
      <c r="A5983" s="112">
        <v>43620</v>
      </c>
      <c r="B5983" s="1">
        <f t="shared" si="93"/>
        <v>1</v>
      </c>
    </row>
    <row r="5984" spans="1:2">
      <c r="A5984" s="112">
        <v>43621</v>
      </c>
      <c r="B5984" s="1">
        <f t="shared" si="93"/>
        <v>2</v>
      </c>
    </row>
    <row r="5985" spans="1:2">
      <c r="A5985" s="112">
        <v>43622</v>
      </c>
      <c r="B5985" s="1">
        <f t="shared" si="93"/>
        <v>3</v>
      </c>
    </row>
    <row r="5986" spans="1:2">
      <c r="A5986" s="112">
        <v>43623</v>
      </c>
      <c r="B5986" s="1">
        <f t="shared" si="93"/>
        <v>4</v>
      </c>
    </row>
    <row r="5987" spans="1:2">
      <c r="A5987" s="112">
        <v>43624</v>
      </c>
      <c r="B5987" s="1">
        <f t="shared" si="93"/>
        <v>5</v>
      </c>
    </row>
    <row r="5988" spans="1:2">
      <c r="A5988" s="112">
        <v>43625</v>
      </c>
      <c r="B5988" s="1">
        <f t="shared" si="93"/>
        <v>6</v>
      </c>
    </row>
    <row r="5989" spans="1:2">
      <c r="A5989" s="112">
        <v>43626</v>
      </c>
      <c r="B5989" s="1">
        <f t="shared" si="93"/>
        <v>7</v>
      </c>
    </row>
    <row r="5990" spans="1:2">
      <c r="A5990" s="112">
        <v>43627</v>
      </c>
      <c r="B5990" s="1">
        <f t="shared" si="93"/>
        <v>8</v>
      </c>
    </row>
    <row r="5991" spans="1:2">
      <c r="A5991" s="112">
        <v>43628</v>
      </c>
      <c r="B5991" s="1">
        <f t="shared" si="93"/>
        <v>9</v>
      </c>
    </row>
    <row r="5992" spans="1:2">
      <c r="A5992" s="112">
        <v>43629</v>
      </c>
      <c r="B5992" s="1">
        <f t="shared" si="93"/>
        <v>10</v>
      </c>
    </row>
    <row r="5993" spans="1:2">
      <c r="A5993" s="112">
        <v>43630</v>
      </c>
      <c r="B5993" s="1">
        <f t="shared" si="93"/>
        <v>11</v>
      </c>
    </row>
    <row r="5994" spans="1:2">
      <c r="A5994" s="112">
        <v>43631</v>
      </c>
      <c r="B5994" s="1">
        <f t="shared" si="93"/>
        <v>12</v>
      </c>
    </row>
    <row r="5995" spans="1:2">
      <c r="A5995" s="112">
        <v>43632</v>
      </c>
      <c r="B5995" s="1">
        <f t="shared" si="93"/>
        <v>13</v>
      </c>
    </row>
    <row r="5996" spans="1:2">
      <c r="A5996" s="112">
        <v>43633</v>
      </c>
      <c r="B5996" s="1">
        <f t="shared" si="93"/>
        <v>14</v>
      </c>
    </row>
    <row r="5997" spans="1:2">
      <c r="A5997" s="112">
        <v>43634</v>
      </c>
      <c r="B5997" s="1">
        <f t="shared" si="93"/>
        <v>15</v>
      </c>
    </row>
    <row r="5998" spans="1:2">
      <c r="A5998" s="112">
        <v>43635</v>
      </c>
      <c r="B5998" s="1">
        <f t="shared" si="93"/>
        <v>16</v>
      </c>
    </row>
    <row r="5999" spans="1:2">
      <c r="A5999" s="112">
        <v>43636</v>
      </c>
      <c r="B5999" s="1">
        <f t="shared" si="93"/>
        <v>17</v>
      </c>
    </row>
    <row r="6000" spans="1:2">
      <c r="A6000" s="112">
        <v>43637</v>
      </c>
      <c r="B6000" s="1">
        <f t="shared" si="93"/>
        <v>18</v>
      </c>
    </row>
    <row r="6001" spans="1:2">
      <c r="A6001" s="112">
        <v>43638</v>
      </c>
      <c r="B6001" s="1">
        <f t="shared" si="93"/>
        <v>19</v>
      </c>
    </row>
    <row r="6002" spans="1:2">
      <c r="A6002" s="112">
        <v>43639</v>
      </c>
      <c r="B6002" s="1">
        <f t="shared" si="93"/>
        <v>20</v>
      </c>
    </row>
    <row r="6003" spans="1:2">
      <c r="A6003" s="112">
        <v>43640</v>
      </c>
      <c r="B6003" s="1">
        <f t="shared" si="93"/>
        <v>21</v>
      </c>
    </row>
    <row r="6004" spans="1:2">
      <c r="A6004" s="112">
        <v>43641</v>
      </c>
      <c r="B6004" s="1">
        <f t="shared" si="93"/>
        <v>22</v>
      </c>
    </row>
    <row r="6005" spans="1:2">
      <c r="A6005" s="112">
        <v>43642</v>
      </c>
      <c r="B6005" s="1">
        <f t="shared" si="93"/>
        <v>23</v>
      </c>
    </row>
    <row r="6006" spans="1:2">
      <c r="A6006" s="112">
        <v>43643</v>
      </c>
      <c r="B6006" s="1">
        <f t="shared" si="93"/>
        <v>24</v>
      </c>
    </row>
    <row r="6007" spans="1:2">
      <c r="A6007" s="112">
        <v>43644</v>
      </c>
      <c r="B6007" s="1">
        <f t="shared" si="93"/>
        <v>25</v>
      </c>
    </row>
    <row r="6008" spans="1:2">
      <c r="A6008" s="112">
        <v>43645</v>
      </c>
      <c r="B6008" s="1">
        <f t="shared" si="93"/>
        <v>26</v>
      </c>
    </row>
    <row r="6009" spans="1:2">
      <c r="A6009" s="112">
        <v>43646</v>
      </c>
      <c r="B6009" s="1">
        <f t="shared" si="93"/>
        <v>27</v>
      </c>
    </row>
    <row r="6010" spans="1:2">
      <c r="A6010" s="112">
        <v>43647</v>
      </c>
      <c r="B6010" s="1">
        <f t="shared" si="93"/>
        <v>28</v>
      </c>
    </row>
    <row r="6011" spans="1:2">
      <c r="A6011" s="112">
        <v>43648</v>
      </c>
      <c r="B6011" s="1">
        <f t="shared" si="93"/>
        <v>0</v>
      </c>
    </row>
    <row r="6012" spans="1:2">
      <c r="A6012" s="112">
        <v>43649</v>
      </c>
      <c r="B6012" s="1">
        <f t="shared" si="93"/>
        <v>1</v>
      </c>
    </row>
    <row r="6013" spans="1:2">
      <c r="A6013" s="112">
        <v>43650</v>
      </c>
      <c r="B6013" s="1">
        <f t="shared" si="93"/>
        <v>2</v>
      </c>
    </row>
    <row r="6014" spans="1:2">
      <c r="A6014" s="112">
        <v>43651</v>
      </c>
      <c r="B6014" s="1">
        <f t="shared" si="93"/>
        <v>3</v>
      </c>
    </row>
    <row r="6015" spans="1:2">
      <c r="A6015" s="112">
        <v>43652</v>
      </c>
      <c r="B6015" s="1">
        <f t="shared" si="93"/>
        <v>4</v>
      </c>
    </row>
    <row r="6016" spans="1:2">
      <c r="A6016" s="112">
        <v>43653</v>
      </c>
      <c r="B6016" s="1">
        <f t="shared" si="93"/>
        <v>5</v>
      </c>
    </row>
    <row r="6017" spans="1:2">
      <c r="A6017" s="112">
        <v>43654</v>
      </c>
      <c r="B6017" s="1">
        <f t="shared" si="93"/>
        <v>6</v>
      </c>
    </row>
    <row r="6018" spans="1:2">
      <c r="A6018" s="112">
        <v>43655</v>
      </c>
      <c r="B6018" s="1">
        <f t="shared" si="93"/>
        <v>7</v>
      </c>
    </row>
    <row r="6019" spans="1:2">
      <c r="A6019" s="112">
        <v>43656</v>
      </c>
      <c r="B6019" s="1">
        <f t="shared" ref="B6019:B6082" si="94">INT(MOD($G$2+A6019-$F$2,29.53))</f>
        <v>8</v>
      </c>
    </row>
    <row r="6020" spans="1:2">
      <c r="A6020" s="112">
        <v>43657</v>
      </c>
      <c r="B6020" s="1">
        <f t="shared" si="94"/>
        <v>9</v>
      </c>
    </row>
    <row r="6021" spans="1:2">
      <c r="A6021" s="112">
        <v>43658</v>
      </c>
      <c r="B6021" s="1">
        <f t="shared" si="94"/>
        <v>10</v>
      </c>
    </row>
    <row r="6022" spans="1:2">
      <c r="A6022" s="112">
        <v>43659</v>
      </c>
      <c r="B6022" s="1">
        <f t="shared" si="94"/>
        <v>11</v>
      </c>
    </row>
    <row r="6023" spans="1:2">
      <c r="A6023" s="112">
        <v>43660</v>
      </c>
      <c r="B6023" s="1">
        <f t="shared" si="94"/>
        <v>12</v>
      </c>
    </row>
    <row r="6024" spans="1:2">
      <c r="A6024" s="112">
        <v>43661</v>
      </c>
      <c r="B6024" s="1">
        <f t="shared" si="94"/>
        <v>13</v>
      </c>
    </row>
    <row r="6025" spans="1:2">
      <c r="A6025" s="112">
        <v>43662</v>
      </c>
      <c r="B6025" s="1">
        <f t="shared" si="94"/>
        <v>14</v>
      </c>
    </row>
    <row r="6026" spans="1:2">
      <c r="A6026" s="112">
        <v>43663</v>
      </c>
      <c r="B6026" s="1">
        <f t="shared" si="94"/>
        <v>15</v>
      </c>
    </row>
    <row r="6027" spans="1:2">
      <c r="A6027" s="112">
        <v>43664</v>
      </c>
      <c r="B6027" s="1">
        <f t="shared" si="94"/>
        <v>16</v>
      </c>
    </row>
    <row r="6028" spans="1:2">
      <c r="A6028" s="112">
        <v>43665</v>
      </c>
      <c r="B6028" s="1">
        <f t="shared" si="94"/>
        <v>17</v>
      </c>
    </row>
    <row r="6029" spans="1:2">
      <c r="A6029" s="112">
        <v>43666</v>
      </c>
      <c r="B6029" s="1">
        <f t="shared" si="94"/>
        <v>18</v>
      </c>
    </row>
    <row r="6030" spans="1:2">
      <c r="A6030" s="112">
        <v>43667</v>
      </c>
      <c r="B6030" s="1">
        <f t="shared" si="94"/>
        <v>19</v>
      </c>
    </row>
    <row r="6031" spans="1:2">
      <c r="A6031" s="112">
        <v>43668</v>
      </c>
      <c r="B6031" s="1">
        <f t="shared" si="94"/>
        <v>20</v>
      </c>
    </row>
    <row r="6032" spans="1:2">
      <c r="A6032" s="112">
        <v>43669</v>
      </c>
      <c r="B6032" s="1">
        <f t="shared" si="94"/>
        <v>21</v>
      </c>
    </row>
    <row r="6033" spans="1:2">
      <c r="A6033" s="112">
        <v>43670</v>
      </c>
      <c r="B6033" s="1">
        <f t="shared" si="94"/>
        <v>22</v>
      </c>
    </row>
    <row r="6034" spans="1:2">
      <c r="A6034" s="112">
        <v>43671</v>
      </c>
      <c r="B6034" s="1">
        <f t="shared" si="94"/>
        <v>23</v>
      </c>
    </row>
    <row r="6035" spans="1:2">
      <c r="A6035" s="112">
        <v>43672</v>
      </c>
      <c r="B6035" s="1">
        <f t="shared" si="94"/>
        <v>24</v>
      </c>
    </row>
    <row r="6036" spans="1:2">
      <c r="A6036" s="112">
        <v>43673</v>
      </c>
      <c r="B6036" s="1">
        <f t="shared" si="94"/>
        <v>25</v>
      </c>
    </row>
    <row r="6037" spans="1:2">
      <c r="A6037" s="112">
        <v>43674</v>
      </c>
      <c r="B6037" s="1">
        <f t="shared" si="94"/>
        <v>26</v>
      </c>
    </row>
    <row r="6038" spans="1:2">
      <c r="A6038" s="112">
        <v>43675</v>
      </c>
      <c r="B6038" s="1">
        <f t="shared" si="94"/>
        <v>27</v>
      </c>
    </row>
    <row r="6039" spans="1:2">
      <c r="A6039" s="112">
        <v>43676</v>
      </c>
      <c r="B6039" s="1">
        <f t="shared" si="94"/>
        <v>28</v>
      </c>
    </row>
    <row r="6040" spans="1:2">
      <c r="A6040" s="112">
        <v>43677</v>
      </c>
      <c r="B6040" s="1">
        <f t="shared" si="94"/>
        <v>29</v>
      </c>
    </row>
    <row r="6041" spans="1:2">
      <c r="A6041" s="112">
        <v>43678</v>
      </c>
      <c r="B6041" s="1">
        <f t="shared" si="94"/>
        <v>0</v>
      </c>
    </row>
    <row r="6042" spans="1:2">
      <c r="A6042" s="112">
        <v>43679</v>
      </c>
      <c r="B6042" s="1">
        <f t="shared" si="94"/>
        <v>1</v>
      </c>
    </row>
    <row r="6043" spans="1:2">
      <c r="A6043" s="112">
        <v>43680</v>
      </c>
      <c r="B6043" s="1">
        <f t="shared" si="94"/>
        <v>2</v>
      </c>
    </row>
    <row r="6044" spans="1:2">
      <c r="A6044" s="112">
        <v>43681</v>
      </c>
      <c r="B6044" s="1">
        <f t="shared" si="94"/>
        <v>3</v>
      </c>
    </row>
    <row r="6045" spans="1:2">
      <c r="A6045" s="112">
        <v>43682</v>
      </c>
      <c r="B6045" s="1">
        <f t="shared" si="94"/>
        <v>4</v>
      </c>
    </row>
    <row r="6046" spans="1:2">
      <c r="A6046" s="112">
        <v>43683</v>
      </c>
      <c r="B6046" s="1">
        <f t="shared" si="94"/>
        <v>5</v>
      </c>
    </row>
    <row r="6047" spans="1:2">
      <c r="A6047" s="112">
        <v>43684</v>
      </c>
      <c r="B6047" s="1">
        <f t="shared" si="94"/>
        <v>6</v>
      </c>
    </row>
    <row r="6048" spans="1:2">
      <c r="A6048" s="112">
        <v>43685</v>
      </c>
      <c r="B6048" s="1">
        <f t="shared" si="94"/>
        <v>7</v>
      </c>
    </row>
    <row r="6049" spans="1:2">
      <c r="A6049" s="112">
        <v>43686</v>
      </c>
      <c r="B6049" s="1">
        <f t="shared" si="94"/>
        <v>8</v>
      </c>
    </row>
    <row r="6050" spans="1:2">
      <c r="A6050" s="112">
        <v>43687</v>
      </c>
      <c r="B6050" s="1">
        <f t="shared" si="94"/>
        <v>9</v>
      </c>
    </row>
    <row r="6051" spans="1:2">
      <c r="A6051" s="112">
        <v>43688</v>
      </c>
      <c r="B6051" s="1">
        <f t="shared" si="94"/>
        <v>10</v>
      </c>
    </row>
    <row r="6052" spans="1:2">
      <c r="A6052" s="112">
        <v>43689</v>
      </c>
      <c r="B6052" s="1">
        <f t="shared" si="94"/>
        <v>11</v>
      </c>
    </row>
    <row r="6053" spans="1:2">
      <c r="A6053" s="112">
        <v>43690</v>
      </c>
      <c r="B6053" s="1">
        <f t="shared" si="94"/>
        <v>12</v>
      </c>
    </row>
    <row r="6054" spans="1:2">
      <c r="A6054" s="112">
        <v>43691</v>
      </c>
      <c r="B6054" s="1">
        <f t="shared" si="94"/>
        <v>13</v>
      </c>
    </row>
    <row r="6055" spans="1:2">
      <c r="A6055" s="112">
        <v>43692</v>
      </c>
      <c r="B6055" s="1">
        <f t="shared" si="94"/>
        <v>14</v>
      </c>
    </row>
    <row r="6056" spans="1:2">
      <c r="A6056" s="112">
        <v>43693</v>
      </c>
      <c r="B6056" s="1">
        <f t="shared" si="94"/>
        <v>15</v>
      </c>
    </row>
    <row r="6057" spans="1:2">
      <c r="A6057" s="112">
        <v>43694</v>
      </c>
      <c r="B6057" s="1">
        <f t="shared" si="94"/>
        <v>16</v>
      </c>
    </row>
    <row r="6058" spans="1:2">
      <c r="A6058" s="112">
        <v>43695</v>
      </c>
      <c r="B6058" s="1">
        <f t="shared" si="94"/>
        <v>17</v>
      </c>
    </row>
    <row r="6059" spans="1:2">
      <c r="A6059" s="112">
        <v>43696</v>
      </c>
      <c r="B6059" s="1">
        <f t="shared" si="94"/>
        <v>18</v>
      </c>
    </row>
    <row r="6060" spans="1:2">
      <c r="A6060" s="112">
        <v>43697</v>
      </c>
      <c r="B6060" s="1">
        <f t="shared" si="94"/>
        <v>19</v>
      </c>
    </row>
    <row r="6061" spans="1:2">
      <c r="A6061" s="112">
        <v>43698</v>
      </c>
      <c r="B6061" s="1">
        <f t="shared" si="94"/>
        <v>20</v>
      </c>
    </row>
    <row r="6062" spans="1:2">
      <c r="A6062" s="112">
        <v>43699</v>
      </c>
      <c r="B6062" s="1">
        <f t="shared" si="94"/>
        <v>21</v>
      </c>
    </row>
    <row r="6063" spans="1:2">
      <c r="A6063" s="112">
        <v>43700</v>
      </c>
      <c r="B6063" s="1">
        <f t="shared" si="94"/>
        <v>22</v>
      </c>
    </row>
    <row r="6064" spans="1:2">
      <c r="A6064" s="112">
        <v>43701</v>
      </c>
      <c r="B6064" s="1">
        <f t="shared" si="94"/>
        <v>23</v>
      </c>
    </row>
    <row r="6065" spans="1:2">
      <c r="A6065" s="112">
        <v>43702</v>
      </c>
      <c r="B6065" s="1">
        <f t="shared" si="94"/>
        <v>24</v>
      </c>
    </row>
    <row r="6066" spans="1:2">
      <c r="A6066" s="112">
        <v>43703</v>
      </c>
      <c r="B6066" s="1">
        <f t="shared" si="94"/>
        <v>25</v>
      </c>
    </row>
    <row r="6067" spans="1:2">
      <c r="A6067" s="112">
        <v>43704</v>
      </c>
      <c r="B6067" s="1">
        <f t="shared" si="94"/>
        <v>26</v>
      </c>
    </row>
    <row r="6068" spans="1:2">
      <c r="A6068" s="112">
        <v>43705</v>
      </c>
      <c r="B6068" s="1">
        <f t="shared" si="94"/>
        <v>27</v>
      </c>
    </row>
    <row r="6069" spans="1:2">
      <c r="A6069" s="112">
        <v>43706</v>
      </c>
      <c r="B6069" s="1">
        <f t="shared" si="94"/>
        <v>28</v>
      </c>
    </row>
    <row r="6070" spans="1:2">
      <c r="A6070" s="112">
        <v>43707</v>
      </c>
      <c r="B6070" s="1">
        <f t="shared" si="94"/>
        <v>29</v>
      </c>
    </row>
    <row r="6071" spans="1:2">
      <c r="A6071" s="112">
        <v>43708</v>
      </c>
      <c r="B6071" s="1">
        <f t="shared" si="94"/>
        <v>0</v>
      </c>
    </row>
    <row r="6072" spans="1:2">
      <c r="A6072" s="112">
        <v>43709</v>
      </c>
      <c r="B6072" s="1">
        <f t="shared" si="94"/>
        <v>1</v>
      </c>
    </row>
    <row r="6073" spans="1:2">
      <c r="A6073" s="112">
        <v>43710</v>
      </c>
      <c r="B6073" s="1">
        <f t="shared" si="94"/>
        <v>2</v>
      </c>
    </row>
    <row r="6074" spans="1:2">
      <c r="A6074" s="112">
        <v>43711</v>
      </c>
      <c r="B6074" s="1">
        <f t="shared" si="94"/>
        <v>3</v>
      </c>
    </row>
    <row r="6075" spans="1:2">
      <c r="A6075" s="112">
        <v>43712</v>
      </c>
      <c r="B6075" s="1">
        <f t="shared" si="94"/>
        <v>4</v>
      </c>
    </row>
    <row r="6076" spans="1:2">
      <c r="A6076" s="112">
        <v>43713</v>
      </c>
      <c r="B6076" s="1">
        <f t="shared" si="94"/>
        <v>5</v>
      </c>
    </row>
    <row r="6077" spans="1:2">
      <c r="A6077" s="112">
        <v>43714</v>
      </c>
      <c r="B6077" s="1">
        <f t="shared" si="94"/>
        <v>6</v>
      </c>
    </row>
    <row r="6078" spans="1:2">
      <c r="A6078" s="112">
        <v>43715</v>
      </c>
      <c r="B6078" s="1">
        <f t="shared" si="94"/>
        <v>7</v>
      </c>
    </row>
    <row r="6079" spans="1:2">
      <c r="A6079" s="112">
        <v>43716</v>
      </c>
      <c r="B6079" s="1">
        <f t="shared" si="94"/>
        <v>8</v>
      </c>
    </row>
    <row r="6080" spans="1:2">
      <c r="A6080" s="112">
        <v>43717</v>
      </c>
      <c r="B6080" s="1">
        <f t="shared" si="94"/>
        <v>9</v>
      </c>
    </row>
    <row r="6081" spans="1:2">
      <c r="A6081" s="112">
        <v>43718</v>
      </c>
      <c r="B6081" s="1">
        <f t="shared" si="94"/>
        <v>10</v>
      </c>
    </row>
    <row r="6082" spans="1:2">
      <c r="A6082" s="112">
        <v>43719</v>
      </c>
      <c r="B6082" s="1">
        <f t="shared" si="94"/>
        <v>11</v>
      </c>
    </row>
    <row r="6083" spans="1:2">
      <c r="A6083" s="112">
        <v>43720</v>
      </c>
      <c r="B6083" s="1">
        <f t="shared" ref="B6083:B6146" si="95">INT(MOD($G$2+A6083-$F$2,29.53))</f>
        <v>12</v>
      </c>
    </row>
    <row r="6084" spans="1:2">
      <c r="A6084" s="112">
        <v>43721</v>
      </c>
      <c r="B6084" s="1">
        <f t="shared" si="95"/>
        <v>13</v>
      </c>
    </row>
    <row r="6085" spans="1:2">
      <c r="A6085" s="112">
        <v>43722</v>
      </c>
      <c r="B6085" s="1">
        <f t="shared" si="95"/>
        <v>14</v>
      </c>
    </row>
    <row r="6086" spans="1:2">
      <c r="A6086" s="112">
        <v>43723</v>
      </c>
      <c r="B6086" s="1">
        <f t="shared" si="95"/>
        <v>15</v>
      </c>
    </row>
    <row r="6087" spans="1:2">
      <c r="A6087" s="112">
        <v>43724</v>
      </c>
      <c r="B6087" s="1">
        <f t="shared" si="95"/>
        <v>16</v>
      </c>
    </row>
    <row r="6088" spans="1:2">
      <c r="A6088" s="112">
        <v>43725</v>
      </c>
      <c r="B6088" s="1">
        <f t="shared" si="95"/>
        <v>17</v>
      </c>
    </row>
    <row r="6089" spans="1:2">
      <c r="A6089" s="112">
        <v>43726</v>
      </c>
      <c r="B6089" s="1">
        <f t="shared" si="95"/>
        <v>18</v>
      </c>
    </row>
    <row r="6090" spans="1:2">
      <c r="A6090" s="112">
        <v>43727</v>
      </c>
      <c r="B6090" s="1">
        <f t="shared" si="95"/>
        <v>19</v>
      </c>
    </row>
    <row r="6091" spans="1:2">
      <c r="A6091" s="112">
        <v>43728</v>
      </c>
      <c r="B6091" s="1">
        <f t="shared" si="95"/>
        <v>20</v>
      </c>
    </row>
    <row r="6092" spans="1:2">
      <c r="A6092" s="112">
        <v>43729</v>
      </c>
      <c r="B6092" s="1">
        <f t="shared" si="95"/>
        <v>21</v>
      </c>
    </row>
    <row r="6093" spans="1:2">
      <c r="A6093" s="112">
        <v>43730</v>
      </c>
      <c r="B6093" s="1">
        <f t="shared" si="95"/>
        <v>22</v>
      </c>
    </row>
    <row r="6094" spans="1:2">
      <c r="A6094" s="112">
        <v>43731</v>
      </c>
      <c r="B6094" s="1">
        <f t="shared" si="95"/>
        <v>23</v>
      </c>
    </row>
    <row r="6095" spans="1:2">
      <c r="A6095" s="112">
        <v>43732</v>
      </c>
      <c r="B6095" s="1">
        <f t="shared" si="95"/>
        <v>24</v>
      </c>
    </row>
    <row r="6096" spans="1:2">
      <c r="A6096" s="112">
        <v>43733</v>
      </c>
      <c r="B6096" s="1">
        <f t="shared" si="95"/>
        <v>25</v>
      </c>
    </row>
    <row r="6097" spans="1:2">
      <c r="A6097" s="112">
        <v>43734</v>
      </c>
      <c r="B6097" s="1">
        <f t="shared" si="95"/>
        <v>26</v>
      </c>
    </row>
    <row r="6098" spans="1:2">
      <c r="A6098" s="112">
        <v>43735</v>
      </c>
      <c r="B6098" s="1">
        <f t="shared" si="95"/>
        <v>27</v>
      </c>
    </row>
    <row r="6099" spans="1:2">
      <c r="A6099" s="112">
        <v>43736</v>
      </c>
      <c r="B6099" s="1">
        <f t="shared" si="95"/>
        <v>28</v>
      </c>
    </row>
    <row r="6100" spans="1:2">
      <c r="A6100" s="112">
        <v>43737</v>
      </c>
      <c r="B6100" s="1">
        <f t="shared" si="95"/>
        <v>0</v>
      </c>
    </row>
    <row r="6101" spans="1:2">
      <c r="A6101" s="112">
        <v>43738</v>
      </c>
      <c r="B6101" s="1">
        <f t="shared" si="95"/>
        <v>1</v>
      </c>
    </row>
    <row r="6102" spans="1:2">
      <c r="A6102" s="112">
        <v>43739</v>
      </c>
      <c r="B6102" s="1">
        <f t="shared" si="95"/>
        <v>2</v>
      </c>
    </row>
    <row r="6103" spans="1:2">
      <c r="A6103" s="112">
        <v>43740</v>
      </c>
      <c r="B6103" s="1">
        <f t="shared" si="95"/>
        <v>3</v>
      </c>
    </row>
    <row r="6104" spans="1:2">
      <c r="A6104" s="112">
        <v>43741</v>
      </c>
      <c r="B6104" s="1">
        <f t="shared" si="95"/>
        <v>4</v>
      </c>
    </row>
    <row r="6105" spans="1:2">
      <c r="A6105" s="112">
        <v>43742</v>
      </c>
      <c r="B6105" s="1">
        <f t="shared" si="95"/>
        <v>5</v>
      </c>
    </row>
    <row r="6106" spans="1:2">
      <c r="A6106" s="112">
        <v>43743</v>
      </c>
      <c r="B6106" s="1">
        <f t="shared" si="95"/>
        <v>6</v>
      </c>
    </row>
    <row r="6107" spans="1:2">
      <c r="A6107" s="112">
        <v>43744</v>
      </c>
      <c r="B6107" s="1">
        <f t="shared" si="95"/>
        <v>7</v>
      </c>
    </row>
    <row r="6108" spans="1:2">
      <c r="A6108" s="112">
        <v>43745</v>
      </c>
      <c r="B6108" s="1">
        <f t="shared" si="95"/>
        <v>8</v>
      </c>
    </row>
    <row r="6109" spans="1:2">
      <c r="A6109" s="112">
        <v>43746</v>
      </c>
      <c r="B6109" s="1">
        <f t="shared" si="95"/>
        <v>9</v>
      </c>
    </row>
    <row r="6110" spans="1:2">
      <c r="A6110" s="112">
        <v>43747</v>
      </c>
      <c r="B6110" s="1">
        <f t="shared" si="95"/>
        <v>10</v>
      </c>
    </row>
    <row r="6111" spans="1:2">
      <c r="A6111" s="112">
        <v>43748</v>
      </c>
      <c r="B6111" s="1">
        <f t="shared" si="95"/>
        <v>11</v>
      </c>
    </row>
    <row r="6112" spans="1:2">
      <c r="A6112" s="112">
        <v>43749</v>
      </c>
      <c r="B6112" s="1">
        <f t="shared" si="95"/>
        <v>12</v>
      </c>
    </row>
    <row r="6113" spans="1:2">
      <c r="A6113" s="112">
        <v>43750</v>
      </c>
      <c r="B6113" s="1">
        <f t="shared" si="95"/>
        <v>13</v>
      </c>
    </row>
    <row r="6114" spans="1:2">
      <c r="A6114" s="112">
        <v>43751</v>
      </c>
      <c r="B6114" s="1">
        <f t="shared" si="95"/>
        <v>14</v>
      </c>
    </row>
    <row r="6115" spans="1:2">
      <c r="A6115" s="112">
        <v>43752</v>
      </c>
      <c r="B6115" s="1">
        <f t="shared" si="95"/>
        <v>15</v>
      </c>
    </row>
    <row r="6116" spans="1:2">
      <c r="A6116" s="112">
        <v>43753</v>
      </c>
      <c r="B6116" s="1">
        <f t="shared" si="95"/>
        <v>16</v>
      </c>
    </row>
    <row r="6117" spans="1:2">
      <c r="A6117" s="112">
        <v>43754</v>
      </c>
      <c r="B6117" s="1">
        <f t="shared" si="95"/>
        <v>17</v>
      </c>
    </row>
    <row r="6118" spans="1:2">
      <c r="A6118" s="112">
        <v>43755</v>
      </c>
      <c r="B6118" s="1">
        <f t="shared" si="95"/>
        <v>18</v>
      </c>
    </row>
    <row r="6119" spans="1:2">
      <c r="A6119" s="112">
        <v>43756</v>
      </c>
      <c r="B6119" s="1">
        <f t="shared" si="95"/>
        <v>19</v>
      </c>
    </row>
    <row r="6120" spans="1:2">
      <c r="A6120" s="112">
        <v>43757</v>
      </c>
      <c r="B6120" s="1">
        <f t="shared" si="95"/>
        <v>20</v>
      </c>
    </row>
    <row r="6121" spans="1:2">
      <c r="A6121" s="112">
        <v>43758</v>
      </c>
      <c r="B6121" s="1">
        <f t="shared" si="95"/>
        <v>21</v>
      </c>
    </row>
    <row r="6122" spans="1:2">
      <c r="A6122" s="112">
        <v>43759</v>
      </c>
      <c r="B6122" s="1">
        <f t="shared" si="95"/>
        <v>22</v>
      </c>
    </row>
    <row r="6123" spans="1:2">
      <c r="A6123" s="112">
        <v>43760</v>
      </c>
      <c r="B6123" s="1">
        <f t="shared" si="95"/>
        <v>23</v>
      </c>
    </row>
    <row r="6124" spans="1:2">
      <c r="A6124" s="112">
        <v>43761</v>
      </c>
      <c r="B6124" s="1">
        <f t="shared" si="95"/>
        <v>24</v>
      </c>
    </row>
    <row r="6125" spans="1:2">
      <c r="A6125" s="112">
        <v>43762</v>
      </c>
      <c r="B6125" s="1">
        <f t="shared" si="95"/>
        <v>25</v>
      </c>
    </row>
    <row r="6126" spans="1:2">
      <c r="A6126" s="112">
        <v>43763</v>
      </c>
      <c r="B6126" s="1">
        <f t="shared" si="95"/>
        <v>26</v>
      </c>
    </row>
    <row r="6127" spans="1:2">
      <c r="A6127" s="112">
        <v>43764</v>
      </c>
      <c r="B6127" s="1">
        <f t="shared" si="95"/>
        <v>27</v>
      </c>
    </row>
    <row r="6128" spans="1:2">
      <c r="A6128" s="112">
        <v>43765</v>
      </c>
      <c r="B6128" s="1">
        <f t="shared" si="95"/>
        <v>28</v>
      </c>
    </row>
    <row r="6129" spans="1:2">
      <c r="A6129" s="112">
        <v>43766</v>
      </c>
      <c r="B6129" s="1">
        <f t="shared" si="95"/>
        <v>29</v>
      </c>
    </row>
    <row r="6130" spans="1:2">
      <c r="A6130" s="112">
        <v>43767</v>
      </c>
      <c r="B6130" s="1">
        <f t="shared" si="95"/>
        <v>0</v>
      </c>
    </row>
    <row r="6131" spans="1:2">
      <c r="A6131" s="112">
        <v>43768</v>
      </c>
      <c r="B6131" s="1">
        <f t="shared" si="95"/>
        <v>1</v>
      </c>
    </row>
    <row r="6132" spans="1:2">
      <c r="A6132" s="112">
        <v>43769</v>
      </c>
      <c r="B6132" s="1">
        <f t="shared" si="95"/>
        <v>2</v>
      </c>
    </row>
    <row r="6133" spans="1:2">
      <c r="A6133" s="112">
        <v>43770</v>
      </c>
      <c r="B6133" s="1">
        <f t="shared" si="95"/>
        <v>3</v>
      </c>
    </row>
    <row r="6134" spans="1:2">
      <c r="A6134" s="112">
        <v>43771</v>
      </c>
      <c r="B6134" s="1">
        <f t="shared" si="95"/>
        <v>4</v>
      </c>
    </row>
    <row r="6135" spans="1:2">
      <c r="A6135" s="112">
        <v>43772</v>
      </c>
      <c r="B6135" s="1">
        <f t="shared" si="95"/>
        <v>5</v>
      </c>
    </row>
    <row r="6136" spans="1:2">
      <c r="A6136" s="112">
        <v>43773</v>
      </c>
      <c r="B6136" s="1">
        <f t="shared" si="95"/>
        <v>6</v>
      </c>
    </row>
    <row r="6137" spans="1:2">
      <c r="A6137" s="112">
        <v>43774</v>
      </c>
      <c r="B6137" s="1">
        <f t="shared" si="95"/>
        <v>7</v>
      </c>
    </row>
    <row r="6138" spans="1:2">
      <c r="A6138" s="112">
        <v>43775</v>
      </c>
      <c r="B6138" s="1">
        <f t="shared" si="95"/>
        <v>8</v>
      </c>
    </row>
    <row r="6139" spans="1:2">
      <c r="A6139" s="112">
        <v>43776</v>
      </c>
      <c r="B6139" s="1">
        <f t="shared" si="95"/>
        <v>9</v>
      </c>
    </row>
    <row r="6140" spans="1:2">
      <c r="A6140" s="112">
        <v>43777</v>
      </c>
      <c r="B6140" s="1">
        <f t="shared" si="95"/>
        <v>10</v>
      </c>
    </row>
    <row r="6141" spans="1:2">
      <c r="A6141" s="112">
        <v>43778</v>
      </c>
      <c r="B6141" s="1">
        <f t="shared" si="95"/>
        <v>11</v>
      </c>
    </row>
    <row r="6142" spans="1:2">
      <c r="A6142" s="112">
        <v>43779</v>
      </c>
      <c r="B6142" s="1">
        <f t="shared" si="95"/>
        <v>12</v>
      </c>
    </row>
    <row r="6143" spans="1:2">
      <c r="A6143" s="112">
        <v>43780</v>
      </c>
      <c r="B6143" s="1">
        <f t="shared" si="95"/>
        <v>13</v>
      </c>
    </row>
    <row r="6144" spans="1:2">
      <c r="A6144" s="112">
        <v>43781</v>
      </c>
      <c r="B6144" s="1">
        <f t="shared" si="95"/>
        <v>14</v>
      </c>
    </row>
    <row r="6145" spans="1:2">
      <c r="A6145" s="112">
        <v>43782</v>
      </c>
      <c r="B6145" s="1">
        <f t="shared" si="95"/>
        <v>15</v>
      </c>
    </row>
    <row r="6146" spans="1:2">
      <c r="A6146" s="112">
        <v>43783</v>
      </c>
      <c r="B6146" s="1">
        <f t="shared" si="95"/>
        <v>16</v>
      </c>
    </row>
    <row r="6147" spans="1:2">
      <c r="A6147" s="112">
        <v>43784</v>
      </c>
      <c r="B6147" s="1">
        <f t="shared" ref="B6147:B6210" si="96">INT(MOD($G$2+A6147-$F$2,29.53))</f>
        <v>17</v>
      </c>
    </row>
    <row r="6148" spans="1:2">
      <c r="A6148" s="112">
        <v>43785</v>
      </c>
      <c r="B6148" s="1">
        <f t="shared" si="96"/>
        <v>18</v>
      </c>
    </row>
    <row r="6149" spans="1:2">
      <c r="A6149" s="112">
        <v>43786</v>
      </c>
      <c r="B6149" s="1">
        <f t="shared" si="96"/>
        <v>19</v>
      </c>
    </row>
    <row r="6150" spans="1:2">
      <c r="A6150" s="112">
        <v>43787</v>
      </c>
      <c r="B6150" s="1">
        <f t="shared" si="96"/>
        <v>20</v>
      </c>
    </row>
    <row r="6151" spans="1:2">
      <c r="A6151" s="112">
        <v>43788</v>
      </c>
      <c r="B6151" s="1">
        <f t="shared" si="96"/>
        <v>21</v>
      </c>
    </row>
    <row r="6152" spans="1:2">
      <c r="A6152" s="112">
        <v>43789</v>
      </c>
      <c r="B6152" s="1">
        <f t="shared" si="96"/>
        <v>22</v>
      </c>
    </row>
    <row r="6153" spans="1:2">
      <c r="A6153" s="112">
        <v>43790</v>
      </c>
      <c r="B6153" s="1">
        <f t="shared" si="96"/>
        <v>23</v>
      </c>
    </row>
    <row r="6154" spans="1:2">
      <c r="A6154" s="112">
        <v>43791</v>
      </c>
      <c r="B6154" s="1">
        <f t="shared" si="96"/>
        <v>24</v>
      </c>
    </row>
    <row r="6155" spans="1:2">
      <c r="A6155" s="112">
        <v>43792</v>
      </c>
      <c r="B6155" s="1">
        <f t="shared" si="96"/>
        <v>25</v>
      </c>
    </row>
    <row r="6156" spans="1:2">
      <c r="A6156" s="112">
        <v>43793</v>
      </c>
      <c r="B6156" s="1">
        <f t="shared" si="96"/>
        <v>26</v>
      </c>
    </row>
    <row r="6157" spans="1:2">
      <c r="A6157" s="112">
        <v>43794</v>
      </c>
      <c r="B6157" s="1">
        <f t="shared" si="96"/>
        <v>27</v>
      </c>
    </row>
    <row r="6158" spans="1:2">
      <c r="A6158" s="112">
        <v>43795</v>
      </c>
      <c r="B6158" s="1">
        <f t="shared" si="96"/>
        <v>28</v>
      </c>
    </row>
    <row r="6159" spans="1:2">
      <c r="A6159" s="112">
        <v>43796</v>
      </c>
      <c r="B6159" s="1">
        <f t="shared" si="96"/>
        <v>0</v>
      </c>
    </row>
    <row r="6160" spans="1:2">
      <c r="A6160" s="112">
        <v>43797</v>
      </c>
      <c r="B6160" s="1">
        <f t="shared" si="96"/>
        <v>1</v>
      </c>
    </row>
    <row r="6161" spans="1:2">
      <c r="A6161" s="112">
        <v>43798</v>
      </c>
      <c r="B6161" s="1">
        <f t="shared" si="96"/>
        <v>2</v>
      </c>
    </row>
    <row r="6162" spans="1:2">
      <c r="A6162" s="112">
        <v>43799</v>
      </c>
      <c r="B6162" s="1">
        <f t="shared" si="96"/>
        <v>3</v>
      </c>
    </row>
    <row r="6163" spans="1:2">
      <c r="A6163" s="112">
        <v>43800</v>
      </c>
      <c r="B6163" s="1">
        <f t="shared" si="96"/>
        <v>4</v>
      </c>
    </row>
    <row r="6164" spans="1:2">
      <c r="A6164" s="112">
        <v>43801</v>
      </c>
      <c r="B6164" s="1">
        <f t="shared" si="96"/>
        <v>5</v>
      </c>
    </row>
    <row r="6165" spans="1:2">
      <c r="A6165" s="112">
        <v>43802</v>
      </c>
      <c r="B6165" s="1">
        <f t="shared" si="96"/>
        <v>6</v>
      </c>
    </row>
    <row r="6166" spans="1:2">
      <c r="A6166" s="112">
        <v>43803</v>
      </c>
      <c r="B6166" s="1">
        <f t="shared" si="96"/>
        <v>7</v>
      </c>
    </row>
    <row r="6167" spans="1:2">
      <c r="A6167" s="112">
        <v>43804</v>
      </c>
      <c r="B6167" s="1">
        <f t="shared" si="96"/>
        <v>8</v>
      </c>
    </row>
    <row r="6168" spans="1:2">
      <c r="A6168" s="112">
        <v>43805</v>
      </c>
      <c r="B6168" s="1">
        <f t="shared" si="96"/>
        <v>9</v>
      </c>
    </row>
    <row r="6169" spans="1:2">
      <c r="A6169" s="112">
        <v>43806</v>
      </c>
      <c r="B6169" s="1">
        <f t="shared" si="96"/>
        <v>10</v>
      </c>
    </row>
    <row r="6170" spans="1:2">
      <c r="A6170" s="112">
        <v>43807</v>
      </c>
      <c r="B6170" s="1">
        <f t="shared" si="96"/>
        <v>11</v>
      </c>
    </row>
    <row r="6171" spans="1:2">
      <c r="A6171" s="112">
        <v>43808</v>
      </c>
      <c r="B6171" s="1">
        <f t="shared" si="96"/>
        <v>12</v>
      </c>
    </row>
    <row r="6172" spans="1:2">
      <c r="A6172" s="112">
        <v>43809</v>
      </c>
      <c r="B6172" s="1">
        <f t="shared" si="96"/>
        <v>13</v>
      </c>
    </row>
    <row r="6173" spans="1:2">
      <c r="A6173" s="112">
        <v>43810</v>
      </c>
      <c r="B6173" s="1">
        <f t="shared" si="96"/>
        <v>14</v>
      </c>
    </row>
    <row r="6174" spans="1:2">
      <c r="A6174" s="112">
        <v>43811</v>
      </c>
      <c r="B6174" s="1">
        <f t="shared" si="96"/>
        <v>15</v>
      </c>
    </row>
    <row r="6175" spans="1:2">
      <c r="A6175" s="112">
        <v>43812</v>
      </c>
      <c r="B6175" s="1">
        <f t="shared" si="96"/>
        <v>16</v>
      </c>
    </row>
    <row r="6176" spans="1:2">
      <c r="A6176" s="112">
        <v>43813</v>
      </c>
      <c r="B6176" s="1">
        <f t="shared" si="96"/>
        <v>17</v>
      </c>
    </row>
    <row r="6177" spans="1:2">
      <c r="A6177" s="112">
        <v>43814</v>
      </c>
      <c r="B6177" s="1">
        <f t="shared" si="96"/>
        <v>18</v>
      </c>
    </row>
    <row r="6178" spans="1:2">
      <c r="A6178" s="112">
        <v>43815</v>
      </c>
      <c r="B6178" s="1">
        <f t="shared" si="96"/>
        <v>19</v>
      </c>
    </row>
    <row r="6179" spans="1:2">
      <c r="A6179" s="112">
        <v>43816</v>
      </c>
      <c r="B6179" s="1">
        <f t="shared" si="96"/>
        <v>20</v>
      </c>
    </row>
    <row r="6180" spans="1:2">
      <c r="A6180" s="112">
        <v>43817</v>
      </c>
      <c r="B6180" s="1">
        <f t="shared" si="96"/>
        <v>21</v>
      </c>
    </row>
    <row r="6181" spans="1:2">
      <c r="A6181" s="112">
        <v>43818</v>
      </c>
      <c r="B6181" s="1">
        <f t="shared" si="96"/>
        <v>22</v>
      </c>
    </row>
    <row r="6182" spans="1:2">
      <c r="A6182" s="112">
        <v>43819</v>
      </c>
      <c r="B6182" s="1">
        <f t="shared" si="96"/>
        <v>23</v>
      </c>
    </row>
    <row r="6183" spans="1:2">
      <c r="A6183" s="112">
        <v>43820</v>
      </c>
      <c r="B6183" s="1">
        <f t="shared" si="96"/>
        <v>24</v>
      </c>
    </row>
    <row r="6184" spans="1:2">
      <c r="A6184" s="112">
        <v>43821</v>
      </c>
      <c r="B6184" s="1">
        <f t="shared" si="96"/>
        <v>25</v>
      </c>
    </row>
    <row r="6185" spans="1:2">
      <c r="A6185" s="112">
        <v>43822</v>
      </c>
      <c r="B6185" s="1">
        <f t="shared" si="96"/>
        <v>26</v>
      </c>
    </row>
    <row r="6186" spans="1:2">
      <c r="A6186" s="112">
        <v>43823</v>
      </c>
      <c r="B6186" s="1">
        <f t="shared" si="96"/>
        <v>27</v>
      </c>
    </row>
    <row r="6187" spans="1:2">
      <c r="A6187" s="112">
        <v>43824</v>
      </c>
      <c r="B6187" s="1">
        <f t="shared" si="96"/>
        <v>28</v>
      </c>
    </row>
    <row r="6188" spans="1:2">
      <c r="A6188" s="112">
        <v>43825</v>
      </c>
      <c r="B6188" s="1">
        <f t="shared" si="96"/>
        <v>29</v>
      </c>
    </row>
    <row r="6189" spans="1:2">
      <c r="A6189" s="112">
        <v>43826</v>
      </c>
      <c r="B6189" s="1">
        <f t="shared" si="96"/>
        <v>0</v>
      </c>
    </row>
    <row r="6190" spans="1:2">
      <c r="A6190" s="112">
        <v>43827</v>
      </c>
      <c r="B6190" s="1">
        <f t="shared" si="96"/>
        <v>1</v>
      </c>
    </row>
    <row r="6191" spans="1:2">
      <c r="A6191" s="112">
        <v>43828</v>
      </c>
      <c r="B6191" s="1">
        <f t="shared" si="96"/>
        <v>2</v>
      </c>
    </row>
    <row r="6192" spans="1:2">
      <c r="A6192" s="112">
        <v>43829</v>
      </c>
      <c r="B6192" s="1">
        <f t="shared" si="96"/>
        <v>3</v>
      </c>
    </row>
    <row r="6193" spans="1:2">
      <c r="A6193" s="112">
        <v>43830</v>
      </c>
      <c r="B6193" s="1">
        <f t="shared" si="96"/>
        <v>4</v>
      </c>
    </row>
    <row r="6194" spans="1:2">
      <c r="A6194" s="112">
        <v>43831</v>
      </c>
      <c r="B6194" s="1">
        <f t="shared" si="96"/>
        <v>5</v>
      </c>
    </row>
    <row r="6195" spans="1:2">
      <c r="A6195" s="112">
        <v>43832</v>
      </c>
      <c r="B6195" s="1">
        <f t="shared" si="96"/>
        <v>6</v>
      </c>
    </row>
    <row r="6196" spans="1:2">
      <c r="A6196" s="112">
        <v>43833</v>
      </c>
      <c r="B6196" s="1">
        <f t="shared" si="96"/>
        <v>7</v>
      </c>
    </row>
    <row r="6197" spans="1:2">
      <c r="A6197" s="112">
        <v>43834</v>
      </c>
      <c r="B6197" s="1">
        <f t="shared" si="96"/>
        <v>8</v>
      </c>
    </row>
    <row r="6198" spans="1:2">
      <c r="A6198" s="112">
        <v>43835</v>
      </c>
      <c r="B6198" s="1">
        <f t="shared" si="96"/>
        <v>9</v>
      </c>
    </row>
    <row r="6199" spans="1:2">
      <c r="A6199" s="112">
        <v>43836</v>
      </c>
      <c r="B6199" s="1">
        <f t="shared" si="96"/>
        <v>10</v>
      </c>
    </row>
    <row r="6200" spans="1:2">
      <c r="A6200" s="112">
        <v>43837</v>
      </c>
      <c r="B6200" s="1">
        <f t="shared" si="96"/>
        <v>11</v>
      </c>
    </row>
    <row r="6201" spans="1:2">
      <c r="A6201" s="112">
        <v>43838</v>
      </c>
      <c r="B6201" s="1">
        <f t="shared" si="96"/>
        <v>12</v>
      </c>
    </row>
    <row r="6202" spans="1:2">
      <c r="A6202" s="112">
        <v>43839</v>
      </c>
      <c r="B6202" s="1">
        <f t="shared" si="96"/>
        <v>13</v>
      </c>
    </row>
    <row r="6203" spans="1:2">
      <c r="A6203" s="112">
        <v>43840</v>
      </c>
      <c r="B6203" s="1">
        <f t="shared" si="96"/>
        <v>14</v>
      </c>
    </row>
    <row r="6204" spans="1:2">
      <c r="A6204" s="112">
        <v>43841</v>
      </c>
      <c r="B6204" s="1">
        <f t="shared" si="96"/>
        <v>15</v>
      </c>
    </row>
    <row r="6205" spans="1:2">
      <c r="A6205" s="112">
        <v>43842</v>
      </c>
      <c r="B6205" s="1">
        <f t="shared" si="96"/>
        <v>16</v>
      </c>
    </row>
    <row r="6206" spans="1:2">
      <c r="A6206" s="112">
        <v>43843</v>
      </c>
      <c r="B6206" s="1">
        <f t="shared" si="96"/>
        <v>17</v>
      </c>
    </row>
    <row r="6207" spans="1:2">
      <c r="A6207" s="112">
        <v>43844</v>
      </c>
      <c r="B6207" s="1">
        <f t="shared" si="96"/>
        <v>18</v>
      </c>
    </row>
    <row r="6208" spans="1:2">
      <c r="A6208" s="112">
        <v>43845</v>
      </c>
      <c r="B6208" s="1">
        <f t="shared" si="96"/>
        <v>19</v>
      </c>
    </row>
    <row r="6209" spans="1:2">
      <c r="A6209" s="112">
        <v>43846</v>
      </c>
      <c r="B6209" s="1">
        <f t="shared" si="96"/>
        <v>20</v>
      </c>
    </row>
    <row r="6210" spans="1:2">
      <c r="A6210" s="112">
        <v>43847</v>
      </c>
      <c r="B6210" s="1">
        <f t="shared" si="96"/>
        <v>21</v>
      </c>
    </row>
    <row r="6211" spans="1:2">
      <c r="A6211" s="112">
        <v>43848</v>
      </c>
      <c r="B6211" s="1">
        <f t="shared" ref="B6211:B6274" si="97">INT(MOD($G$2+A6211-$F$2,29.53))</f>
        <v>22</v>
      </c>
    </row>
    <row r="6212" spans="1:2">
      <c r="A6212" s="112">
        <v>43849</v>
      </c>
      <c r="B6212" s="1">
        <f t="shared" si="97"/>
        <v>23</v>
      </c>
    </row>
    <row r="6213" spans="1:2">
      <c r="A6213" s="112">
        <v>43850</v>
      </c>
      <c r="B6213" s="1">
        <f t="shared" si="97"/>
        <v>24</v>
      </c>
    </row>
    <row r="6214" spans="1:2">
      <c r="A6214" s="112">
        <v>43851</v>
      </c>
      <c r="B6214" s="1">
        <f t="shared" si="97"/>
        <v>25</v>
      </c>
    </row>
    <row r="6215" spans="1:2">
      <c r="A6215" s="112">
        <v>43852</v>
      </c>
      <c r="B6215" s="1">
        <f t="shared" si="97"/>
        <v>26</v>
      </c>
    </row>
    <row r="6216" spans="1:2">
      <c r="A6216" s="112">
        <v>43853</v>
      </c>
      <c r="B6216" s="1">
        <f t="shared" si="97"/>
        <v>27</v>
      </c>
    </row>
    <row r="6217" spans="1:2">
      <c r="A6217" s="112">
        <v>43854</v>
      </c>
      <c r="B6217" s="1">
        <f t="shared" si="97"/>
        <v>28</v>
      </c>
    </row>
    <row r="6218" spans="1:2">
      <c r="A6218" s="112">
        <v>43855</v>
      </c>
      <c r="B6218" s="1">
        <f t="shared" si="97"/>
        <v>0</v>
      </c>
    </row>
    <row r="6219" spans="1:2">
      <c r="A6219" s="112">
        <v>43856</v>
      </c>
      <c r="B6219" s="1">
        <f t="shared" si="97"/>
        <v>1</v>
      </c>
    </row>
    <row r="6220" spans="1:2">
      <c r="A6220" s="112">
        <v>43857</v>
      </c>
      <c r="B6220" s="1">
        <f t="shared" si="97"/>
        <v>2</v>
      </c>
    </row>
    <row r="6221" spans="1:2">
      <c r="A6221" s="112">
        <v>43858</v>
      </c>
      <c r="B6221" s="1">
        <f t="shared" si="97"/>
        <v>3</v>
      </c>
    </row>
    <row r="6222" spans="1:2">
      <c r="A6222" s="112">
        <v>43859</v>
      </c>
      <c r="B6222" s="1">
        <f t="shared" si="97"/>
        <v>4</v>
      </c>
    </row>
    <row r="6223" spans="1:2">
      <c r="A6223" s="112">
        <v>43860</v>
      </c>
      <c r="B6223" s="1">
        <f t="shared" si="97"/>
        <v>5</v>
      </c>
    </row>
    <row r="6224" spans="1:2">
      <c r="A6224" s="112">
        <v>43861</v>
      </c>
      <c r="B6224" s="1">
        <f t="shared" si="97"/>
        <v>6</v>
      </c>
    </row>
    <row r="6225" spans="1:2">
      <c r="A6225" s="112">
        <v>43862</v>
      </c>
      <c r="B6225" s="1">
        <f t="shared" si="97"/>
        <v>7</v>
      </c>
    </row>
    <row r="6226" spans="1:2">
      <c r="A6226" s="112">
        <v>43863</v>
      </c>
      <c r="B6226" s="1">
        <f t="shared" si="97"/>
        <v>8</v>
      </c>
    </row>
    <row r="6227" spans="1:2">
      <c r="A6227" s="112">
        <v>43864</v>
      </c>
      <c r="B6227" s="1">
        <f t="shared" si="97"/>
        <v>9</v>
      </c>
    </row>
    <row r="6228" spans="1:2">
      <c r="A6228" s="112">
        <v>43865</v>
      </c>
      <c r="B6228" s="1">
        <f t="shared" si="97"/>
        <v>10</v>
      </c>
    </row>
    <row r="6229" spans="1:2">
      <c r="A6229" s="112">
        <v>43866</v>
      </c>
      <c r="B6229" s="1">
        <f t="shared" si="97"/>
        <v>11</v>
      </c>
    </row>
    <row r="6230" spans="1:2">
      <c r="A6230" s="112">
        <v>43867</v>
      </c>
      <c r="B6230" s="1">
        <f t="shared" si="97"/>
        <v>12</v>
      </c>
    </row>
    <row r="6231" spans="1:2">
      <c r="A6231" s="112">
        <v>43868</v>
      </c>
      <c r="B6231" s="1">
        <f t="shared" si="97"/>
        <v>13</v>
      </c>
    </row>
    <row r="6232" spans="1:2">
      <c r="A6232" s="112">
        <v>43869</v>
      </c>
      <c r="B6232" s="1">
        <f t="shared" si="97"/>
        <v>14</v>
      </c>
    </row>
    <row r="6233" spans="1:2">
      <c r="A6233" s="112">
        <v>43870</v>
      </c>
      <c r="B6233" s="1">
        <f t="shared" si="97"/>
        <v>15</v>
      </c>
    </row>
    <row r="6234" spans="1:2">
      <c r="A6234" s="112">
        <v>43871</v>
      </c>
      <c r="B6234" s="1">
        <f t="shared" si="97"/>
        <v>16</v>
      </c>
    </row>
    <row r="6235" spans="1:2">
      <c r="A6235" s="112">
        <v>43872</v>
      </c>
      <c r="B6235" s="1">
        <f t="shared" si="97"/>
        <v>17</v>
      </c>
    </row>
    <row r="6236" spans="1:2">
      <c r="A6236" s="112">
        <v>43873</v>
      </c>
      <c r="B6236" s="1">
        <f t="shared" si="97"/>
        <v>18</v>
      </c>
    </row>
    <row r="6237" spans="1:2">
      <c r="A6237" s="112">
        <v>43874</v>
      </c>
      <c r="B6237" s="1">
        <f t="shared" si="97"/>
        <v>19</v>
      </c>
    </row>
    <row r="6238" spans="1:2">
      <c r="A6238" s="112">
        <v>43875</v>
      </c>
      <c r="B6238" s="1">
        <f t="shared" si="97"/>
        <v>20</v>
      </c>
    </row>
    <row r="6239" spans="1:2">
      <c r="A6239" s="112">
        <v>43876</v>
      </c>
      <c r="B6239" s="1">
        <f t="shared" si="97"/>
        <v>21</v>
      </c>
    </row>
    <row r="6240" spans="1:2">
      <c r="A6240" s="112">
        <v>43877</v>
      </c>
      <c r="B6240" s="1">
        <f t="shared" si="97"/>
        <v>22</v>
      </c>
    </row>
    <row r="6241" spans="1:2">
      <c r="A6241" s="112">
        <v>43878</v>
      </c>
      <c r="B6241" s="1">
        <f t="shared" si="97"/>
        <v>23</v>
      </c>
    </row>
    <row r="6242" spans="1:2">
      <c r="A6242" s="112">
        <v>43879</v>
      </c>
      <c r="B6242" s="1">
        <f t="shared" si="97"/>
        <v>24</v>
      </c>
    </row>
    <row r="6243" spans="1:2">
      <c r="A6243" s="112">
        <v>43880</v>
      </c>
      <c r="B6243" s="1">
        <f t="shared" si="97"/>
        <v>25</v>
      </c>
    </row>
    <row r="6244" spans="1:2">
      <c r="A6244" s="112">
        <v>43881</v>
      </c>
      <c r="B6244" s="1">
        <f t="shared" si="97"/>
        <v>26</v>
      </c>
    </row>
    <row r="6245" spans="1:2">
      <c r="A6245" s="112">
        <v>43882</v>
      </c>
      <c r="B6245" s="1">
        <f t="shared" si="97"/>
        <v>27</v>
      </c>
    </row>
    <row r="6246" spans="1:2">
      <c r="A6246" s="112">
        <v>43883</v>
      </c>
      <c r="B6246" s="1">
        <f t="shared" si="97"/>
        <v>28</v>
      </c>
    </row>
    <row r="6247" spans="1:2">
      <c r="A6247" s="112">
        <v>43884</v>
      </c>
      <c r="B6247" s="1">
        <f t="shared" si="97"/>
        <v>29</v>
      </c>
    </row>
    <row r="6248" spans="1:2">
      <c r="A6248" s="112">
        <v>43885</v>
      </c>
      <c r="B6248" s="1">
        <f t="shared" si="97"/>
        <v>0</v>
      </c>
    </row>
    <row r="6249" spans="1:2">
      <c r="A6249" s="112">
        <v>43886</v>
      </c>
      <c r="B6249" s="1">
        <f t="shared" si="97"/>
        <v>1</v>
      </c>
    </row>
    <row r="6250" spans="1:2">
      <c r="A6250" s="112">
        <v>43887</v>
      </c>
      <c r="B6250" s="1">
        <f t="shared" si="97"/>
        <v>2</v>
      </c>
    </row>
    <row r="6251" spans="1:2">
      <c r="A6251" s="112">
        <v>43888</v>
      </c>
      <c r="B6251" s="1">
        <f t="shared" si="97"/>
        <v>3</v>
      </c>
    </row>
    <row r="6252" spans="1:2">
      <c r="A6252" s="112">
        <v>43889</v>
      </c>
      <c r="B6252" s="1">
        <f t="shared" si="97"/>
        <v>4</v>
      </c>
    </row>
    <row r="6253" spans="1:2">
      <c r="A6253" s="112">
        <v>43890</v>
      </c>
      <c r="B6253" s="1">
        <f t="shared" si="97"/>
        <v>5</v>
      </c>
    </row>
    <row r="6254" spans="1:2">
      <c r="A6254" s="112">
        <v>43891</v>
      </c>
      <c r="B6254" s="1">
        <f t="shared" si="97"/>
        <v>6</v>
      </c>
    </row>
    <row r="6255" spans="1:2">
      <c r="A6255" s="112">
        <v>43892</v>
      </c>
      <c r="B6255" s="1">
        <f t="shared" si="97"/>
        <v>7</v>
      </c>
    </row>
    <row r="6256" spans="1:2">
      <c r="A6256" s="112">
        <v>43893</v>
      </c>
      <c r="B6256" s="1">
        <f t="shared" si="97"/>
        <v>8</v>
      </c>
    </row>
    <row r="6257" spans="1:2">
      <c r="A6257" s="112">
        <v>43894</v>
      </c>
      <c r="B6257" s="1">
        <f t="shared" si="97"/>
        <v>9</v>
      </c>
    </row>
    <row r="6258" spans="1:2">
      <c r="A6258" s="112">
        <v>43895</v>
      </c>
      <c r="B6258" s="1">
        <f t="shared" si="97"/>
        <v>10</v>
      </c>
    </row>
    <row r="6259" spans="1:2">
      <c r="A6259" s="112">
        <v>43896</v>
      </c>
      <c r="B6259" s="1">
        <f t="shared" si="97"/>
        <v>11</v>
      </c>
    </row>
    <row r="6260" spans="1:2">
      <c r="A6260" s="112">
        <v>43897</v>
      </c>
      <c r="B6260" s="1">
        <f t="shared" si="97"/>
        <v>12</v>
      </c>
    </row>
    <row r="6261" spans="1:2">
      <c r="A6261" s="112">
        <v>43898</v>
      </c>
      <c r="B6261" s="1">
        <f t="shared" si="97"/>
        <v>13</v>
      </c>
    </row>
    <row r="6262" spans="1:2">
      <c r="A6262" s="112">
        <v>43899</v>
      </c>
      <c r="B6262" s="1">
        <f t="shared" si="97"/>
        <v>14</v>
      </c>
    </row>
    <row r="6263" spans="1:2">
      <c r="A6263" s="112">
        <v>43900</v>
      </c>
      <c r="B6263" s="1">
        <f t="shared" si="97"/>
        <v>15</v>
      </c>
    </row>
    <row r="6264" spans="1:2">
      <c r="A6264" s="112">
        <v>43901</v>
      </c>
      <c r="B6264" s="1">
        <f t="shared" si="97"/>
        <v>16</v>
      </c>
    </row>
    <row r="6265" spans="1:2">
      <c r="A6265" s="112">
        <v>43902</v>
      </c>
      <c r="B6265" s="1">
        <f t="shared" si="97"/>
        <v>17</v>
      </c>
    </row>
    <row r="6266" spans="1:2">
      <c r="A6266" s="112">
        <v>43903</v>
      </c>
      <c r="B6266" s="1">
        <f t="shared" si="97"/>
        <v>18</v>
      </c>
    </row>
    <row r="6267" spans="1:2">
      <c r="A6267" s="112">
        <v>43904</v>
      </c>
      <c r="B6267" s="1">
        <f t="shared" si="97"/>
        <v>19</v>
      </c>
    </row>
    <row r="6268" spans="1:2">
      <c r="A6268" s="112">
        <v>43905</v>
      </c>
      <c r="B6268" s="1">
        <f t="shared" si="97"/>
        <v>20</v>
      </c>
    </row>
    <row r="6269" spans="1:2">
      <c r="A6269" s="112">
        <v>43906</v>
      </c>
      <c r="B6269" s="1">
        <f t="shared" si="97"/>
        <v>21</v>
      </c>
    </row>
    <row r="6270" spans="1:2">
      <c r="A6270" s="112">
        <v>43907</v>
      </c>
      <c r="B6270" s="1">
        <f t="shared" si="97"/>
        <v>22</v>
      </c>
    </row>
    <row r="6271" spans="1:2">
      <c r="A6271" s="112">
        <v>43908</v>
      </c>
      <c r="B6271" s="1">
        <f t="shared" si="97"/>
        <v>23</v>
      </c>
    </row>
    <row r="6272" spans="1:2">
      <c r="A6272" s="112">
        <v>43909</v>
      </c>
      <c r="B6272" s="1">
        <f t="shared" si="97"/>
        <v>24</v>
      </c>
    </row>
    <row r="6273" spans="1:2">
      <c r="A6273" s="112">
        <v>43910</v>
      </c>
      <c r="B6273" s="1">
        <f t="shared" si="97"/>
        <v>25</v>
      </c>
    </row>
    <row r="6274" spans="1:2">
      <c r="A6274" s="112">
        <v>43911</v>
      </c>
      <c r="B6274" s="1">
        <f t="shared" si="97"/>
        <v>26</v>
      </c>
    </row>
    <row r="6275" spans="1:2">
      <c r="A6275" s="112">
        <v>43912</v>
      </c>
      <c r="B6275" s="1">
        <f t="shared" ref="B6275:B6338" si="98">INT(MOD($G$2+A6275-$F$2,29.53))</f>
        <v>27</v>
      </c>
    </row>
    <row r="6276" spans="1:2">
      <c r="A6276" s="112">
        <v>43913</v>
      </c>
      <c r="B6276" s="1">
        <f t="shared" si="98"/>
        <v>28</v>
      </c>
    </row>
    <row r="6277" spans="1:2">
      <c r="A6277" s="112">
        <v>43914</v>
      </c>
      <c r="B6277" s="1">
        <f t="shared" si="98"/>
        <v>0</v>
      </c>
    </row>
    <row r="6278" spans="1:2">
      <c r="A6278" s="112">
        <v>43915</v>
      </c>
      <c r="B6278" s="1">
        <f t="shared" si="98"/>
        <v>1</v>
      </c>
    </row>
    <row r="6279" spans="1:2">
      <c r="A6279" s="112">
        <v>43916</v>
      </c>
      <c r="B6279" s="1">
        <f t="shared" si="98"/>
        <v>2</v>
      </c>
    </row>
    <row r="6280" spans="1:2">
      <c r="A6280" s="112">
        <v>43917</v>
      </c>
      <c r="B6280" s="1">
        <f t="shared" si="98"/>
        <v>3</v>
      </c>
    </row>
    <row r="6281" spans="1:2">
      <c r="A6281" s="112">
        <v>43918</v>
      </c>
      <c r="B6281" s="1">
        <f t="shared" si="98"/>
        <v>4</v>
      </c>
    </row>
    <row r="6282" spans="1:2">
      <c r="A6282" s="112">
        <v>43919</v>
      </c>
      <c r="B6282" s="1">
        <f t="shared" si="98"/>
        <v>5</v>
      </c>
    </row>
    <row r="6283" spans="1:2">
      <c r="A6283" s="112">
        <v>43920</v>
      </c>
      <c r="B6283" s="1">
        <f t="shared" si="98"/>
        <v>6</v>
      </c>
    </row>
    <row r="6284" spans="1:2">
      <c r="A6284" s="112">
        <v>43921</v>
      </c>
      <c r="B6284" s="1">
        <f t="shared" si="98"/>
        <v>7</v>
      </c>
    </row>
    <row r="6285" spans="1:2">
      <c r="A6285" s="112">
        <v>43922</v>
      </c>
      <c r="B6285" s="1">
        <f t="shared" si="98"/>
        <v>8</v>
      </c>
    </row>
    <row r="6286" spans="1:2">
      <c r="A6286" s="112">
        <v>43923</v>
      </c>
      <c r="B6286" s="1">
        <f t="shared" si="98"/>
        <v>9</v>
      </c>
    </row>
    <row r="6287" spans="1:2">
      <c r="A6287" s="112">
        <v>43924</v>
      </c>
      <c r="B6287" s="1">
        <f t="shared" si="98"/>
        <v>10</v>
      </c>
    </row>
    <row r="6288" spans="1:2">
      <c r="A6288" s="112">
        <v>43925</v>
      </c>
      <c r="B6288" s="1">
        <f t="shared" si="98"/>
        <v>11</v>
      </c>
    </row>
    <row r="6289" spans="1:2">
      <c r="A6289" s="112">
        <v>43926</v>
      </c>
      <c r="B6289" s="1">
        <f t="shared" si="98"/>
        <v>12</v>
      </c>
    </row>
    <row r="6290" spans="1:2">
      <c r="A6290" s="112">
        <v>43927</v>
      </c>
      <c r="B6290" s="1">
        <f t="shared" si="98"/>
        <v>13</v>
      </c>
    </row>
    <row r="6291" spans="1:2">
      <c r="A6291" s="112">
        <v>43928</v>
      </c>
      <c r="B6291" s="1">
        <f t="shared" si="98"/>
        <v>14</v>
      </c>
    </row>
    <row r="6292" spans="1:2">
      <c r="A6292" s="112">
        <v>43929</v>
      </c>
      <c r="B6292" s="1">
        <f t="shared" si="98"/>
        <v>15</v>
      </c>
    </row>
    <row r="6293" spans="1:2">
      <c r="A6293" s="112">
        <v>43930</v>
      </c>
      <c r="B6293" s="1">
        <f t="shared" si="98"/>
        <v>16</v>
      </c>
    </row>
    <row r="6294" spans="1:2">
      <c r="A6294" s="112">
        <v>43931</v>
      </c>
      <c r="B6294" s="1">
        <f t="shared" si="98"/>
        <v>17</v>
      </c>
    </row>
    <row r="6295" spans="1:2">
      <c r="A6295" s="112">
        <v>43932</v>
      </c>
      <c r="B6295" s="1">
        <f t="shared" si="98"/>
        <v>18</v>
      </c>
    </row>
    <row r="6296" spans="1:2">
      <c r="A6296" s="112">
        <v>43933</v>
      </c>
      <c r="B6296" s="1">
        <f t="shared" si="98"/>
        <v>19</v>
      </c>
    </row>
    <row r="6297" spans="1:2">
      <c r="A6297" s="112">
        <v>43934</v>
      </c>
      <c r="B6297" s="1">
        <f t="shared" si="98"/>
        <v>20</v>
      </c>
    </row>
    <row r="6298" spans="1:2">
      <c r="A6298" s="112">
        <v>43935</v>
      </c>
      <c r="B6298" s="1">
        <f t="shared" si="98"/>
        <v>21</v>
      </c>
    </row>
    <row r="6299" spans="1:2">
      <c r="A6299" s="112">
        <v>43936</v>
      </c>
      <c r="B6299" s="1">
        <f t="shared" si="98"/>
        <v>22</v>
      </c>
    </row>
    <row r="6300" spans="1:2">
      <c r="A6300" s="112">
        <v>43937</v>
      </c>
      <c r="B6300" s="1">
        <f t="shared" si="98"/>
        <v>23</v>
      </c>
    </row>
    <row r="6301" spans="1:2">
      <c r="A6301" s="112">
        <v>43938</v>
      </c>
      <c r="B6301" s="1">
        <f t="shared" si="98"/>
        <v>24</v>
      </c>
    </row>
    <row r="6302" spans="1:2">
      <c r="A6302" s="112">
        <v>43939</v>
      </c>
      <c r="B6302" s="1">
        <f t="shared" si="98"/>
        <v>25</v>
      </c>
    </row>
    <row r="6303" spans="1:2">
      <c r="A6303" s="112">
        <v>43940</v>
      </c>
      <c r="B6303" s="1">
        <f t="shared" si="98"/>
        <v>26</v>
      </c>
    </row>
    <row r="6304" spans="1:2">
      <c r="A6304" s="112">
        <v>43941</v>
      </c>
      <c r="B6304" s="1">
        <f t="shared" si="98"/>
        <v>27</v>
      </c>
    </row>
    <row r="6305" spans="1:2">
      <c r="A6305" s="112">
        <v>43942</v>
      </c>
      <c r="B6305" s="1">
        <f t="shared" si="98"/>
        <v>28</v>
      </c>
    </row>
    <row r="6306" spans="1:2">
      <c r="A6306" s="112">
        <v>43943</v>
      </c>
      <c r="B6306" s="1">
        <f t="shared" si="98"/>
        <v>29</v>
      </c>
    </row>
    <row r="6307" spans="1:2">
      <c r="A6307" s="112">
        <v>43944</v>
      </c>
      <c r="B6307" s="1">
        <f t="shared" si="98"/>
        <v>0</v>
      </c>
    </row>
    <row r="6308" spans="1:2">
      <c r="A6308" s="112">
        <v>43945</v>
      </c>
      <c r="B6308" s="1">
        <f t="shared" si="98"/>
        <v>1</v>
      </c>
    </row>
    <row r="6309" spans="1:2">
      <c r="A6309" s="112">
        <v>43946</v>
      </c>
      <c r="B6309" s="1">
        <f t="shared" si="98"/>
        <v>2</v>
      </c>
    </row>
    <row r="6310" spans="1:2">
      <c r="A6310" s="112">
        <v>43947</v>
      </c>
      <c r="B6310" s="1">
        <f t="shared" si="98"/>
        <v>3</v>
      </c>
    </row>
    <row r="6311" spans="1:2">
      <c r="A6311" s="112">
        <v>43948</v>
      </c>
      <c r="B6311" s="1">
        <f t="shared" si="98"/>
        <v>4</v>
      </c>
    </row>
    <row r="6312" spans="1:2">
      <c r="A6312" s="112">
        <v>43949</v>
      </c>
      <c r="B6312" s="1">
        <f t="shared" si="98"/>
        <v>5</v>
      </c>
    </row>
    <row r="6313" spans="1:2">
      <c r="A6313" s="112">
        <v>43950</v>
      </c>
      <c r="B6313" s="1">
        <f t="shared" si="98"/>
        <v>6</v>
      </c>
    </row>
    <row r="6314" spans="1:2">
      <c r="A6314" s="112">
        <v>43951</v>
      </c>
      <c r="B6314" s="1">
        <f t="shared" si="98"/>
        <v>7</v>
      </c>
    </row>
    <row r="6315" spans="1:2">
      <c r="A6315" s="112">
        <v>43952</v>
      </c>
      <c r="B6315" s="1">
        <f t="shared" si="98"/>
        <v>8</v>
      </c>
    </row>
    <row r="6316" spans="1:2">
      <c r="A6316" s="112">
        <v>43953</v>
      </c>
      <c r="B6316" s="1">
        <f t="shared" si="98"/>
        <v>9</v>
      </c>
    </row>
    <row r="6317" spans="1:2">
      <c r="A6317" s="112">
        <v>43954</v>
      </c>
      <c r="B6317" s="1">
        <f t="shared" si="98"/>
        <v>10</v>
      </c>
    </row>
    <row r="6318" spans="1:2">
      <c r="A6318" s="112">
        <v>43955</v>
      </c>
      <c r="B6318" s="1">
        <f t="shared" si="98"/>
        <v>11</v>
      </c>
    </row>
    <row r="6319" spans="1:2">
      <c r="A6319" s="112">
        <v>43956</v>
      </c>
      <c r="B6319" s="1">
        <f t="shared" si="98"/>
        <v>12</v>
      </c>
    </row>
    <row r="6320" spans="1:2">
      <c r="A6320" s="112">
        <v>43957</v>
      </c>
      <c r="B6320" s="1">
        <f t="shared" si="98"/>
        <v>13</v>
      </c>
    </row>
    <row r="6321" spans="1:2">
      <c r="A6321" s="112">
        <v>43958</v>
      </c>
      <c r="B6321" s="1">
        <f t="shared" si="98"/>
        <v>14</v>
      </c>
    </row>
    <row r="6322" spans="1:2">
      <c r="A6322" s="112">
        <v>43959</v>
      </c>
      <c r="B6322" s="1">
        <f t="shared" si="98"/>
        <v>15</v>
      </c>
    </row>
    <row r="6323" spans="1:2">
      <c r="A6323" s="112">
        <v>43960</v>
      </c>
      <c r="B6323" s="1">
        <f t="shared" si="98"/>
        <v>16</v>
      </c>
    </row>
    <row r="6324" spans="1:2">
      <c r="A6324" s="112">
        <v>43961</v>
      </c>
      <c r="B6324" s="1">
        <f t="shared" si="98"/>
        <v>17</v>
      </c>
    </row>
    <row r="6325" spans="1:2">
      <c r="A6325" s="112">
        <v>43962</v>
      </c>
      <c r="B6325" s="1">
        <f t="shared" si="98"/>
        <v>18</v>
      </c>
    </row>
    <row r="6326" spans="1:2">
      <c r="A6326" s="112">
        <v>43963</v>
      </c>
      <c r="B6326" s="1">
        <f t="shared" si="98"/>
        <v>19</v>
      </c>
    </row>
    <row r="6327" spans="1:2">
      <c r="A6327" s="112">
        <v>43964</v>
      </c>
      <c r="B6327" s="1">
        <f t="shared" si="98"/>
        <v>20</v>
      </c>
    </row>
    <row r="6328" spans="1:2">
      <c r="A6328" s="112">
        <v>43965</v>
      </c>
      <c r="B6328" s="1">
        <f t="shared" si="98"/>
        <v>21</v>
      </c>
    </row>
    <row r="6329" spans="1:2">
      <c r="A6329" s="112">
        <v>43966</v>
      </c>
      <c r="B6329" s="1">
        <f t="shared" si="98"/>
        <v>22</v>
      </c>
    </row>
    <row r="6330" spans="1:2">
      <c r="A6330" s="112">
        <v>43967</v>
      </c>
      <c r="B6330" s="1">
        <f t="shared" si="98"/>
        <v>23</v>
      </c>
    </row>
    <row r="6331" spans="1:2">
      <c r="A6331" s="112">
        <v>43968</v>
      </c>
      <c r="B6331" s="1">
        <f t="shared" si="98"/>
        <v>24</v>
      </c>
    </row>
    <row r="6332" spans="1:2">
      <c r="A6332" s="112">
        <v>43969</v>
      </c>
      <c r="B6332" s="1">
        <f t="shared" si="98"/>
        <v>25</v>
      </c>
    </row>
    <row r="6333" spans="1:2">
      <c r="A6333" s="112">
        <v>43970</v>
      </c>
      <c r="B6333" s="1">
        <f t="shared" si="98"/>
        <v>26</v>
      </c>
    </row>
    <row r="6334" spans="1:2">
      <c r="A6334" s="112">
        <v>43971</v>
      </c>
      <c r="B6334" s="1">
        <f t="shared" si="98"/>
        <v>27</v>
      </c>
    </row>
    <row r="6335" spans="1:2">
      <c r="A6335" s="112">
        <v>43972</v>
      </c>
      <c r="B6335" s="1">
        <f t="shared" si="98"/>
        <v>28</v>
      </c>
    </row>
    <row r="6336" spans="1:2">
      <c r="A6336" s="112">
        <v>43973</v>
      </c>
      <c r="B6336" s="1">
        <f t="shared" si="98"/>
        <v>0</v>
      </c>
    </row>
    <row r="6337" spans="1:2">
      <c r="A6337" s="112">
        <v>43974</v>
      </c>
      <c r="B6337" s="1">
        <f t="shared" si="98"/>
        <v>1</v>
      </c>
    </row>
    <row r="6338" spans="1:2">
      <c r="A6338" s="112">
        <v>43975</v>
      </c>
      <c r="B6338" s="1">
        <f t="shared" si="98"/>
        <v>2</v>
      </c>
    </row>
    <row r="6339" spans="1:2">
      <c r="A6339" s="112">
        <v>43976</v>
      </c>
      <c r="B6339" s="1">
        <f t="shared" ref="B6339:B6402" si="99">INT(MOD($G$2+A6339-$F$2,29.53))</f>
        <v>3</v>
      </c>
    </row>
    <row r="6340" spans="1:2">
      <c r="A6340" s="112">
        <v>43977</v>
      </c>
      <c r="B6340" s="1">
        <f t="shared" si="99"/>
        <v>4</v>
      </c>
    </row>
    <row r="6341" spans="1:2">
      <c r="A6341" s="112">
        <v>43978</v>
      </c>
      <c r="B6341" s="1">
        <f t="shared" si="99"/>
        <v>5</v>
      </c>
    </row>
    <row r="6342" spans="1:2">
      <c r="A6342" s="112">
        <v>43979</v>
      </c>
      <c r="B6342" s="1">
        <f t="shared" si="99"/>
        <v>6</v>
      </c>
    </row>
    <row r="6343" spans="1:2">
      <c r="A6343" s="112">
        <v>43980</v>
      </c>
      <c r="B6343" s="1">
        <f t="shared" si="99"/>
        <v>7</v>
      </c>
    </row>
    <row r="6344" spans="1:2">
      <c r="A6344" s="112">
        <v>43981</v>
      </c>
      <c r="B6344" s="1">
        <f t="shared" si="99"/>
        <v>8</v>
      </c>
    </row>
    <row r="6345" spans="1:2">
      <c r="A6345" s="112">
        <v>43982</v>
      </c>
      <c r="B6345" s="1">
        <f t="shared" si="99"/>
        <v>9</v>
      </c>
    </row>
    <row r="6346" spans="1:2">
      <c r="A6346" s="112">
        <v>43983</v>
      </c>
      <c r="B6346" s="1">
        <f t="shared" si="99"/>
        <v>10</v>
      </c>
    </row>
    <row r="6347" spans="1:2">
      <c r="A6347" s="112">
        <v>43984</v>
      </c>
      <c r="B6347" s="1">
        <f t="shared" si="99"/>
        <v>11</v>
      </c>
    </row>
    <row r="6348" spans="1:2">
      <c r="A6348" s="112">
        <v>43985</v>
      </c>
      <c r="B6348" s="1">
        <f t="shared" si="99"/>
        <v>12</v>
      </c>
    </row>
    <row r="6349" spans="1:2">
      <c r="A6349" s="112">
        <v>43986</v>
      </c>
      <c r="B6349" s="1">
        <f t="shared" si="99"/>
        <v>13</v>
      </c>
    </row>
    <row r="6350" spans="1:2">
      <c r="A6350" s="112">
        <v>43987</v>
      </c>
      <c r="B6350" s="1">
        <f t="shared" si="99"/>
        <v>14</v>
      </c>
    </row>
    <row r="6351" spans="1:2">
      <c r="A6351" s="112">
        <v>43988</v>
      </c>
      <c r="B6351" s="1">
        <f t="shared" si="99"/>
        <v>15</v>
      </c>
    </row>
    <row r="6352" spans="1:2">
      <c r="A6352" s="112">
        <v>43989</v>
      </c>
      <c r="B6352" s="1">
        <f t="shared" si="99"/>
        <v>16</v>
      </c>
    </row>
    <row r="6353" spans="1:2">
      <c r="A6353" s="112">
        <v>43990</v>
      </c>
      <c r="B6353" s="1">
        <f t="shared" si="99"/>
        <v>17</v>
      </c>
    </row>
    <row r="6354" spans="1:2">
      <c r="A6354" s="112">
        <v>43991</v>
      </c>
      <c r="B6354" s="1">
        <f t="shared" si="99"/>
        <v>18</v>
      </c>
    </row>
    <row r="6355" spans="1:2">
      <c r="A6355" s="112">
        <v>43992</v>
      </c>
      <c r="B6355" s="1">
        <f t="shared" si="99"/>
        <v>19</v>
      </c>
    </row>
    <row r="6356" spans="1:2">
      <c r="A6356" s="112">
        <v>43993</v>
      </c>
      <c r="B6356" s="1">
        <f t="shared" si="99"/>
        <v>20</v>
      </c>
    </row>
    <row r="6357" spans="1:2">
      <c r="A6357" s="112">
        <v>43994</v>
      </c>
      <c r="B6357" s="1">
        <f t="shared" si="99"/>
        <v>21</v>
      </c>
    </row>
    <row r="6358" spans="1:2">
      <c r="A6358" s="112">
        <v>43995</v>
      </c>
      <c r="B6358" s="1">
        <f t="shared" si="99"/>
        <v>22</v>
      </c>
    </row>
    <row r="6359" spans="1:2">
      <c r="A6359" s="112">
        <v>43996</v>
      </c>
      <c r="B6359" s="1">
        <f t="shared" si="99"/>
        <v>23</v>
      </c>
    </row>
    <row r="6360" spans="1:2">
      <c r="A6360" s="112">
        <v>43997</v>
      </c>
      <c r="B6360" s="1">
        <f t="shared" si="99"/>
        <v>24</v>
      </c>
    </row>
    <row r="6361" spans="1:2">
      <c r="A6361" s="112">
        <v>43998</v>
      </c>
      <c r="B6361" s="1">
        <f t="shared" si="99"/>
        <v>25</v>
      </c>
    </row>
    <row r="6362" spans="1:2">
      <c r="A6362" s="112">
        <v>43999</v>
      </c>
      <c r="B6362" s="1">
        <f t="shared" si="99"/>
        <v>26</v>
      </c>
    </row>
    <row r="6363" spans="1:2">
      <c r="A6363" s="112">
        <v>44000</v>
      </c>
      <c r="B6363" s="1">
        <f t="shared" si="99"/>
        <v>27</v>
      </c>
    </row>
    <row r="6364" spans="1:2">
      <c r="A6364" s="112">
        <v>44001</v>
      </c>
      <c r="B6364" s="1">
        <f t="shared" si="99"/>
        <v>28</v>
      </c>
    </row>
    <row r="6365" spans="1:2">
      <c r="A6365" s="112">
        <v>44002</v>
      </c>
      <c r="B6365" s="1">
        <f t="shared" si="99"/>
        <v>29</v>
      </c>
    </row>
    <row r="6366" spans="1:2">
      <c r="A6366" s="112">
        <v>44003</v>
      </c>
      <c r="B6366" s="1">
        <f t="shared" si="99"/>
        <v>0</v>
      </c>
    </row>
    <row r="6367" spans="1:2">
      <c r="A6367" s="112">
        <v>44004</v>
      </c>
      <c r="B6367" s="1">
        <f t="shared" si="99"/>
        <v>1</v>
      </c>
    </row>
    <row r="6368" spans="1:2">
      <c r="A6368" s="112">
        <v>44005</v>
      </c>
      <c r="B6368" s="1">
        <f t="shared" si="99"/>
        <v>2</v>
      </c>
    </row>
    <row r="6369" spans="1:2">
      <c r="A6369" s="112">
        <v>44006</v>
      </c>
      <c r="B6369" s="1">
        <f t="shared" si="99"/>
        <v>3</v>
      </c>
    </row>
    <row r="6370" spans="1:2">
      <c r="A6370" s="112">
        <v>44007</v>
      </c>
      <c r="B6370" s="1">
        <f t="shared" si="99"/>
        <v>4</v>
      </c>
    </row>
    <row r="6371" spans="1:2">
      <c r="A6371" s="112">
        <v>44008</v>
      </c>
      <c r="B6371" s="1">
        <f t="shared" si="99"/>
        <v>5</v>
      </c>
    </row>
    <row r="6372" spans="1:2">
      <c r="A6372" s="112">
        <v>44009</v>
      </c>
      <c r="B6372" s="1">
        <f t="shared" si="99"/>
        <v>6</v>
      </c>
    </row>
    <row r="6373" spans="1:2">
      <c r="A6373" s="112">
        <v>44010</v>
      </c>
      <c r="B6373" s="1">
        <f t="shared" si="99"/>
        <v>7</v>
      </c>
    </row>
    <row r="6374" spans="1:2">
      <c r="A6374" s="112">
        <v>44011</v>
      </c>
      <c r="B6374" s="1">
        <f t="shared" si="99"/>
        <v>8</v>
      </c>
    </row>
    <row r="6375" spans="1:2">
      <c r="A6375" s="112">
        <v>44012</v>
      </c>
      <c r="B6375" s="1">
        <f t="shared" si="99"/>
        <v>9</v>
      </c>
    </row>
    <row r="6376" spans="1:2">
      <c r="A6376" s="112">
        <v>44013</v>
      </c>
      <c r="B6376" s="1">
        <f t="shared" si="99"/>
        <v>10</v>
      </c>
    </row>
    <row r="6377" spans="1:2">
      <c r="A6377" s="112">
        <v>44014</v>
      </c>
      <c r="B6377" s="1">
        <f t="shared" si="99"/>
        <v>11</v>
      </c>
    </row>
    <row r="6378" spans="1:2">
      <c r="A6378" s="112">
        <v>44015</v>
      </c>
      <c r="B6378" s="1">
        <f t="shared" si="99"/>
        <v>12</v>
      </c>
    </row>
    <row r="6379" spans="1:2">
      <c r="A6379" s="112">
        <v>44016</v>
      </c>
      <c r="B6379" s="1">
        <f t="shared" si="99"/>
        <v>13</v>
      </c>
    </row>
    <row r="6380" spans="1:2">
      <c r="A6380" s="112">
        <v>44017</v>
      </c>
      <c r="B6380" s="1">
        <f t="shared" si="99"/>
        <v>14</v>
      </c>
    </row>
    <row r="6381" spans="1:2">
      <c r="A6381" s="112">
        <v>44018</v>
      </c>
      <c r="B6381" s="1">
        <f t="shared" si="99"/>
        <v>15</v>
      </c>
    </row>
    <row r="6382" spans="1:2">
      <c r="A6382" s="112">
        <v>44019</v>
      </c>
      <c r="B6382" s="1">
        <f t="shared" si="99"/>
        <v>16</v>
      </c>
    </row>
    <row r="6383" spans="1:2">
      <c r="A6383" s="112">
        <v>44020</v>
      </c>
      <c r="B6383" s="1">
        <f t="shared" si="99"/>
        <v>17</v>
      </c>
    </row>
    <row r="6384" spans="1:2">
      <c r="A6384" s="112">
        <v>44021</v>
      </c>
      <c r="B6384" s="1">
        <f t="shared" si="99"/>
        <v>18</v>
      </c>
    </row>
    <row r="6385" spans="1:2">
      <c r="A6385" s="112">
        <v>44022</v>
      </c>
      <c r="B6385" s="1">
        <f t="shared" si="99"/>
        <v>19</v>
      </c>
    </row>
    <row r="6386" spans="1:2">
      <c r="A6386" s="112">
        <v>44023</v>
      </c>
      <c r="B6386" s="1">
        <f t="shared" si="99"/>
        <v>20</v>
      </c>
    </row>
    <row r="6387" spans="1:2">
      <c r="A6387" s="112">
        <v>44024</v>
      </c>
      <c r="B6387" s="1">
        <f t="shared" si="99"/>
        <v>21</v>
      </c>
    </row>
    <row r="6388" spans="1:2">
      <c r="A6388" s="112">
        <v>44025</v>
      </c>
      <c r="B6388" s="1">
        <f t="shared" si="99"/>
        <v>22</v>
      </c>
    </row>
    <row r="6389" spans="1:2">
      <c r="A6389" s="112">
        <v>44026</v>
      </c>
      <c r="B6389" s="1">
        <f t="shared" si="99"/>
        <v>23</v>
      </c>
    </row>
    <row r="6390" spans="1:2">
      <c r="A6390" s="112">
        <v>44027</v>
      </c>
      <c r="B6390" s="1">
        <f t="shared" si="99"/>
        <v>24</v>
      </c>
    </row>
    <row r="6391" spans="1:2">
      <c r="A6391" s="112">
        <v>44028</v>
      </c>
      <c r="B6391" s="1">
        <f t="shared" si="99"/>
        <v>25</v>
      </c>
    </row>
    <row r="6392" spans="1:2">
      <c r="A6392" s="112">
        <v>44029</v>
      </c>
      <c r="B6392" s="1">
        <f t="shared" si="99"/>
        <v>26</v>
      </c>
    </row>
    <row r="6393" spans="1:2">
      <c r="A6393" s="112">
        <v>44030</v>
      </c>
      <c r="B6393" s="1">
        <f t="shared" si="99"/>
        <v>27</v>
      </c>
    </row>
    <row r="6394" spans="1:2">
      <c r="A6394" s="112">
        <v>44031</v>
      </c>
      <c r="B6394" s="1">
        <f t="shared" si="99"/>
        <v>28</v>
      </c>
    </row>
    <row r="6395" spans="1:2">
      <c r="A6395" s="112">
        <v>44032</v>
      </c>
      <c r="B6395" s="1">
        <f t="shared" si="99"/>
        <v>0</v>
      </c>
    </row>
    <row r="6396" spans="1:2">
      <c r="A6396" s="112">
        <v>44033</v>
      </c>
      <c r="B6396" s="1">
        <f t="shared" si="99"/>
        <v>1</v>
      </c>
    </row>
    <row r="6397" spans="1:2">
      <c r="A6397" s="112">
        <v>44034</v>
      </c>
      <c r="B6397" s="1">
        <f t="shared" si="99"/>
        <v>2</v>
      </c>
    </row>
    <row r="6398" spans="1:2">
      <c r="A6398" s="112">
        <v>44035</v>
      </c>
      <c r="B6398" s="1">
        <f t="shared" si="99"/>
        <v>3</v>
      </c>
    </row>
    <row r="6399" spans="1:2">
      <c r="A6399" s="112">
        <v>44036</v>
      </c>
      <c r="B6399" s="1">
        <f t="shared" si="99"/>
        <v>4</v>
      </c>
    </row>
    <row r="6400" spans="1:2">
      <c r="A6400" s="112">
        <v>44037</v>
      </c>
      <c r="B6400" s="1">
        <f t="shared" si="99"/>
        <v>5</v>
      </c>
    </row>
    <row r="6401" spans="1:2">
      <c r="A6401" s="112">
        <v>44038</v>
      </c>
      <c r="B6401" s="1">
        <f t="shared" si="99"/>
        <v>6</v>
      </c>
    </row>
    <row r="6402" spans="1:2">
      <c r="A6402" s="112">
        <v>44039</v>
      </c>
      <c r="B6402" s="1">
        <f t="shared" si="99"/>
        <v>7</v>
      </c>
    </row>
    <row r="6403" spans="1:2">
      <c r="A6403" s="112">
        <v>44040</v>
      </c>
      <c r="B6403" s="1">
        <f t="shared" ref="B6403:B6466" si="100">INT(MOD($G$2+A6403-$F$2,29.53))</f>
        <v>8</v>
      </c>
    </row>
    <row r="6404" spans="1:2">
      <c r="A6404" s="112">
        <v>44041</v>
      </c>
      <c r="B6404" s="1">
        <f t="shared" si="100"/>
        <v>9</v>
      </c>
    </row>
    <row r="6405" spans="1:2">
      <c r="A6405" s="112">
        <v>44042</v>
      </c>
      <c r="B6405" s="1">
        <f t="shared" si="100"/>
        <v>10</v>
      </c>
    </row>
    <row r="6406" spans="1:2">
      <c r="A6406" s="112">
        <v>44043</v>
      </c>
      <c r="B6406" s="1">
        <f t="shared" si="100"/>
        <v>11</v>
      </c>
    </row>
    <row r="6407" spans="1:2">
      <c r="A6407" s="112">
        <v>44044</v>
      </c>
      <c r="B6407" s="1">
        <f t="shared" si="100"/>
        <v>12</v>
      </c>
    </row>
    <row r="6408" spans="1:2">
      <c r="A6408" s="112">
        <v>44045</v>
      </c>
      <c r="B6408" s="1">
        <f t="shared" si="100"/>
        <v>13</v>
      </c>
    </row>
    <row r="6409" spans="1:2">
      <c r="A6409" s="112">
        <v>44046</v>
      </c>
      <c r="B6409" s="1">
        <f t="shared" si="100"/>
        <v>14</v>
      </c>
    </row>
    <row r="6410" spans="1:2">
      <c r="A6410" s="112">
        <v>44047</v>
      </c>
      <c r="B6410" s="1">
        <f t="shared" si="100"/>
        <v>15</v>
      </c>
    </row>
    <row r="6411" spans="1:2">
      <c r="A6411" s="112">
        <v>44048</v>
      </c>
      <c r="B6411" s="1">
        <f t="shared" si="100"/>
        <v>16</v>
      </c>
    </row>
    <row r="6412" spans="1:2">
      <c r="A6412" s="112">
        <v>44049</v>
      </c>
      <c r="B6412" s="1">
        <f t="shared" si="100"/>
        <v>17</v>
      </c>
    </row>
    <row r="6413" spans="1:2">
      <c r="A6413" s="112">
        <v>44050</v>
      </c>
      <c r="B6413" s="1">
        <f t="shared" si="100"/>
        <v>18</v>
      </c>
    </row>
    <row r="6414" spans="1:2">
      <c r="A6414" s="112">
        <v>44051</v>
      </c>
      <c r="B6414" s="1">
        <f t="shared" si="100"/>
        <v>19</v>
      </c>
    </row>
    <row r="6415" spans="1:2">
      <c r="A6415" s="112">
        <v>44052</v>
      </c>
      <c r="B6415" s="1">
        <f t="shared" si="100"/>
        <v>20</v>
      </c>
    </row>
    <row r="6416" spans="1:2">
      <c r="A6416" s="112">
        <v>44053</v>
      </c>
      <c r="B6416" s="1">
        <f t="shared" si="100"/>
        <v>21</v>
      </c>
    </row>
    <row r="6417" spans="1:2">
      <c r="A6417" s="112">
        <v>44054</v>
      </c>
      <c r="B6417" s="1">
        <f t="shared" si="100"/>
        <v>22</v>
      </c>
    </row>
    <row r="6418" spans="1:2">
      <c r="A6418" s="112">
        <v>44055</v>
      </c>
      <c r="B6418" s="1">
        <f t="shared" si="100"/>
        <v>23</v>
      </c>
    </row>
    <row r="6419" spans="1:2">
      <c r="A6419" s="112">
        <v>44056</v>
      </c>
      <c r="B6419" s="1">
        <f t="shared" si="100"/>
        <v>24</v>
      </c>
    </row>
    <row r="6420" spans="1:2">
      <c r="A6420" s="112">
        <v>44057</v>
      </c>
      <c r="B6420" s="1">
        <f t="shared" si="100"/>
        <v>25</v>
      </c>
    </row>
    <row r="6421" spans="1:2">
      <c r="A6421" s="112">
        <v>44058</v>
      </c>
      <c r="B6421" s="1">
        <f t="shared" si="100"/>
        <v>26</v>
      </c>
    </row>
    <row r="6422" spans="1:2">
      <c r="A6422" s="112">
        <v>44059</v>
      </c>
      <c r="B6422" s="1">
        <f t="shared" si="100"/>
        <v>27</v>
      </c>
    </row>
    <row r="6423" spans="1:2">
      <c r="A6423" s="112">
        <v>44060</v>
      </c>
      <c r="B6423" s="1">
        <f t="shared" si="100"/>
        <v>28</v>
      </c>
    </row>
    <row r="6424" spans="1:2">
      <c r="A6424" s="112">
        <v>44061</v>
      </c>
      <c r="B6424" s="1">
        <f t="shared" si="100"/>
        <v>29</v>
      </c>
    </row>
    <row r="6425" spans="1:2">
      <c r="A6425" s="112">
        <v>44062</v>
      </c>
      <c r="B6425" s="1">
        <f t="shared" si="100"/>
        <v>0</v>
      </c>
    </row>
    <row r="6426" spans="1:2">
      <c r="A6426" s="112">
        <v>44063</v>
      </c>
      <c r="B6426" s="1">
        <f t="shared" si="100"/>
        <v>1</v>
      </c>
    </row>
    <row r="6427" spans="1:2">
      <c r="A6427" s="112">
        <v>44064</v>
      </c>
      <c r="B6427" s="1">
        <f t="shared" si="100"/>
        <v>2</v>
      </c>
    </row>
    <row r="6428" spans="1:2">
      <c r="A6428" s="112">
        <v>44065</v>
      </c>
      <c r="B6428" s="1">
        <f t="shared" si="100"/>
        <v>3</v>
      </c>
    </row>
    <row r="6429" spans="1:2">
      <c r="A6429" s="112">
        <v>44066</v>
      </c>
      <c r="B6429" s="1">
        <f t="shared" si="100"/>
        <v>4</v>
      </c>
    </row>
    <row r="6430" spans="1:2">
      <c r="A6430" s="112">
        <v>44067</v>
      </c>
      <c r="B6430" s="1">
        <f t="shared" si="100"/>
        <v>5</v>
      </c>
    </row>
    <row r="6431" spans="1:2">
      <c r="A6431" s="112">
        <v>44068</v>
      </c>
      <c r="B6431" s="1">
        <f t="shared" si="100"/>
        <v>6</v>
      </c>
    </row>
    <row r="6432" spans="1:2">
      <c r="A6432" s="112">
        <v>44069</v>
      </c>
      <c r="B6432" s="1">
        <f t="shared" si="100"/>
        <v>7</v>
      </c>
    </row>
    <row r="6433" spans="1:2">
      <c r="A6433" s="112">
        <v>44070</v>
      </c>
      <c r="B6433" s="1">
        <f t="shared" si="100"/>
        <v>8</v>
      </c>
    </row>
    <row r="6434" spans="1:2">
      <c r="A6434" s="112">
        <v>44071</v>
      </c>
      <c r="B6434" s="1">
        <f t="shared" si="100"/>
        <v>9</v>
      </c>
    </row>
    <row r="6435" spans="1:2">
      <c r="A6435" s="112">
        <v>44072</v>
      </c>
      <c r="B6435" s="1">
        <f t="shared" si="100"/>
        <v>10</v>
      </c>
    </row>
    <row r="6436" spans="1:2">
      <c r="A6436" s="112">
        <v>44073</v>
      </c>
      <c r="B6436" s="1">
        <f t="shared" si="100"/>
        <v>11</v>
      </c>
    </row>
    <row r="6437" spans="1:2">
      <c r="A6437" s="112">
        <v>44074</v>
      </c>
      <c r="B6437" s="1">
        <f t="shared" si="100"/>
        <v>12</v>
      </c>
    </row>
    <row r="6438" spans="1:2">
      <c r="A6438" s="112">
        <v>44075</v>
      </c>
      <c r="B6438" s="1">
        <f t="shared" si="100"/>
        <v>13</v>
      </c>
    </row>
    <row r="6439" spans="1:2">
      <c r="A6439" s="112">
        <v>44076</v>
      </c>
      <c r="B6439" s="1">
        <f t="shared" si="100"/>
        <v>14</v>
      </c>
    </row>
    <row r="6440" spans="1:2">
      <c r="A6440" s="112">
        <v>44077</v>
      </c>
      <c r="B6440" s="1">
        <f t="shared" si="100"/>
        <v>15</v>
      </c>
    </row>
    <row r="6441" spans="1:2">
      <c r="A6441" s="112">
        <v>44078</v>
      </c>
      <c r="B6441" s="1">
        <f t="shared" si="100"/>
        <v>16</v>
      </c>
    </row>
    <row r="6442" spans="1:2">
      <c r="A6442" s="112">
        <v>44079</v>
      </c>
      <c r="B6442" s="1">
        <f t="shared" si="100"/>
        <v>17</v>
      </c>
    </row>
    <row r="6443" spans="1:2">
      <c r="A6443" s="112">
        <v>44080</v>
      </c>
      <c r="B6443" s="1">
        <f t="shared" si="100"/>
        <v>18</v>
      </c>
    </row>
    <row r="6444" spans="1:2">
      <c r="A6444" s="112">
        <v>44081</v>
      </c>
      <c r="B6444" s="1">
        <f t="shared" si="100"/>
        <v>19</v>
      </c>
    </row>
    <row r="6445" spans="1:2">
      <c r="A6445" s="112">
        <v>44082</v>
      </c>
      <c r="B6445" s="1">
        <f t="shared" si="100"/>
        <v>20</v>
      </c>
    </row>
    <row r="6446" spans="1:2">
      <c r="A6446" s="112">
        <v>44083</v>
      </c>
      <c r="B6446" s="1">
        <f t="shared" si="100"/>
        <v>21</v>
      </c>
    </row>
    <row r="6447" spans="1:2">
      <c r="A6447" s="112">
        <v>44084</v>
      </c>
      <c r="B6447" s="1">
        <f t="shared" si="100"/>
        <v>22</v>
      </c>
    </row>
    <row r="6448" spans="1:2">
      <c r="A6448" s="112">
        <v>44085</v>
      </c>
      <c r="B6448" s="1">
        <f t="shared" si="100"/>
        <v>23</v>
      </c>
    </row>
    <row r="6449" spans="1:2">
      <c r="A6449" s="112">
        <v>44086</v>
      </c>
      <c r="B6449" s="1">
        <f t="shared" si="100"/>
        <v>24</v>
      </c>
    </row>
    <row r="6450" spans="1:2">
      <c r="A6450" s="112">
        <v>44087</v>
      </c>
      <c r="B6450" s="1">
        <f t="shared" si="100"/>
        <v>25</v>
      </c>
    </row>
    <row r="6451" spans="1:2">
      <c r="A6451" s="112">
        <v>44088</v>
      </c>
      <c r="B6451" s="1">
        <f t="shared" si="100"/>
        <v>26</v>
      </c>
    </row>
    <row r="6452" spans="1:2">
      <c r="A6452" s="112">
        <v>44089</v>
      </c>
      <c r="B6452" s="1">
        <f t="shared" si="100"/>
        <v>27</v>
      </c>
    </row>
    <row r="6453" spans="1:2">
      <c r="A6453" s="112">
        <v>44090</v>
      </c>
      <c r="B6453" s="1">
        <f t="shared" si="100"/>
        <v>28</v>
      </c>
    </row>
    <row r="6454" spans="1:2">
      <c r="A6454" s="112">
        <v>44091</v>
      </c>
      <c r="B6454" s="1">
        <f t="shared" si="100"/>
        <v>0</v>
      </c>
    </row>
    <row r="6455" spans="1:2">
      <c r="A6455" s="112">
        <v>44092</v>
      </c>
      <c r="B6455" s="1">
        <f t="shared" si="100"/>
        <v>1</v>
      </c>
    </row>
    <row r="6456" spans="1:2">
      <c r="A6456" s="112">
        <v>44093</v>
      </c>
      <c r="B6456" s="1">
        <f t="shared" si="100"/>
        <v>2</v>
      </c>
    </row>
    <row r="6457" spans="1:2">
      <c r="A6457" s="112">
        <v>44094</v>
      </c>
      <c r="B6457" s="1">
        <f t="shared" si="100"/>
        <v>3</v>
      </c>
    </row>
    <row r="6458" spans="1:2">
      <c r="A6458" s="112">
        <v>44095</v>
      </c>
      <c r="B6458" s="1">
        <f t="shared" si="100"/>
        <v>4</v>
      </c>
    </row>
    <row r="6459" spans="1:2">
      <c r="A6459" s="112">
        <v>44096</v>
      </c>
      <c r="B6459" s="1">
        <f t="shared" si="100"/>
        <v>5</v>
      </c>
    </row>
    <row r="6460" spans="1:2">
      <c r="A6460" s="112">
        <v>44097</v>
      </c>
      <c r="B6460" s="1">
        <f t="shared" si="100"/>
        <v>6</v>
      </c>
    </row>
    <row r="6461" spans="1:2">
      <c r="A6461" s="112">
        <v>44098</v>
      </c>
      <c r="B6461" s="1">
        <f t="shared" si="100"/>
        <v>7</v>
      </c>
    </row>
    <row r="6462" spans="1:2">
      <c r="A6462" s="112">
        <v>44099</v>
      </c>
      <c r="B6462" s="1">
        <f t="shared" si="100"/>
        <v>8</v>
      </c>
    </row>
    <row r="6463" spans="1:2">
      <c r="A6463" s="112">
        <v>44100</v>
      </c>
      <c r="B6463" s="1">
        <f t="shared" si="100"/>
        <v>9</v>
      </c>
    </row>
    <row r="6464" spans="1:2">
      <c r="A6464" s="112">
        <v>44101</v>
      </c>
      <c r="B6464" s="1">
        <f t="shared" si="100"/>
        <v>10</v>
      </c>
    </row>
    <row r="6465" spans="1:2">
      <c r="A6465" s="112">
        <v>44102</v>
      </c>
      <c r="B6465" s="1">
        <f t="shared" si="100"/>
        <v>11</v>
      </c>
    </row>
    <row r="6466" spans="1:2">
      <c r="A6466" s="112">
        <v>44103</v>
      </c>
      <c r="B6466" s="1">
        <f t="shared" si="100"/>
        <v>12</v>
      </c>
    </row>
    <row r="6467" spans="1:2">
      <c r="A6467" s="112">
        <v>44104</v>
      </c>
      <c r="B6467" s="1">
        <f t="shared" ref="B6467:B6530" si="101">INT(MOD($G$2+A6467-$F$2,29.53))</f>
        <v>13</v>
      </c>
    </row>
    <row r="6468" spans="1:2">
      <c r="A6468" s="112">
        <v>44105</v>
      </c>
      <c r="B6468" s="1">
        <f t="shared" si="101"/>
        <v>14</v>
      </c>
    </row>
    <row r="6469" spans="1:2">
      <c r="A6469" s="112">
        <v>44106</v>
      </c>
      <c r="B6469" s="1">
        <f t="shared" si="101"/>
        <v>15</v>
      </c>
    </row>
    <row r="6470" spans="1:2">
      <c r="A6470" s="112">
        <v>44107</v>
      </c>
      <c r="B6470" s="1">
        <f t="shared" si="101"/>
        <v>16</v>
      </c>
    </row>
    <row r="6471" spans="1:2">
      <c r="A6471" s="112">
        <v>44108</v>
      </c>
      <c r="B6471" s="1">
        <f t="shared" si="101"/>
        <v>17</v>
      </c>
    </row>
    <row r="6472" spans="1:2">
      <c r="A6472" s="112">
        <v>44109</v>
      </c>
      <c r="B6472" s="1">
        <f t="shared" si="101"/>
        <v>18</v>
      </c>
    </row>
    <row r="6473" spans="1:2">
      <c r="A6473" s="112">
        <v>44110</v>
      </c>
      <c r="B6473" s="1">
        <f t="shared" si="101"/>
        <v>19</v>
      </c>
    </row>
    <row r="6474" spans="1:2">
      <c r="A6474" s="112">
        <v>44111</v>
      </c>
      <c r="B6474" s="1">
        <f t="shared" si="101"/>
        <v>20</v>
      </c>
    </row>
    <row r="6475" spans="1:2">
      <c r="A6475" s="112">
        <v>44112</v>
      </c>
      <c r="B6475" s="1">
        <f t="shared" si="101"/>
        <v>21</v>
      </c>
    </row>
    <row r="6476" spans="1:2">
      <c r="A6476" s="112">
        <v>44113</v>
      </c>
      <c r="B6476" s="1">
        <f t="shared" si="101"/>
        <v>22</v>
      </c>
    </row>
    <row r="6477" spans="1:2">
      <c r="A6477" s="112">
        <v>44114</v>
      </c>
      <c r="B6477" s="1">
        <f t="shared" si="101"/>
        <v>23</v>
      </c>
    </row>
    <row r="6478" spans="1:2">
      <c r="A6478" s="112">
        <v>44115</v>
      </c>
      <c r="B6478" s="1">
        <f t="shared" si="101"/>
        <v>24</v>
      </c>
    </row>
    <row r="6479" spans="1:2">
      <c r="A6479" s="112">
        <v>44116</v>
      </c>
      <c r="B6479" s="1">
        <f t="shared" si="101"/>
        <v>25</v>
      </c>
    </row>
    <row r="6480" spans="1:2">
      <c r="A6480" s="112">
        <v>44117</v>
      </c>
      <c r="B6480" s="1">
        <f t="shared" si="101"/>
        <v>26</v>
      </c>
    </row>
    <row r="6481" spans="1:2">
      <c r="A6481" s="112">
        <v>44118</v>
      </c>
      <c r="B6481" s="1">
        <f t="shared" si="101"/>
        <v>27</v>
      </c>
    </row>
    <row r="6482" spans="1:2">
      <c r="A6482" s="112">
        <v>44119</v>
      </c>
      <c r="B6482" s="1">
        <f t="shared" si="101"/>
        <v>28</v>
      </c>
    </row>
    <row r="6483" spans="1:2">
      <c r="A6483" s="112">
        <v>44120</v>
      </c>
      <c r="B6483" s="1">
        <f t="shared" si="101"/>
        <v>29</v>
      </c>
    </row>
    <row r="6484" spans="1:2">
      <c r="A6484" s="112">
        <v>44121</v>
      </c>
      <c r="B6484" s="1">
        <f t="shared" si="101"/>
        <v>0</v>
      </c>
    </row>
    <row r="6485" spans="1:2">
      <c r="A6485" s="112">
        <v>44122</v>
      </c>
      <c r="B6485" s="1">
        <f t="shared" si="101"/>
        <v>1</v>
      </c>
    </row>
    <row r="6486" spans="1:2">
      <c r="A6486" s="112">
        <v>44123</v>
      </c>
      <c r="B6486" s="1">
        <f t="shared" si="101"/>
        <v>2</v>
      </c>
    </row>
    <row r="6487" spans="1:2">
      <c r="A6487" s="112">
        <v>44124</v>
      </c>
      <c r="B6487" s="1">
        <f t="shared" si="101"/>
        <v>3</v>
      </c>
    </row>
    <row r="6488" spans="1:2">
      <c r="A6488" s="112">
        <v>44125</v>
      </c>
      <c r="B6488" s="1">
        <f t="shared" si="101"/>
        <v>4</v>
      </c>
    </row>
    <row r="6489" spans="1:2">
      <c r="A6489" s="112">
        <v>44126</v>
      </c>
      <c r="B6489" s="1">
        <f t="shared" si="101"/>
        <v>5</v>
      </c>
    </row>
    <row r="6490" spans="1:2">
      <c r="A6490" s="112">
        <v>44127</v>
      </c>
      <c r="B6490" s="1">
        <f t="shared" si="101"/>
        <v>6</v>
      </c>
    </row>
    <row r="6491" spans="1:2">
      <c r="A6491" s="112">
        <v>44128</v>
      </c>
      <c r="B6491" s="1">
        <f t="shared" si="101"/>
        <v>7</v>
      </c>
    </row>
    <row r="6492" spans="1:2">
      <c r="A6492" s="112">
        <v>44129</v>
      </c>
      <c r="B6492" s="1">
        <f t="shared" si="101"/>
        <v>8</v>
      </c>
    </row>
    <row r="6493" spans="1:2">
      <c r="A6493" s="112">
        <v>44130</v>
      </c>
      <c r="B6493" s="1">
        <f t="shared" si="101"/>
        <v>9</v>
      </c>
    </row>
    <row r="6494" spans="1:2">
      <c r="A6494" s="112">
        <v>44131</v>
      </c>
      <c r="B6494" s="1">
        <f t="shared" si="101"/>
        <v>10</v>
      </c>
    </row>
    <row r="6495" spans="1:2">
      <c r="A6495" s="112">
        <v>44132</v>
      </c>
      <c r="B6495" s="1">
        <f t="shared" si="101"/>
        <v>11</v>
      </c>
    </row>
    <row r="6496" spans="1:2">
      <c r="A6496" s="112">
        <v>44133</v>
      </c>
      <c r="B6496" s="1">
        <f t="shared" si="101"/>
        <v>12</v>
      </c>
    </row>
    <row r="6497" spans="1:2">
      <c r="A6497" s="112">
        <v>44134</v>
      </c>
      <c r="B6497" s="1">
        <f t="shared" si="101"/>
        <v>13</v>
      </c>
    </row>
    <row r="6498" spans="1:2">
      <c r="A6498" s="112">
        <v>44135</v>
      </c>
      <c r="B6498" s="1">
        <f t="shared" si="101"/>
        <v>14</v>
      </c>
    </row>
    <row r="6499" spans="1:2">
      <c r="A6499" s="112">
        <v>44136</v>
      </c>
      <c r="B6499" s="1">
        <f t="shared" si="101"/>
        <v>15</v>
      </c>
    </row>
    <row r="6500" spans="1:2">
      <c r="A6500" s="112">
        <v>44137</v>
      </c>
      <c r="B6500" s="1">
        <f t="shared" si="101"/>
        <v>16</v>
      </c>
    </row>
    <row r="6501" spans="1:2">
      <c r="A6501" s="112">
        <v>44138</v>
      </c>
      <c r="B6501" s="1">
        <f t="shared" si="101"/>
        <v>17</v>
      </c>
    </row>
    <row r="6502" spans="1:2">
      <c r="A6502" s="112">
        <v>44139</v>
      </c>
      <c r="B6502" s="1">
        <f t="shared" si="101"/>
        <v>18</v>
      </c>
    </row>
    <row r="6503" spans="1:2">
      <c r="A6503" s="112">
        <v>44140</v>
      </c>
      <c r="B6503" s="1">
        <f t="shared" si="101"/>
        <v>19</v>
      </c>
    </row>
    <row r="6504" spans="1:2">
      <c r="A6504" s="112">
        <v>44141</v>
      </c>
      <c r="B6504" s="1">
        <f t="shared" si="101"/>
        <v>20</v>
      </c>
    </row>
    <row r="6505" spans="1:2">
      <c r="A6505" s="112">
        <v>44142</v>
      </c>
      <c r="B6505" s="1">
        <f t="shared" si="101"/>
        <v>21</v>
      </c>
    </row>
    <row r="6506" spans="1:2">
      <c r="A6506" s="112">
        <v>44143</v>
      </c>
      <c r="B6506" s="1">
        <f t="shared" si="101"/>
        <v>22</v>
      </c>
    </row>
    <row r="6507" spans="1:2">
      <c r="A6507" s="112">
        <v>44144</v>
      </c>
      <c r="B6507" s="1">
        <f t="shared" si="101"/>
        <v>23</v>
      </c>
    </row>
    <row r="6508" spans="1:2">
      <c r="A6508" s="112">
        <v>44145</v>
      </c>
      <c r="B6508" s="1">
        <f t="shared" si="101"/>
        <v>24</v>
      </c>
    </row>
    <row r="6509" spans="1:2">
      <c r="A6509" s="112">
        <v>44146</v>
      </c>
      <c r="B6509" s="1">
        <f t="shared" si="101"/>
        <v>25</v>
      </c>
    </row>
    <row r="6510" spans="1:2">
      <c r="A6510" s="112">
        <v>44147</v>
      </c>
      <c r="B6510" s="1">
        <f t="shared" si="101"/>
        <v>26</v>
      </c>
    </row>
    <row r="6511" spans="1:2">
      <c r="A6511" s="112">
        <v>44148</v>
      </c>
      <c r="B6511" s="1">
        <f t="shared" si="101"/>
        <v>27</v>
      </c>
    </row>
    <row r="6512" spans="1:2">
      <c r="A6512" s="112">
        <v>44149</v>
      </c>
      <c r="B6512" s="1">
        <f t="shared" si="101"/>
        <v>28</v>
      </c>
    </row>
    <row r="6513" spans="1:2">
      <c r="A6513" s="112">
        <v>44150</v>
      </c>
      <c r="B6513" s="1">
        <f t="shared" si="101"/>
        <v>0</v>
      </c>
    </row>
    <row r="6514" spans="1:2">
      <c r="A6514" s="112">
        <v>44151</v>
      </c>
      <c r="B6514" s="1">
        <f t="shared" si="101"/>
        <v>1</v>
      </c>
    </row>
    <row r="6515" spans="1:2">
      <c r="A6515" s="112">
        <v>44152</v>
      </c>
      <c r="B6515" s="1">
        <f t="shared" si="101"/>
        <v>2</v>
      </c>
    </row>
    <row r="6516" spans="1:2">
      <c r="A6516" s="112">
        <v>44153</v>
      </c>
      <c r="B6516" s="1">
        <f t="shared" si="101"/>
        <v>3</v>
      </c>
    </row>
    <row r="6517" spans="1:2">
      <c r="A6517" s="112">
        <v>44154</v>
      </c>
      <c r="B6517" s="1">
        <f t="shared" si="101"/>
        <v>4</v>
      </c>
    </row>
    <row r="6518" spans="1:2">
      <c r="A6518" s="112">
        <v>44155</v>
      </c>
      <c r="B6518" s="1">
        <f t="shared" si="101"/>
        <v>5</v>
      </c>
    </row>
    <row r="6519" spans="1:2">
      <c r="A6519" s="112">
        <v>44156</v>
      </c>
      <c r="B6519" s="1">
        <f t="shared" si="101"/>
        <v>6</v>
      </c>
    </row>
    <row r="6520" spans="1:2">
      <c r="A6520" s="112">
        <v>44157</v>
      </c>
      <c r="B6520" s="1">
        <f t="shared" si="101"/>
        <v>7</v>
      </c>
    </row>
    <row r="6521" spans="1:2">
      <c r="A6521" s="112">
        <v>44158</v>
      </c>
      <c r="B6521" s="1">
        <f t="shared" si="101"/>
        <v>8</v>
      </c>
    </row>
    <row r="6522" spans="1:2">
      <c r="A6522" s="112">
        <v>44159</v>
      </c>
      <c r="B6522" s="1">
        <f t="shared" si="101"/>
        <v>9</v>
      </c>
    </row>
    <row r="6523" spans="1:2">
      <c r="A6523" s="112">
        <v>44160</v>
      </c>
      <c r="B6523" s="1">
        <f t="shared" si="101"/>
        <v>10</v>
      </c>
    </row>
    <row r="6524" spans="1:2">
      <c r="A6524" s="112">
        <v>44161</v>
      </c>
      <c r="B6524" s="1">
        <f t="shared" si="101"/>
        <v>11</v>
      </c>
    </row>
    <row r="6525" spans="1:2">
      <c r="A6525" s="112">
        <v>44162</v>
      </c>
      <c r="B6525" s="1">
        <f t="shared" si="101"/>
        <v>12</v>
      </c>
    </row>
    <row r="6526" spans="1:2">
      <c r="A6526" s="112">
        <v>44163</v>
      </c>
      <c r="B6526" s="1">
        <f t="shared" si="101"/>
        <v>13</v>
      </c>
    </row>
    <row r="6527" spans="1:2">
      <c r="A6527" s="112">
        <v>44164</v>
      </c>
      <c r="B6527" s="1">
        <f t="shared" si="101"/>
        <v>14</v>
      </c>
    </row>
    <row r="6528" spans="1:2">
      <c r="A6528" s="112">
        <v>44165</v>
      </c>
      <c r="B6528" s="1">
        <f t="shared" si="101"/>
        <v>15</v>
      </c>
    </row>
    <row r="6529" spans="1:2">
      <c r="A6529" s="112">
        <v>44166</v>
      </c>
      <c r="B6529" s="1">
        <f t="shared" si="101"/>
        <v>16</v>
      </c>
    </row>
    <row r="6530" spans="1:2">
      <c r="A6530" s="112">
        <v>44167</v>
      </c>
      <c r="B6530" s="1">
        <f t="shared" si="101"/>
        <v>17</v>
      </c>
    </row>
    <row r="6531" spans="1:2">
      <c r="A6531" s="112">
        <v>44168</v>
      </c>
      <c r="B6531" s="1">
        <f t="shared" ref="B6531:B6594" si="102">INT(MOD($G$2+A6531-$F$2,29.53))</f>
        <v>18</v>
      </c>
    </row>
    <row r="6532" spans="1:2">
      <c r="A6532" s="112">
        <v>44169</v>
      </c>
      <c r="B6532" s="1">
        <f t="shared" si="102"/>
        <v>19</v>
      </c>
    </row>
    <row r="6533" spans="1:2">
      <c r="A6533" s="112">
        <v>44170</v>
      </c>
      <c r="B6533" s="1">
        <f t="shared" si="102"/>
        <v>20</v>
      </c>
    </row>
    <row r="6534" spans="1:2">
      <c r="A6534" s="112">
        <v>44171</v>
      </c>
      <c r="B6534" s="1">
        <f t="shared" si="102"/>
        <v>21</v>
      </c>
    </row>
    <row r="6535" spans="1:2">
      <c r="A6535" s="112">
        <v>44172</v>
      </c>
      <c r="B6535" s="1">
        <f t="shared" si="102"/>
        <v>22</v>
      </c>
    </row>
    <row r="6536" spans="1:2">
      <c r="A6536" s="112">
        <v>44173</v>
      </c>
      <c r="B6536" s="1">
        <f t="shared" si="102"/>
        <v>23</v>
      </c>
    </row>
    <row r="6537" spans="1:2">
      <c r="A6537" s="112">
        <v>44174</v>
      </c>
      <c r="B6537" s="1">
        <f t="shared" si="102"/>
        <v>24</v>
      </c>
    </row>
    <row r="6538" spans="1:2">
      <c r="A6538" s="112">
        <v>44175</v>
      </c>
      <c r="B6538" s="1">
        <f t="shared" si="102"/>
        <v>25</v>
      </c>
    </row>
    <row r="6539" spans="1:2">
      <c r="A6539" s="112">
        <v>44176</v>
      </c>
      <c r="B6539" s="1">
        <f t="shared" si="102"/>
        <v>26</v>
      </c>
    </row>
    <row r="6540" spans="1:2">
      <c r="A6540" s="112">
        <v>44177</v>
      </c>
      <c r="B6540" s="1">
        <f t="shared" si="102"/>
        <v>27</v>
      </c>
    </row>
    <row r="6541" spans="1:2">
      <c r="A6541" s="112">
        <v>44178</v>
      </c>
      <c r="B6541" s="1">
        <f t="shared" si="102"/>
        <v>28</v>
      </c>
    </row>
    <row r="6542" spans="1:2">
      <c r="A6542" s="112">
        <v>44179</v>
      </c>
      <c r="B6542" s="1">
        <f t="shared" si="102"/>
        <v>29</v>
      </c>
    </row>
    <row r="6543" spans="1:2">
      <c r="A6543" s="112">
        <v>44180</v>
      </c>
      <c r="B6543" s="1">
        <f t="shared" si="102"/>
        <v>0</v>
      </c>
    </row>
    <row r="6544" spans="1:2">
      <c r="A6544" s="112">
        <v>44181</v>
      </c>
      <c r="B6544" s="1">
        <f t="shared" si="102"/>
        <v>1</v>
      </c>
    </row>
    <row r="6545" spans="1:2">
      <c r="A6545" s="112">
        <v>44182</v>
      </c>
      <c r="B6545" s="1">
        <f t="shared" si="102"/>
        <v>2</v>
      </c>
    </row>
    <row r="6546" spans="1:2">
      <c r="A6546" s="112">
        <v>44183</v>
      </c>
      <c r="B6546" s="1">
        <f t="shared" si="102"/>
        <v>3</v>
      </c>
    </row>
    <row r="6547" spans="1:2">
      <c r="A6547" s="112">
        <v>44184</v>
      </c>
      <c r="B6547" s="1">
        <f t="shared" si="102"/>
        <v>4</v>
      </c>
    </row>
    <row r="6548" spans="1:2">
      <c r="A6548" s="112">
        <v>44185</v>
      </c>
      <c r="B6548" s="1">
        <f t="shared" si="102"/>
        <v>5</v>
      </c>
    </row>
    <row r="6549" spans="1:2">
      <c r="A6549" s="112">
        <v>44186</v>
      </c>
      <c r="B6549" s="1">
        <f t="shared" si="102"/>
        <v>6</v>
      </c>
    </row>
    <row r="6550" spans="1:2">
      <c r="A6550" s="112">
        <v>44187</v>
      </c>
      <c r="B6550" s="1">
        <f t="shared" si="102"/>
        <v>7</v>
      </c>
    </row>
    <row r="6551" spans="1:2">
      <c r="A6551" s="112">
        <v>44188</v>
      </c>
      <c r="B6551" s="1">
        <f t="shared" si="102"/>
        <v>8</v>
      </c>
    </row>
    <row r="6552" spans="1:2">
      <c r="A6552" s="112">
        <v>44189</v>
      </c>
      <c r="B6552" s="1">
        <f t="shared" si="102"/>
        <v>9</v>
      </c>
    </row>
    <row r="6553" spans="1:2">
      <c r="A6553" s="112">
        <v>44190</v>
      </c>
      <c r="B6553" s="1">
        <f t="shared" si="102"/>
        <v>10</v>
      </c>
    </row>
    <row r="6554" spans="1:2">
      <c r="A6554" s="112">
        <v>44191</v>
      </c>
      <c r="B6554" s="1">
        <f t="shared" si="102"/>
        <v>11</v>
      </c>
    </row>
    <row r="6555" spans="1:2">
      <c r="A6555" s="112">
        <v>44192</v>
      </c>
      <c r="B6555" s="1">
        <f t="shared" si="102"/>
        <v>12</v>
      </c>
    </row>
    <row r="6556" spans="1:2">
      <c r="A6556" s="112">
        <v>44193</v>
      </c>
      <c r="B6556" s="1">
        <f t="shared" si="102"/>
        <v>13</v>
      </c>
    </row>
    <row r="6557" spans="1:2">
      <c r="A6557" s="112">
        <v>44194</v>
      </c>
      <c r="B6557" s="1">
        <f t="shared" si="102"/>
        <v>14</v>
      </c>
    </row>
    <row r="6558" spans="1:2">
      <c r="A6558" s="112">
        <v>44195</v>
      </c>
      <c r="B6558" s="1">
        <f t="shared" si="102"/>
        <v>15</v>
      </c>
    </row>
    <row r="6559" spans="1:2">
      <c r="A6559" s="112">
        <v>44196</v>
      </c>
      <c r="B6559" s="1">
        <f t="shared" si="102"/>
        <v>16</v>
      </c>
    </row>
    <row r="6560" spans="1:2">
      <c r="A6560" s="112">
        <v>44197</v>
      </c>
      <c r="B6560" s="1">
        <f t="shared" si="102"/>
        <v>17</v>
      </c>
    </row>
    <row r="6561" spans="1:2">
      <c r="A6561" s="112">
        <v>44198</v>
      </c>
      <c r="B6561" s="1">
        <f t="shared" si="102"/>
        <v>18</v>
      </c>
    </row>
    <row r="6562" spans="1:2">
      <c r="A6562" s="112">
        <v>44199</v>
      </c>
      <c r="B6562" s="1">
        <f t="shared" si="102"/>
        <v>19</v>
      </c>
    </row>
    <row r="6563" spans="1:2">
      <c r="A6563" s="112">
        <v>44200</v>
      </c>
      <c r="B6563" s="1">
        <f t="shared" si="102"/>
        <v>20</v>
      </c>
    </row>
    <row r="6564" spans="1:2">
      <c r="A6564" s="112">
        <v>44201</v>
      </c>
      <c r="B6564" s="1">
        <f t="shared" si="102"/>
        <v>21</v>
      </c>
    </row>
    <row r="6565" spans="1:2">
      <c r="A6565" s="112">
        <v>44202</v>
      </c>
      <c r="B6565" s="1">
        <f t="shared" si="102"/>
        <v>22</v>
      </c>
    </row>
    <row r="6566" spans="1:2">
      <c r="A6566" s="112">
        <v>44203</v>
      </c>
      <c r="B6566" s="1">
        <f t="shared" si="102"/>
        <v>23</v>
      </c>
    </row>
    <row r="6567" spans="1:2">
      <c r="A6567" s="112">
        <v>44204</v>
      </c>
      <c r="B6567" s="1">
        <f t="shared" si="102"/>
        <v>24</v>
      </c>
    </row>
    <row r="6568" spans="1:2">
      <c r="A6568" s="112">
        <v>44205</v>
      </c>
      <c r="B6568" s="1">
        <f t="shared" si="102"/>
        <v>25</v>
      </c>
    </row>
    <row r="6569" spans="1:2">
      <c r="A6569" s="112">
        <v>44206</v>
      </c>
      <c r="B6569" s="1">
        <f t="shared" si="102"/>
        <v>26</v>
      </c>
    </row>
    <row r="6570" spans="1:2">
      <c r="A6570" s="112">
        <v>44207</v>
      </c>
      <c r="B6570" s="1">
        <f t="shared" si="102"/>
        <v>27</v>
      </c>
    </row>
    <row r="6571" spans="1:2">
      <c r="A6571" s="112">
        <v>44208</v>
      </c>
      <c r="B6571" s="1">
        <f t="shared" si="102"/>
        <v>28</v>
      </c>
    </row>
    <row r="6572" spans="1:2">
      <c r="A6572" s="112">
        <v>44209</v>
      </c>
      <c r="B6572" s="1">
        <f t="shared" si="102"/>
        <v>29</v>
      </c>
    </row>
    <row r="6573" spans="1:2">
      <c r="A6573" s="112">
        <v>44210</v>
      </c>
      <c r="B6573" s="1">
        <f t="shared" si="102"/>
        <v>0</v>
      </c>
    </row>
    <row r="6574" spans="1:2">
      <c r="A6574" s="112">
        <v>44211</v>
      </c>
      <c r="B6574" s="1">
        <f t="shared" si="102"/>
        <v>1</v>
      </c>
    </row>
    <row r="6575" spans="1:2">
      <c r="A6575" s="112">
        <v>44212</v>
      </c>
      <c r="B6575" s="1">
        <f t="shared" si="102"/>
        <v>2</v>
      </c>
    </row>
    <row r="6576" spans="1:2">
      <c r="A6576" s="112">
        <v>44213</v>
      </c>
      <c r="B6576" s="1">
        <f t="shared" si="102"/>
        <v>3</v>
      </c>
    </row>
    <row r="6577" spans="1:2">
      <c r="A6577" s="112">
        <v>44214</v>
      </c>
      <c r="B6577" s="1">
        <f t="shared" si="102"/>
        <v>4</v>
      </c>
    </row>
    <row r="6578" spans="1:2">
      <c r="A6578" s="112">
        <v>44215</v>
      </c>
      <c r="B6578" s="1">
        <f t="shared" si="102"/>
        <v>5</v>
      </c>
    </row>
    <row r="6579" spans="1:2">
      <c r="A6579" s="112">
        <v>44216</v>
      </c>
      <c r="B6579" s="1">
        <f t="shared" si="102"/>
        <v>6</v>
      </c>
    </row>
    <row r="6580" spans="1:2">
      <c r="A6580" s="112">
        <v>44217</v>
      </c>
      <c r="B6580" s="1">
        <f t="shared" si="102"/>
        <v>7</v>
      </c>
    </row>
    <row r="6581" spans="1:2">
      <c r="A6581" s="112">
        <v>44218</v>
      </c>
      <c r="B6581" s="1">
        <f t="shared" si="102"/>
        <v>8</v>
      </c>
    </row>
    <row r="6582" spans="1:2">
      <c r="A6582" s="112">
        <v>44219</v>
      </c>
      <c r="B6582" s="1">
        <f t="shared" si="102"/>
        <v>9</v>
      </c>
    </row>
    <row r="6583" spans="1:2">
      <c r="A6583" s="112">
        <v>44220</v>
      </c>
      <c r="B6583" s="1">
        <f t="shared" si="102"/>
        <v>10</v>
      </c>
    </row>
    <row r="6584" spans="1:2">
      <c r="A6584" s="112">
        <v>44221</v>
      </c>
      <c r="B6584" s="1">
        <f t="shared" si="102"/>
        <v>11</v>
      </c>
    </row>
    <row r="6585" spans="1:2">
      <c r="A6585" s="112">
        <v>44222</v>
      </c>
      <c r="B6585" s="1">
        <f t="shared" si="102"/>
        <v>12</v>
      </c>
    </row>
    <row r="6586" spans="1:2">
      <c r="A6586" s="112">
        <v>44223</v>
      </c>
      <c r="B6586" s="1">
        <f t="shared" si="102"/>
        <v>13</v>
      </c>
    </row>
    <row r="6587" spans="1:2">
      <c r="A6587" s="112">
        <v>44224</v>
      </c>
      <c r="B6587" s="1">
        <f t="shared" si="102"/>
        <v>14</v>
      </c>
    </row>
    <row r="6588" spans="1:2">
      <c r="A6588" s="112">
        <v>44225</v>
      </c>
      <c r="B6588" s="1">
        <f t="shared" si="102"/>
        <v>15</v>
      </c>
    </row>
    <row r="6589" spans="1:2">
      <c r="A6589" s="112">
        <v>44226</v>
      </c>
      <c r="B6589" s="1">
        <f t="shared" si="102"/>
        <v>16</v>
      </c>
    </row>
    <row r="6590" spans="1:2">
      <c r="A6590" s="112">
        <v>44227</v>
      </c>
      <c r="B6590" s="1">
        <f t="shared" si="102"/>
        <v>17</v>
      </c>
    </row>
    <row r="6591" spans="1:2">
      <c r="A6591" s="112">
        <v>44228</v>
      </c>
      <c r="B6591" s="1">
        <f t="shared" si="102"/>
        <v>18</v>
      </c>
    </row>
    <row r="6592" spans="1:2">
      <c r="A6592" s="112">
        <v>44229</v>
      </c>
      <c r="B6592" s="1">
        <f t="shared" si="102"/>
        <v>19</v>
      </c>
    </row>
    <row r="6593" spans="1:2">
      <c r="A6593" s="112">
        <v>44230</v>
      </c>
      <c r="B6593" s="1">
        <f t="shared" si="102"/>
        <v>20</v>
      </c>
    </row>
    <row r="6594" spans="1:2">
      <c r="A6594" s="112">
        <v>44231</v>
      </c>
      <c r="B6594" s="1">
        <f t="shared" si="102"/>
        <v>21</v>
      </c>
    </row>
    <row r="6595" spans="1:2">
      <c r="A6595" s="112">
        <v>44232</v>
      </c>
      <c r="B6595" s="1">
        <f t="shared" ref="B6595:B6658" si="103">INT(MOD($G$2+A6595-$F$2,29.53))</f>
        <v>22</v>
      </c>
    </row>
    <row r="6596" spans="1:2">
      <c r="A6596" s="112">
        <v>44233</v>
      </c>
      <c r="B6596" s="1">
        <f t="shared" si="103"/>
        <v>23</v>
      </c>
    </row>
    <row r="6597" spans="1:2">
      <c r="A6597" s="112">
        <v>44234</v>
      </c>
      <c r="B6597" s="1">
        <f t="shared" si="103"/>
        <v>24</v>
      </c>
    </row>
    <row r="6598" spans="1:2">
      <c r="A6598" s="112">
        <v>44235</v>
      </c>
      <c r="B6598" s="1">
        <f t="shared" si="103"/>
        <v>25</v>
      </c>
    </row>
    <row r="6599" spans="1:2">
      <c r="A6599" s="112">
        <v>44236</v>
      </c>
      <c r="B6599" s="1">
        <f t="shared" si="103"/>
        <v>26</v>
      </c>
    </row>
    <row r="6600" spans="1:2">
      <c r="A6600" s="112">
        <v>44237</v>
      </c>
      <c r="B6600" s="1">
        <f t="shared" si="103"/>
        <v>27</v>
      </c>
    </row>
    <row r="6601" spans="1:2">
      <c r="A6601" s="112">
        <v>44238</v>
      </c>
      <c r="B6601" s="1">
        <f t="shared" si="103"/>
        <v>28</v>
      </c>
    </row>
    <row r="6602" spans="1:2">
      <c r="A6602" s="112">
        <v>44239</v>
      </c>
      <c r="B6602" s="1">
        <f t="shared" si="103"/>
        <v>0</v>
      </c>
    </row>
    <row r="6603" spans="1:2">
      <c r="A6603" s="112">
        <v>44240</v>
      </c>
      <c r="B6603" s="1">
        <f t="shared" si="103"/>
        <v>1</v>
      </c>
    </row>
    <row r="6604" spans="1:2">
      <c r="A6604" s="112">
        <v>44241</v>
      </c>
      <c r="B6604" s="1">
        <f t="shared" si="103"/>
        <v>2</v>
      </c>
    </row>
    <row r="6605" spans="1:2">
      <c r="A6605" s="112">
        <v>44242</v>
      </c>
      <c r="B6605" s="1">
        <f t="shared" si="103"/>
        <v>3</v>
      </c>
    </row>
    <row r="6606" spans="1:2">
      <c r="A6606" s="112">
        <v>44243</v>
      </c>
      <c r="B6606" s="1">
        <f t="shared" si="103"/>
        <v>4</v>
      </c>
    </row>
    <row r="6607" spans="1:2">
      <c r="A6607" s="112">
        <v>44244</v>
      </c>
      <c r="B6607" s="1">
        <f t="shared" si="103"/>
        <v>5</v>
      </c>
    </row>
    <row r="6608" spans="1:2">
      <c r="A6608" s="112">
        <v>44245</v>
      </c>
      <c r="B6608" s="1">
        <f t="shared" si="103"/>
        <v>6</v>
      </c>
    </row>
    <row r="6609" spans="1:2">
      <c r="A6609" s="112">
        <v>44246</v>
      </c>
      <c r="B6609" s="1">
        <f t="shared" si="103"/>
        <v>7</v>
      </c>
    </row>
    <row r="6610" spans="1:2">
      <c r="A6610" s="112">
        <v>44247</v>
      </c>
      <c r="B6610" s="1">
        <f t="shared" si="103"/>
        <v>8</v>
      </c>
    </row>
    <row r="6611" spans="1:2">
      <c r="A6611" s="112">
        <v>44248</v>
      </c>
      <c r="B6611" s="1">
        <f t="shared" si="103"/>
        <v>9</v>
      </c>
    </row>
    <row r="6612" spans="1:2">
      <c r="A6612" s="112">
        <v>44249</v>
      </c>
      <c r="B6612" s="1">
        <f t="shared" si="103"/>
        <v>10</v>
      </c>
    </row>
    <row r="6613" spans="1:2">
      <c r="A6613" s="112">
        <v>44250</v>
      </c>
      <c r="B6613" s="1">
        <f t="shared" si="103"/>
        <v>11</v>
      </c>
    </row>
    <row r="6614" spans="1:2">
      <c r="A6614" s="112">
        <v>44251</v>
      </c>
      <c r="B6614" s="1">
        <f t="shared" si="103"/>
        <v>12</v>
      </c>
    </row>
    <row r="6615" spans="1:2">
      <c r="A6615" s="112">
        <v>44252</v>
      </c>
      <c r="B6615" s="1">
        <f t="shared" si="103"/>
        <v>13</v>
      </c>
    </row>
    <row r="6616" spans="1:2">
      <c r="A6616" s="112">
        <v>44253</v>
      </c>
      <c r="B6616" s="1">
        <f t="shared" si="103"/>
        <v>14</v>
      </c>
    </row>
    <row r="6617" spans="1:2">
      <c r="A6617" s="112">
        <v>44254</v>
      </c>
      <c r="B6617" s="1">
        <f t="shared" si="103"/>
        <v>15</v>
      </c>
    </row>
    <row r="6618" spans="1:2">
      <c r="A6618" s="112">
        <v>44255</v>
      </c>
      <c r="B6618" s="1">
        <f t="shared" si="103"/>
        <v>16</v>
      </c>
    </row>
    <row r="6619" spans="1:2">
      <c r="A6619" s="112">
        <v>44256</v>
      </c>
      <c r="B6619" s="1">
        <f t="shared" si="103"/>
        <v>17</v>
      </c>
    </row>
    <row r="6620" spans="1:2">
      <c r="A6620" s="112">
        <v>44257</v>
      </c>
      <c r="B6620" s="1">
        <f t="shared" si="103"/>
        <v>18</v>
      </c>
    </row>
    <row r="6621" spans="1:2">
      <c r="A6621" s="112">
        <v>44258</v>
      </c>
      <c r="B6621" s="1">
        <f t="shared" si="103"/>
        <v>19</v>
      </c>
    </row>
    <row r="6622" spans="1:2">
      <c r="A6622" s="112">
        <v>44259</v>
      </c>
      <c r="B6622" s="1">
        <f t="shared" si="103"/>
        <v>20</v>
      </c>
    </row>
    <row r="6623" spans="1:2">
      <c r="A6623" s="112">
        <v>44260</v>
      </c>
      <c r="B6623" s="1">
        <f t="shared" si="103"/>
        <v>21</v>
      </c>
    </row>
    <row r="6624" spans="1:2">
      <c r="A6624" s="112">
        <v>44261</v>
      </c>
      <c r="B6624" s="1">
        <f t="shared" si="103"/>
        <v>22</v>
      </c>
    </row>
    <row r="6625" spans="1:2">
      <c r="A6625" s="112">
        <v>44262</v>
      </c>
      <c r="B6625" s="1">
        <f t="shared" si="103"/>
        <v>23</v>
      </c>
    </row>
    <row r="6626" spans="1:2">
      <c r="A6626" s="112">
        <v>44263</v>
      </c>
      <c r="B6626" s="1">
        <f t="shared" si="103"/>
        <v>24</v>
      </c>
    </row>
    <row r="6627" spans="1:2">
      <c r="A6627" s="112">
        <v>44264</v>
      </c>
      <c r="B6627" s="1">
        <f t="shared" si="103"/>
        <v>25</v>
      </c>
    </row>
    <row r="6628" spans="1:2">
      <c r="A6628" s="112">
        <v>44265</v>
      </c>
      <c r="B6628" s="1">
        <f t="shared" si="103"/>
        <v>26</v>
      </c>
    </row>
    <row r="6629" spans="1:2">
      <c r="A6629" s="112">
        <v>44266</v>
      </c>
      <c r="B6629" s="1">
        <f t="shared" si="103"/>
        <v>27</v>
      </c>
    </row>
    <row r="6630" spans="1:2">
      <c r="A6630" s="112">
        <v>44267</v>
      </c>
      <c r="B6630" s="1">
        <f t="shared" si="103"/>
        <v>28</v>
      </c>
    </row>
    <row r="6631" spans="1:2">
      <c r="A6631" s="112">
        <v>44268</v>
      </c>
      <c r="B6631" s="1">
        <f t="shared" si="103"/>
        <v>29</v>
      </c>
    </row>
    <row r="6632" spans="1:2">
      <c r="A6632" s="112">
        <v>44269</v>
      </c>
      <c r="B6632" s="1">
        <f t="shared" si="103"/>
        <v>0</v>
      </c>
    </row>
    <row r="6633" spans="1:2">
      <c r="A6633" s="112">
        <v>44270</v>
      </c>
      <c r="B6633" s="1">
        <f t="shared" si="103"/>
        <v>1</v>
      </c>
    </row>
    <row r="6634" spans="1:2">
      <c r="A6634" s="112">
        <v>44271</v>
      </c>
      <c r="B6634" s="1">
        <f t="shared" si="103"/>
        <v>2</v>
      </c>
    </row>
    <row r="6635" spans="1:2">
      <c r="A6635" s="112">
        <v>44272</v>
      </c>
      <c r="B6635" s="1">
        <f t="shared" si="103"/>
        <v>3</v>
      </c>
    </row>
    <row r="6636" spans="1:2">
      <c r="A6636" s="112">
        <v>44273</v>
      </c>
      <c r="B6636" s="1">
        <f t="shared" si="103"/>
        <v>4</v>
      </c>
    </row>
    <row r="6637" spans="1:2">
      <c r="A6637" s="112">
        <v>44274</v>
      </c>
      <c r="B6637" s="1">
        <f t="shared" si="103"/>
        <v>5</v>
      </c>
    </row>
    <row r="6638" spans="1:2">
      <c r="A6638" s="112">
        <v>44275</v>
      </c>
      <c r="B6638" s="1">
        <f t="shared" si="103"/>
        <v>6</v>
      </c>
    </row>
    <row r="6639" spans="1:2">
      <c r="A6639" s="112">
        <v>44276</v>
      </c>
      <c r="B6639" s="1">
        <f t="shared" si="103"/>
        <v>7</v>
      </c>
    </row>
    <row r="6640" spans="1:2">
      <c r="A6640" s="112">
        <v>44277</v>
      </c>
      <c r="B6640" s="1">
        <f t="shared" si="103"/>
        <v>8</v>
      </c>
    </row>
    <row r="6641" spans="1:2">
      <c r="A6641" s="112">
        <v>44278</v>
      </c>
      <c r="B6641" s="1">
        <f t="shared" si="103"/>
        <v>9</v>
      </c>
    </row>
    <row r="6642" spans="1:2">
      <c r="A6642" s="112">
        <v>44279</v>
      </c>
      <c r="B6642" s="1">
        <f t="shared" si="103"/>
        <v>10</v>
      </c>
    </row>
    <row r="6643" spans="1:2">
      <c r="A6643" s="112">
        <v>44280</v>
      </c>
      <c r="B6643" s="1">
        <f t="shared" si="103"/>
        <v>11</v>
      </c>
    </row>
    <row r="6644" spans="1:2">
      <c r="A6644" s="112">
        <v>44281</v>
      </c>
      <c r="B6644" s="1">
        <f t="shared" si="103"/>
        <v>12</v>
      </c>
    </row>
    <row r="6645" spans="1:2">
      <c r="A6645" s="112">
        <v>44282</v>
      </c>
      <c r="B6645" s="1">
        <f t="shared" si="103"/>
        <v>13</v>
      </c>
    </row>
    <row r="6646" spans="1:2">
      <c r="A6646" s="112">
        <v>44283</v>
      </c>
      <c r="B6646" s="1">
        <f t="shared" si="103"/>
        <v>14</v>
      </c>
    </row>
    <row r="6647" spans="1:2">
      <c r="A6647" s="112">
        <v>44284</v>
      </c>
      <c r="B6647" s="1">
        <f t="shared" si="103"/>
        <v>15</v>
      </c>
    </row>
    <row r="6648" spans="1:2">
      <c r="A6648" s="112">
        <v>44285</v>
      </c>
      <c r="B6648" s="1">
        <f t="shared" si="103"/>
        <v>16</v>
      </c>
    </row>
    <row r="6649" spans="1:2">
      <c r="A6649" s="112">
        <v>44286</v>
      </c>
      <c r="B6649" s="1">
        <f t="shared" si="103"/>
        <v>17</v>
      </c>
    </row>
    <row r="6650" spans="1:2">
      <c r="A6650" s="112">
        <v>44287</v>
      </c>
      <c r="B6650" s="1">
        <f t="shared" si="103"/>
        <v>18</v>
      </c>
    </row>
    <row r="6651" spans="1:2">
      <c r="A6651" s="112">
        <v>44288</v>
      </c>
      <c r="B6651" s="1">
        <f t="shared" si="103"/>
        <v>19</v>
      </c>
    </row>
    <row r="6652" spans="1:2">
      <c r="A6652" s="112">
        <v>44289</v>
      </c>
      <c r="B6652" s="1">
        <f t="shared" si="103"/>
        <v>20</v>
      </c>
    </row>
    <row r="6653" spans="1:2">
      <c r="A6653" s="112">
        <v>44290</v>
      </c>
      <c r="B6653" s="1">
        <f t="shared" si="103"/>
        <v>21</v>
      </c>
    </row>
    <row r="6654" spans="1:2">
      <c r="A6654" s="112">
        <v>44291</v>
      </c>
      <c r="B6654" s="1">
        <f t="shared" si="103"/>
        <v>22</v>
      </c>
    </row>
    <row r="6655" spans="1:2">
      <c r="A6655" s="112">
        <v>44292</v>
      </c>
      <c r="B6655" s="1">
        <f t="shared" si="103"/>
        <v>23</v>
      </c>
    </row>
    <row r="6656" spans="1:2">
      <c r="A6656" s="112">
        <v>44293</v>
      </c>
      <c r="B6656" s="1">
        <f t="shared" si="103"/>
        <v>24</v>
      </c>
    </row>
    <row r="6657" spans="1:2">
      <c r="A6657" s="112">
        <v>44294</v>
      </c>
      <c r="B6657" s="1">
        <f t="shared" si="103"/>
        <v>25</v>
      </c>
    </row>
    <row r="6658" spans="1:2">
      <c r="A6658" s="112">
        <v>44295</v>
      </c>
      <c r="B6658" s="1">
        <f t="shared" si="103"/>
        <v>26</v>
      </c>
    </row>
    <row r="6659" spans="1:2">
      <c r="A6659" s="112">
        <v>44296</v>
      </c>
      <c r="B6659" s="1">
        <f t="shared" ref="B6659:B6722" si="104">INT(MOD($G$2+A6659-$F$2,29.53))</f>
        <v>27</v>
      </c>
    </row>
    <row r="6660" spans="1:2">
      <c r="A6660" s="112">
        <v>44297</v>
      </c>
      <c r="B6660" s="1">
        <f t="shared" si="104"/>
        <v>28</v>
      </c>
    </row>
    <row r="6661" spans="1:2">
      <c r="A6661" s="112">
        <v>44298</v>
      </c>
      <c r="B6661" s="1">
        <f t="shared" si="104"/>
        <v>0</v>
      </c>
    </row>
    <row r="6662" spans="1:2">
      <c r="A6662" s="112">
        <v>44299</v>
      </c>
      <c r="B6662" s="1">
        <f t="shared" si="104"/>
        <v>1</v>
      </c>
    </row>
    <row r="6663" spans="1:2">
      <c r="A6663" s="112">
        <v>44300</v>
      </c>
      <c r="B6663" s="1">
        <f t="shared" si="104"/>
        <v>2</v>
      </c>
    </row>
    <row r="6664" spans="1:2">
      <c r="A6664" s="112">
        <v>44301</v>
      </c>
      <c r="B6664" s="1">
        <f t="shared" si="104"/>
        <v>3</v>
      </c>
    </row>
    <row r="6665" spans="1:2">
      <c r="A6665" s="112">
        <v>44302</v>
      </c>
      <c r="B6665" s="1">
        <f t="shared" si="104"/>
        <v>4</v>
      </c>
    </row>
    <row r="6666" spans="1:2">
      <c r="A6666" s="112">
        <v>44303</v>
      </c>
      <c r="B6666" s="1">
        <f t="shared" si="104"/>
        <v>5</v>
      </c>
    </row>
    <row r="6667" spans="1:2">
      <c r="A6667" s="112">
        <v>44304</v>
      </c>
      <c r="B6667" s="1">
        <f t="shared" si="104"/>
        <v>6</v>
      </c>
    </row>
    <row r="6668" spans="1:2">
      <c r="A6668" s="112">
        <v>44305</v>
      </c>
      <c r="B6668" s="1">
        <f t="shared" si="104"/>
        <v>7</v>
      </c>
    </row>
    <row r="6669" spans="1:2">
      <c r="A6669" s="112">
        <v>44306</v>
      </c>
      <c r="B6669" s="1">
        <f t="shared" si="104"/>
        <v>8</v>
      </c>
    </row>
    <row r="6670" spans="1:2">
      <c r="A6670" s="112">
        <v>44307</v>
      </c>
      <c r="B6670" s="1">
        <f t="shared" si="104"/>
        <v>9</v>
      </c>
    </row>
    <row r="6671" spans="1:2">
      <c r="A6671" s="112">
        <v>44308</v>
      </c>
      <c r="B6671" s="1">
        <f t="shared" si="104"/>
        <v>10</v>
      </c>
    </row>
    <row r="6672" spans="1:2">
      <c r="A6672" s="112">
        <v>44309</v>
      </c>
      <c r="B6672" s="1">
        <f t="shared" si="104"/>
        <v>11</v>
      </c>
    </row>
    <row r="6673" spans="1:2">
      <c r="A6673" s="112">
        <v>44310</v>
      </c>
      <c r="B6673" s="1">
        <f t="shared" si="104"/>
        <v>12</v>
      </c>
    </row>
    <row r="6674" spans="1:2">
      <c r="A6674" s="112">
        <v>44311</v>
      </c>
      <c r="B6674" s="1">
        <f t="shared" si="104"/>
        <v>13</v>
      </c>
    </row>
    <row r="6675" spans="1:2">
      <c r="A6675" s="112">
        <v>44312</v>
      </c>
      <c r="B6675" s="1">
        <f t="shared" si="104"/>
        <v>14</v>
      </c>
    </row>
    <row r="6676" spans="1:2">
      <c r="A6676" s="112">
        <v>44313</v>
      </c>
      <c r="B6676" s="1">
        <f t="shared" si="104"/>
        <v>15</v>
      </c>
    </row>
    <row r="6677" spans="1:2">
      <c r="A6677" s="112">
        <v>44314</v>
      </c>
      <c r="B6677" s="1">
        <f t="shared" si="104"/>
        <v>16</v>
      </c>
    </row>
    <row r="6678" spans="1:2">
      <c r="A6678" s="112">
        <v>44315</v>
      </c>
      <c r="B6678" s="1">
        <f t="shared" si="104"/>
        <v>17</v>
      </c>
    </row>
    <row r="6679" spans="1:2">
      <c r="A6679" s="112">
        <v>44316</v>
      </c>
      <c r="B6679" s="1">
        <f t="shared" si="104"/>
        <v>18</v>
      </c>
    </row>
    <row r="6680" spans="1:2">
      <c r="A6680" s="112">
        <v>44317</v>
      </c>
      <c r="B6680" s="1">
        <f t="shared" si="104"/>
        <v>19</v>
      </c>
    </row>
    <row r="6681" spans="1:2">
      <c r="A6681" s="112">
        <v>44318</v>
      </c>
      <c r="B6681" s="1">
        <f t="shared" si="104"/>
        <v>20</v>
      </c>
    </row>
    <row r="6682" spans="1:2">
      <c r="A6682" s="112">
        <v>44319</v>
      </c>
      <c r="B6682" s="1">
        <f t="shared" si="104"/>
        <v>21</v>
      </c>
    </row>
    <row r="6683" spans="1:2">
      <c r="A6683" s="112">
        <v>44320</v>
      </c>
      <c r="B6683" s="1">
        <f t="shared" si="104"/>
        <v>22</v>
      </c>
    </row>
    <row r="6684" spans="1:2">
      <c r="A6684" s="112">
        <v>44321</v>
      </c>
      <c r="B6684" s="1">
        <f t="shared" si="104"/>
        <v>23</v>
      </c>
    </row>
    <row r="6685" spans="1:2">
      <c r="A6685" s="112">
        <v>44322</v>
      </c>
      <c r="B6685" s="1">
        <f t="shared" si="104"/>
        <v>24</v>
      </c>
    </row>
    <row r="6686" spans="1:2">
      <c r="A6686" s="112">
        <v>44323</v>
      </c>
      <c r="B6686" s="1">
        <f t="shared" si="104"/>
        <v>25</v>
      </c>
    </row>
    <row r="6687" spans="1:2">
      <c r="A6687" s="112">
        <v>44324</v>
      </c>
      <c r="B6687" s="1">
        <f t="shared" si="104"/>
        <v>26</v>
      </c>
    </row>
    <row r="6688" spans="1:2">
      <c r="A6688" s="112">
        <v>44325</v>
      </c>
      <c r="B6688" s="1">
        <f t="shared" si="104"/>
        <v>27</v>
      </c>
    </row>
    <row r="6689" spans="1:2">
      <c r="A6689" s="112">
        <v>44326</v>
      </c>
      <c r="B6689" s="1">
        <f t="shared" si="104"/>
        <v>28</v>
      </c>
    </row>
    <row r="6690" spans="1:2">
      <c r="A6690" s="112">
        <v>44327</v>
      </c>
      <c r="B6690" s="1">
        <f t="shared" si="104"/>
        <v>29</v>
      </c>
    </row>
    <row r="6691" spans="1:2">
      <c r="A6691" s="112">
        <v>44328</v>
      </c>
      <c r="B6691" s="1">
        <f t="shared" si="104"/>
        <v>0</v>
      </c>
    </row>
    <row r="6692" spans="1:2">
      <c r="A6692" s="112">
        <v>44329</v>
      </c>
      <c r="B6692" s="1">
        <f t="shared" si="104"/>
        <v>1</v>
      </c>
    </row>
    <row r="6693" spans="1:2">
      <c r="A6693" s="112">
        <v>44330</v>
      </c>
      <c r="B6693" s="1">
        <f t="shared" si="104"/>
        <v>2</v>
      </c>
    </row>
    <row r="6694" spans="1:2">
      <c r="A6694" s="112">
        <v>44331</v>
      </c>
      <c r="B6694" s="1">
        <f t="shared" si="104"/>
        <v>3</v>
      </c>
    </row>
    <row r="6695" spans="1:2">
      <c r="A6695" s="112">
        <v>44332</v>
      </c>
      <c r="B6695" s="1">
        <f t="shared" si="104"/>
        <v>4</v>
      </c>
    </row>
    <row r="6696" spans="1:2">
      <c r="A6696" s="112">
        <v>44333</v>
      </c>
      <c r="B6696" s="1">
        <f t="shared" si="104"/>
        <v>5</v>
      </c>
    </row>
    <row r="6697" spans="1:2">
      <c r="A6697" s="112">
        <v>44334</v>
      </c>
      <c r="B6697" s="1">
        <f t="shared" si="104"/>
        <v>6</v>
      </c>
    </row>
    <row r="6698" spans="1:2">
      <c r="A6698" s="112">
        <v>44335</v>
      </c>
      <c r="B6698" s="1">
        <f t="shared" si="104"/>
        <v>7</v>
      </c>
    </row>
    <row r="6699" spans="1:2">
      <c r="A6699" s="112">
        <v>44336</v>
      </c>
      <c r="B6699" s="1">
        <f t="shared" si="104"/>
        <v>8</v>
      </c>
    </row>
    <row r="6700" spans="1:2">
      <c r="A6700" s="112">
        <v>44337</v>
      </c>
      <c r="B6700" s="1">
        <f t="shared" si="104"/>
        <v>9</v>
      </c>
    </row>
    <row r="6701" spans="1:2">
      <c r="A6701" s="112">
        <v>44338</v>
      </c>
      <c r="B6701" s="1">
        <f t="shared" si="104"/>
        <v>10</v>
      </c>
    </row>
    <row r="6702" spans="1:2">
      <c r="A6702" s="112">
        <v>44339</v>
      </c>
      <c r="B6702" s="1">
        <f t="shared" si="104"/>
        <v>11</v>
      </c>
    </row>
    <row r="6703" spans="1:2">
      <c r="A6703" s="112">
        <v>44340</v>
      </c>
      <c r="B6703" s="1">
        <f t="shared" si="104"/>
        <v>12</v>
      </c>
    </row>
    <row r="6704" spans="1:2">
      <c r="A6704" s="112">
        <v>44341</v>
      </c>
      <c r="B6704" s="1">
        <f t="shared" si="104"/>
        <v>13</v>
      </c>
    </row>
    <row r="6705" spans="1:2">
      <c r="A6705" s="112">
        <v>44342</v>
      </c>
      <c r="B6705" s="1">
        <f t="shared" si="104"/>
        <v>14</v>
      </c>
    </row>
    <row r="6706" spans="1:2">
      <c r="A6706" s="112">
        <v>44343</v>
      </c>
      <c r="B6706" s="1">
        <f t="shared" si="104"/>
        <v>15</v>
      </c>
    </row>
    <row r="6707" spans="1:2">
      <c r="A6707" s="112">
        <v>44344</v>
      </c>
      <c r="B6707" s="1">
        <f t="shared" si="104"/>
        <v>16</v>
      </c>
    </row>
    <row r="6708" spans="1:2">
      <c r="A6708" s="112">
        <v>44345</v>
      </c>
      <c r="B6708" s="1">
        <f t="shared" si="104"/>
        <v>17</v>
      </c>
    </row>
    <row r="6709" spans="1:2">
      <c r="A6709" s="112">
        <v>44346</v>
      </c>
      <c r="B6709" s="1">
        <f t="shared" si="104"/>
        <v>18</v>
      </c>
    </row>
    <row r="6710" spans="1:2">
      <c r="A6710" s="112">
        <v>44347</v>
      </c>
      <c r="B6710" s="1">
        <f t="shared" si="104"/>
        <v>19</v>
      </c>
    </row>
    <row r="6711" spans="1:2">
      <c r="A6711" s="112">
        <v>44348</v>
      </c>
      <c r="B6711" s="1">
        <f t="shared" si="104"/>
        <v>20</v>
      </c>
    </row>
    <row r="6712" spans="1:2">
      <c r="A6712" s="112">
        <v>44349</v>
      </c>
      <c r="B6712" s="1">
        <f t="shared" si="104"/>
        <v>21</v>
      </c>
    </row>
    <row r="6713" spans="1:2">
      <c r="A6713" s="112">
        <v>44350</v>
      </c>
      <c r="B6713" s="1">
        <f t="shared" si="104"/>
        <v>22</v>
      </c>
    </row>
    <row r="6714" spans="1:2">
      <c r="A6714" s="112">
        <v>44351</v>
      </c>
      <c r="B6714" s="1">
        <f t="shared" si="104"/>
        <v>23</v>
      </c>
    </row>
    <row r="6715" spans="1:2">
      <c r="A6715" s="112">
        <v>44352</v>
      </c>
      <c r="B6715" s="1">
        <f t="shared" si="104"/>
        <v>24</v>
      </c>
    </row>
    <row r="6716" spans="1:2">
      <c r="A6716" s="112">
        <v>44353</v>
      </c>
      <c r="B6716" s="1">
        <f t="shared" si="104"/>
        <v>25</v>
      </c>
    </row>
    <row r="6717" spans="1:2">
      <c r="A6717" s="112">
        <v>44354</v>
      </c>
      <c r="B6717" s="1">
        <f t="shared" si="104"/>
        <v>26</v>
      </c>
    </row>
    <row r="6718" spans="1:2">
      <c r="A6718" s="112">
        <v>44355</v>
      </c>
      <c r="B6718" s="1">
        <f t="shared" si="104"/>
        <v>27</v>
      </c>
    </row>
    <row r="6719" spans="1:2">
      <c r="A6719" s="112">
        <v>44356</v>
      </c>
      <c r="B6719" s="1">
        <f t="shared" si="104"/>
        <v>28</v>
      </c>
    </row>
    <row r="6720" spans="1:2">
      <c r="A6720" s="112">
        <v>44357</v>
      </c>
      <c r="B6720" s="1">
        <f t="shared" si="104"/>
        <v>0</v>
      </c>
    </row>
    <row r="6721" spans="1:2">
      <c r="A6721" s="112">
        <v>44358</v>
      </c>
      <c r="B6721" s="1">
        <f t="shared" si="104"/>
        <v>1</v>
      </c>
    </row>
    <row r="6722" spans="1:2">
      <c r="A6722" s="112">
        <v>44359</v>
      </c>
      <c r="B6722" s="1">
        <f t="shared" si="104"/>
        <v>2</v>
      </c>
    </row>
    <row r="6723" spans="1:2">
      <c r="A6723" s="112">
        <v>44360</v>
      </c>
      <c r="B6723" s="1">
        <f t="shared" ref="B6723:B6786" si="105">INT(MOD($G$2+A6723-$F$2,29.53))</f>
        <v>3</v>
      </c>
    </row>
    <row r="6724" spans="1:2">
      <c r="A6724" s="112">
        <v>44361</v>
      </c>
      <c r="B6724" s="1">
        <f t="shared" si="105"/>
        <v>4</v>
      </c>
    </row>
    <row r="6725" spans="1:2">
      <c r="A6725" s="112">
        <v>44362</v>
      </c>
      <c r="B6725" s="1">
        <f t="shared" si="105"/>
        <v>5</v>
      </c>
    </row>
    <row r="6726" spans="1:2">
      <c r="A6726" s="112">
        <v>44363</v>
      </c>
      <c r="B6726" s="1">
        <f t="shared" si="105"/>
        <v>6</v>
      </c>
    </row>
    <row r="6727" spans="1:2">
      <c r="A6727" s="112">
        <v>44364</v>
      </c>
      <c r="B6727" s="1">
        <f t="shared" si="105"/>
        <v>7</v>
      </c>
    </row>
    <row r="6728" spans="1:2">
      <c r="A6728" s="112">
        <v>44365</v>
      </c>
      <c r="B6728" s="1">
        <f t="shared" si="105"/>
        <v>8</v>
      </c>
    </row>
    <row r="6729" spans="1:2">
      <c r="A6729" s="112">
        <v>44366</v>
      </c>
      <c r="B6729" s="1">
        <f t="shared" si="105"/>
        <v>9</v>
      </c>
    </row>
    <row r="6730" spans="1:2">
      <c r="A6730" s="112">
        <v>44367</v>
      </c>
      <c r="B6730" s="1">
        <f t="shared" si="105"/>
        <v>10</v>
      </c>
    </row>
    <row r="6731" spans="1:2">
      <c r="A6731" s="112">
        <v>44368</v>
      </c>
      <c r="B6731" s="1">
        <f t="shared" si="105"/>
        <v>11</v>
      </c>
    </row>
    <row r="6732" spans="1:2">
      <c r="A6732" s="112">
        <v>44369</v>
      </c>
      <c r="B6732" s="1">
        <f t="shared" si="105"/>
        <v>12</v>
      </c>
    </row>
    <row r="6733" spans="1:2">
      <c r="A6733" s="112">
        <v>44370</v>
      </c>
      <c r="B6733" s="1">
        <f t="shared" si="105"/>
        <v>13</v>
      </c>
    </row>
    <row r="6734" spans="1:2">
      <c r="A6734" s="112">
        <v>44371</v>
      </c>
      <c r="B6734" s="1">
        <f t="shared" si="105"/>
        <v>14</v>
      </c>
    </row>
    <row r="6735" spans="1:2">
      <c r="A6735" s="112">
        <v>44372</v>
      </c>
      <c r="B6735" s="1">
        <f t="shared" si="105"/>
        <v>15</v>
      </c>
    </row>
    <row r="6736" spans="1:2">
      <c r="A6736" s="112">
        <v>44373</v>
      </c>
      <c r="B6736" s="1">
        <f t="shared" si="105"/>
        <v>16</v>
      </c>
    </row>
    <row r="6737" spans="1:2">
      <c r="A6737" s="112">
        <v>44374</v>
      </c>
      <c r="B6737" s="1">
        <f t="shared" si="105"/>
        <v>17</v>
      </c>
    </row>
    <row r="6738" spans="1:2">
      <c r="A6738" s="112">
        <v>44375</v>
      </c>
      <c r="B6738" s="1">
        <f t="shared" si="105"/>
        <v>18</v>
      </c>
    </row>
    <row r="6739" spans="1:2">
      <c r="A6739" s="112">
        <v>44376</v>
      </c>
      <c r="B6739" s="1">
        <f t="shared" si="105"/>
        <v>19</v>
      </c>
    </row>
    <row r="6740" spans="1:2">
      <c r="A6740" s="112">
        <v>44377</v>
      </c>
      <c r="B6740" s="1">
        <f t="shared" si="105"/>
        <v>20</v>
      </c>
    </row>
    <row r="6741" spans="1:2">
      <c r="A6741" s="112">
        <v>44378</v>
      </c>
      <c r="B6741" s="1">
        <f t="shared" si="105"/>
        <v>21</v>
      </c>
    </row>
    <row r="6742" spans="1:2">
      <c r="A6742" s="112">
        <v>44379</v>
      </c>
      <c r="B6742" s="1">
        <f t="shared" si="105"/>
        <v>22</v>
      </c>
    </row>
    <row r="6743" spans="1:2">
      <c r="A6743" s="112">
        <v>44380</v>
      </c>
      <c r="B6743" s="1">
        <f t="shared" si="105"/>
        <v>23</v>
      </c>
    </row>
    <row r="6744" spans="1:2">
      <c r="A6744" s="112">
        <v>44381</v>
      </c>
      <c r="B6744" s="1">
        <f t="shared" si="105"/>
        <v>24</v>
      </c>
    </row>
    <row r="6745" spans="1:2">
      <c r="A6745" s="112">
        <v>44382</v>
      </c>
      <c r="B6745" s="1">
        <f t="shared" si="105"/>
        <v>25</v>
      </c>
    </row>
    <row r="6746" spans="1:2">
      <c r="A6746" s="112">
        <v>44383</v>
      </c>
      <c r="B6746" s="1">
        <f t="shared" si="105"/>
        <v>26</v>
      </c>
    </row>
    <row r="6747" spans="1:2">
      <c r="A6747" s="112">
        <v>44384</v>
      </c>
      <c r="B6747" s="1">
        <f t="shared" si="105"/>
        <v>27</v>
      </c>
    </row>
    <row r="6748" spans="1:2">
      <c r="A6748" s="112">
        <v>44385</v>
      </c>
      <c r="B6748" s="1">
        <f t="shared" si="105"/>
        <v>28</v>
      </c>
    </row>
    <row r="6749" spans="1:2">
      <c r="A6749" s="112">
        <v>44386</v>
      </c>
      <c r="B6749" s="1">
        <f t="shared" si="105"/>
        <v>29</v>
      </c>
    </row>
    <row r="6750" spans="1:2">
      <c r="A6750" s="112">
        <v>44387</v>
      </c>
      <c r="B6750" s="1">
        <f t="shared" si="105"/>
        <v>0</v>
      </c>
    </row>
    <row r="6751" spans="1:2">
      <c r="A6751" s="112">
        <v>44388</v>
      </c>
      <c r="B6751" s="1">
        <f t="shared" si="105"/>
        <v>1</v>
      </c>
    </row>
    <row r="6752" spans="1:2">
      <c r="A6752" s="112">
        <v>44389</v>
      </c>
      <c r="B6752" s="1">
        <f t="shared" si="105"/>
        <v>2</v>
      </c>
    </row>
    <row r="6753" spans="1:2">
      <c r="A6753" s="112">
        <v>44390</v>
      </c>
      <c r="B6753" s="1">
        <f t="shared" si="105"/>
        <v>3</v>
      </c>
    </row>
    <row r="6754" spans="1:2">
      <c r="A6754" s="112">
        <v>44391</v>
      </c>
      <c r="B6754" s="1">
        <f t="shared" si="105"/>
        <v>4</v>
      </c>
    </row>
    <row r="6755" spans="1:2">
      <c r="A6755" s="112">
        <v>44392</v>
      </c>
      <c r="B6755" s="1">
        <f t="shared" si="105"/>
        <v>5</v>
      </c>
    </row>
    <row r="6756" spans="1:2">
      <c r="A6756" s="112">
        <v>44393</v>
      </c>
      <c r="B6756" s="1">
        <f t="shared" si="105"/>
        <v>6</v>
      </c>
    </row>
    <row r="6757" spans="1:2">
      <c r="A6757" s="112">
        <v>44394</v>
      </c>
      <c r="B6757" s="1">
        <f t="shared" si="105"/>
        <v>7</v>
      </c>
    </row>
    <row r="6758" spans="1:2">
      <c r="A6758" s="112">
        <v>44395</v>
      </c>
      <c r="B6758" s="1">
        <f t="shared" si="105"/>
        <v>8</v>
      </c>
    </row>
    <row r="6759" spans="1:2">
      <c r="A6759" s="112">
        <v>44396</v>
      </c>
      <c r="B6759" s="1">
        <f t="shared" si="105"/>
        <v>9</v>
      </c>
    </row>
    <row r="6760" spans="1:2">
      <c r="A6760" s="112">
        <v>44397</v>
      </c>
      <c r="B6760" s="1">
        <f t="shared" si="105"/>
        <v>10</v>
      </c>
    </row>
    <row r="6761" spans="1:2">
      <c r="A6761" s="112">
        <v>44398</v>
      </c>
      <c r="B6761" s="1">
        <f t="shared" si="105"/>
        <v>11</v>
      </c>
    </row>
    <row r="6762" spans="1:2">
      <c r="A6762" s="112">
        <v>44399</v>
      </c>
      <c r="B6762" s="1">
        <f t="shared" si="105"/>
        <v>12</v>
      </c>
    </row>
    <row r="6763" spans="1:2">
      <c r="A6763" s="112">
        <v>44400</v>
      </c>
      <c r="B6763" s="1">
        <f t="shared" si="105"/>
        <v>13</v>
      </c>
    </row>
    <row r="6764" spans="1:2">
      <c r="A6764" s="112">
        <v>44401</v>
      </c>
      <c r="B6764" s="1">
        <f t="shared" si="105"/>
        <v>14</v>
      </c>
    </row>
    <row r="6765" spans="1:2">
      <c r="A6765" s="112">
        <v>44402</v>
      </c>
      <c r="B6765" s="1">
        <f t="shared" si="105"/>
        <v>15</v>
      </c>
    </row>
    <row r="6766" spans="1:2">
      <c r="A6766" s="112">
        <v>44403</v>
      </c>
      <c r="B6766" s="1">
        <f t="shared" si="105"/>
        <v>16</v>
      </c>
    </row>
    <row r="6767" spans="1:2">
      <c r="A6767" s="112">
        <v>44404</v>
      </c>
      <c r="B6767" s="1">
        <f t="shared" si="105"/>
        <v>17</v>
      </c>
    </row>
    <row r="6768" spans="1:2">
      <c r="A6768" s="112">
        <v>44405</v>
      </c>
      <c r="B6768" s="1">
        <f t="shared" si="105"/>
        <v>18</v>
      </c>
    </row>
    <row r="6769" spans="1:2">
      <c r="A6769" s="112">
        <v>44406</v>
      </c>
      <c r="B6769" s="1">
        <f t="shared" si="105"/>
        <v>19</v>
      </c>
    </row>
    <row r="6770" spans="1:2">
      <c r="A6770" s="112">
        <v>44407</v>
      </c>
      <c r="B6770" s="1">
        <f t="shared" si="105"/>
        <v>20</v>
      </c>
    </row>
    <row r="6771" spans="1:2">
      <c r="A6771" s="112">
        <v>44408</v>
      </c>
      <c r="B6771" s="1">
        <f t="shared" si="105"/>
        <v>21</v>
      </c>
    </row>
    <row r="6772" spans="1:2">
      <c r="A6772" s="112">
        <v>44409</v>
      </c>
      <c r="B6772" s="1">
        <f t="shared" si="105"/>
        <v>22</v>
      </c>
    </row>
    <row r="6773" spans="1:2">
      <c r="A6773" s="112">
        <v>44410</v>
      </c>
      <c r="B6773" s="1">
        <f t="shared" si="105"/>
        <v>23</v>
      </c>
    </row>
    <row r="6774" spans="1:2">
      <c r="A6774" s="112">
        <v>44411</v>
      </c>
      <c r="B6774" s="1">
        <f t="shared" si="105"/>
        <v>24</v>
      </c>
    </row>
    <row r="6775" spans="1:2">
      <c r="A6775" s="112">
        <v>44412</v>
      </c>
      <c r="B6775" s="1">
        <f t="shared" si="105"/>
        <v>25</v>
      </c>
    </row>
    <row r="6776" spans="1:2">
      <c r="A6776" s="112">
        <v>44413</v>
      </c>
      <c r="B6776" s="1">
        <f t="shared" si="105"/>
        <v>26</v>
      </c>
    </row>
    <row r="6777" spans="1:2">
      <c r="A6777" s="112">
        <v>44414</v>
      </c>
      <c r="B6777" s="1">
        <f t="shared" si="105"/>
        <v>27</v>
      </c>
    </row>
    <row r="6778" spans="1:2">
      <c r="A6778" s="112">
        <v>44415</v>
      </c>
      <c r="B6778" s="1">
        <f t="shared" si="105"/>
        <v>28</v>
      </c>
    </row>
    <row r="6779" spans="1:2">
      <c r="A6779" s="112">
        <v>44416</v>
      </c>
      <c r="B6779" s="1">
        <f t="shared" si="105"/>
        <v>0</v>
      </c>
    </row>
    <row r="6780" spans="1:2">
      <c r="A6780" s="112">
        <v>44417</v>
      </c>
      <c r="B6780" s="1">
        <f t="shared" si="105"/>
        <v>1</v>
      </c>
    </row>
    <row r="6781" spans="1:2">
      <c r="A6781" s="112">
        <v>44418</v>
      </c>
      <c r="B6781" s="1">
        <f t="shared" si="105"/>
        <v>2</v>
      </c>
    </row>
    <row r="6782" spans="1:2">
      <c r="A6782" s="112">
        <v>44419</v>
      </c>
      <c r="B6782" s="1">
        <f t="shared" si="105"/>
        <v>3</v>
      </c>
    </row>
    <row r="6783" spans="1:2">
      <c r="A6783" s="112">
        <v>44420</v>
      </c>
      <c r="B6783" s="1">
        <f t="shared" si="105"/>
        <v>4</v>
      </c>
    </row>
    <row r="6784" spans="1:2">
      <c r="A6784" s="112">
        <v>44421</v>
      </c>
      <c r="B6784" s="1">
        <f t="shared" si="105"/>
        <v>5</v>
      </c>
    </row>
    <row r="6785" spans="1:2">
      <c r="A6785" s="112">
        <v>44422</v>
      </c>
      <c r="B6785" s="1">
        <f t="shared" si="105"/>
        <v>6</v>
      </c>
    </row>
    <row r="6786" spans="1:2">
      <c r="A6786" s="112">
        <v>44423</v>
      </c>
      <c r="B6786" s="1">
        <f t="shared" si="105"/>
        <v>7</v>
      </c>
    </row>
    <row r="6787" spans="1:2">
      <c r="A6787" s="112">
        <v>44424</v>
      </c>
      <c r="B6787" s="1">
        <f t="shared" ref="B6787:B6850" si="106">INT(MOD($G$2+A6787-$F$2,29.53))</f>
        <v>8</v>
      </c>
    </row>
    <row r="6788" spans="1:2">
      <c r="A6788" s="112">
        <v>44425</v>
      </c>
      <c r="B6788" s="1">
        <f t="shared" si="106"/>
        <v>9</v>
      </c>
    </row>
    <row r="6789" spans="1:2">
      <c r="A6789" s="112">
        <v>44426</v>
      </c>
      <c r="B6789" s="1">
        <f t="shared" si="106"/>
        <v>10</v>
      </c>
    </row>
    <row r="6790" spans="1:2">
      <c r="A6790" s="112">
        <v>44427</v>
      </c>
      <c r="B6790" s="1">
        <f t="shared" si="106"/>
        <v>11</v>
      </c>
    </row>
    <row r="6791" spans="1:2">
      <c r="A6791" s="112">
        <v>44428</v>
      </c>
      <c r="B6791" s="1">
        <f t="shared" si="106"/>
        <v>12</v>
      </c>
    </row>
    <row r="6792" spans="1:2">
      <c r="A6792" s="112">
        <v>44429</v>
      </c>
      <c r="B6792" s="1">
        <f t="shared" si="106"/>
        <v>13</v>
      </c>
    </row>
    <row r="6793" spans="1:2">
      <c r="A6793" s="112">
        <v>44430</v>
      </c>
      <c r="B6793" s="1">
        <f t="shared" si="106"/>
        <v>14</v>
      </c>
    </row>
    <row r="6794" spans="1:2">
      <c r="A6794" s="112">
        <v>44431</v>
      </c>
      <c r="B6794" s="1">
        <f t="shared" si="106"/>
        <v>15</v>
      </c>
    </row>
    <row r="6795" spans="1:2">
      <c r="A6795" s="112">
        <v>44432</v>
      </c>
      <c r="B6795" s="1">
        <f t="shared" si="106"/>
        <v>16</v>
      </c>
    </row>
    <row r="6796" spans="1:2">
      <c r="A6796" s="112">
        <v>44433</v>
      </c>
      <c r="B6796" s="1">
        <f t="shared" si="106"/>
        <v>17</v>
      </c>
    </row>
    <row r="6797" spans="1:2">
      <c r="A6797" s="112">
        <v>44434</v>
      </c>
      <c r="B6797" s="1">
        <f t="shared" si="106"/>
        <v>18</v>
      </c>
    </row>
    <row r="6798" spans="1:2">
      <c r="A6798" s="112">
        <v>44435</v>
      </c>
      <c r="B6798" s="1">
        <f t="shared" si="106"/>
        <v>19</v>
      </c>
    </row>
    <row r="6799" spans="1:2">
      <c r="A6799" s="112">
        <v>44436</v>
      </c>
      <c r="B6799" s="1">
        <f t="shared" si="106"/>
        <v>20</v>
      </c>
    </row>
    <row r="6800" spans="1:2">
      <c r="A6800" s="112">
        <v>44437</v>
      </c>
      <c r="B6800" s="1">
        <f t="shared" si="106"/>
        <v>21</v>
      </c>
    </row>
    <row r="6801" spans="1:2">
      <c r="A6801" s="112">
        <v>44438</v>
      </c>
      <c r="B6801" s="1">
        <f t="shared" si="106"/>
        <v>22</v>
      </c>
    </row>
    <row r="6802" spans="1:2">
      <c r="A6802" s="112">
        <v>44439</v>
      </c>
      <c r="B6802" s="1">
        <f t="shared" si="106"/>
        <v>23</v>
      </c>
    </row>
    <row r="6803" spans="1:2">
      <c r="A6803" s="112">
        <v>44440</v>
      </c>
      <c r="B6803" s="1">
        <f t="shared" si="106"/>
        <v>24</v>
      </c>
    </row>
    <row r="6804" spans="1:2">
      <c r="A6804" s="112">
        <v>44441</v>
      </c>
      <c r="B6804" s="1">
        <f t="shared" si="106"/>
        <v>25</v>
      </c>
    </row>
    <row r="6805" spans="1:2">
      <c r="A6805" s="112">
        <v>44442</v>
      </c>
      <c r="B6805" s="1">
        <f t="shared" si="106"/>
        <v>26</v>
      </c>
    </row>
    <row r="6806" spans="1:2">
      <c r="A6806" s="112">
        <v>44443</v>
      </c>
      <c r="B6806" s="1">
        <f t="shared" si="106"/>
        <v>27</v>
      </c>
    </row>
    <row r="6807" spans="1:2">
      <c r="A6807" s="112">
        <v>44444</v>
      </c>
      <c r="B6807" s="1">
        <f t="shared" si="106"/>
        <v>28</v>
      </c>
    </row>
    <row r="6808" spans="1:2">
      <c r="A6808" s="112">
        <v>44445</v>
      </c>
      <c r="B6808" s="1">
        <f t="shared" si="106"/>
        <v>29</v>
      </c>
    </row>
    <row r="6809" spans="1:2">
      <c r="A6809" s="112">
        <v>44446</v>
      </c>
      <c r="B6809" s="1">
        <f t="shared" si="106"/>
        <v>0</v>
      </c>
    </row>
    <row r="6810" spans="1:2">
      <c r="A6810" s="112">
        <v>44447</v>
      </c>
      <c r="B6810" s="1">
        <f t="shared" si="106"/>
        <v>1</v>
      </c>
    </row>
    <row r="6811" spans="1:2">
      <c r="A6811" s="112">
        <v>44448</v>
      </c>
      <c r="B6811" s="1">
        <f t="shared" si="106"/>
        <v>2</v>
      </c>
    </row>
    <row r="6812" spans="1:2">
      <c r="A6812" s="112">
        <v>44449</v>
      </c>
      <c r="B6812" s="1">
        <f t="shared" si="106"/>
        <v>3</v>
      </c>
    </row>
    <row r="6813" spans="1:2">
      <c r="A6813" s="112">
        <v>44450</v>
      </c>
      <c r="B6813" s="1">
        <f t="shared" si="106"/>
        <v>4</v>
      </c>
    </row>
    <row r="6814" spans="1:2">
      <c r="A6814" s="112">
        <v>44451</v>
      </c>
      <c r="B6814" s="1">
        <f t="shared" si="106"/>
        <v>5</v>
      </c>
    </row>
    <row r="6815" spans="1:2">
      <c r="A6815" s="112">
        <v>44452</v>
      </c>
      <c r="B6815" s="1">
        <f t="shared" si="106"/>
        <v>6</v>
      </c>
    </row>
    <row r="6816" spans="1:2">
      <c r="A6816" s="112">
        <v>44453</v>
      </c>
      <c r="B6816" s="1">
        <f t="shared" si="106"/>
        <v>7</v>
      </c>
    </row>
    <row r="6817" spans="1:2">
      <c r="A6817" s="112">
        <v>44454</v>
      </c>
      <c r="B6817" s="1">
        <f t="shared" si="106"/>
        <v>8</v>
      </c>
    </row>
    <row r="6818" spans="1:2">
      <c r="A6818" s="112">
        <v>44455</v>
      </c>
      <c r="B6818" s="1">
        <f t="shared" si="106"/>
        <v>9</v>
      </c>
    </row>
    <row r="6819" spans="1:2">
      <c r="A6819" s="112">
        <v>44456</v>
      </c>
      <c r="B6819" s="1">
        <f t="shared" si="106"/>
        <v>10</v>
      </c>
    </row>
    <row r="6820" spans="1:2">
      <c r="A6820" s="112">
        <v>44457</v>
      </c>
      <c r="B6820" s="1">
        <f t="shared" si="106"/>
        <v>11</v>
      </c>
    </row>
    <row r="6821" spans="1:2">
      <c r="A6821" s="112">
        <v>44458</v>
      </c>
      <c r="B6821" s="1">
        <f t="shared" si="106"/>
        <v>12</v>
      </c>
    </row>
    <row r="6822" spans="1:2">
      <c r="A6822" s="112">
        <v>44459</v>
      </c>
      <c r="B6822" s="1">
        <f t="shared" si="106"/>
        <v>13</v>
      </c>
    </row>
    <row r="6823" spans="1:2">
      <c r="A6823" s="112">
        <v>44460</v>
      </c>
      <c r="B6823" s="1">
        <f t="shared" si="106"/>
        <v>14</v>
      </c>
    </row>
    <row r="6824" spans="1:2">
      <c r="A6824" s="112">
        <v>44461</v>
      </c>
      <c r="B6824" s="1">
        <f t="shared" si="106"/>
        <v>15</v>
      </c>
    </row>
    <row r="6825" spans="1:2">
      <c r="A6825" s="112">
        <v>44462</v>
      </c>
      <c r="B6825" s="1">
        <f t="shared" si="106"/>
        <v>16</v>
      </c>
    </row>
    <row r="6826" spans="1:2">
      <c r="A6826" s="112">
        <v>44463</v>
      </c>
      <c r="B6826" s="1">
        <f t="shared" si="106"/>
        <v>17</v>
      </c>
    </row>
    <row r="6827" spans="1:2">
      <c r="A6827" s="112">
        <v>44464</v>
      </c>
      <c r="B6827" s="1">
        <f t="shared" si="106"/>
        <v>18</v>
      </c>
    </row>
    <row r="6828" spans="1:2">
      <c r="A6828" s="112">
        <v>44465</v>
      </c>
      <c r="B6828" s="1">
        <f t="shared" si="106"/>
        <v>19</v>
      </c>
    </row>
    <row r="6829" spans="1:2">
      <c r="A6829" s="112">
        <v>44466</v>
      </c>
      <c r="B6829" s="1">
        <f t="shared" si="106"/>
        <v>20</v>
      </c>
    </row>
    <row r="6830" spans="1:2">
      <c r="A6830" s="112">
        <v>44467</v>
      </c>
      <c r="B6830" s="1">
        <f t="shared" si="106"/>
        <v>21</v>
      </c>
    </row>
    <row r="6831" spans="1:2">
      <c r="A6831" s="112">
        <v>44468</v>
      </c>
      <c r="B6831" s="1">
        <f t="shared" si="106"/>
        <v>22</v>
      </c>
    </row>
    <row r="6832" spans="1:2">
      <c r="A6832" s="112">
        <v>44469</v>
      </c>
      <c r="B6832" s="1">
        <f t="shared" si="106"/>
        <v>23</v>
      </c>
    </row>
    <row r="6833" spans="1:2">
      <c r="A6833" s="112">
        <v>44470</v>
      </c>
      <c r="B6833" s="1">
        <f t="shared" si="106"/>
        <v>24</v>
      </c>
    </row>
    <row r="6834" spans="1:2">
      <c r="A6834" s="112">
        <v>44471</v>
      </c>
      <c r="B6834" s="1">
        <f t="shared" si="106"/>
        <v>25</v>
      </c>
    </row>
    <row r="6835" spans="1:2">
      <c r="A6835" s="112">
        <v>44472</v>
      </c>
      <c r="B6835" s="1">
        <f t="shared" si="106"/>
        <v>26</v>
      </c>
    </row>
    <row r="6836" spans="1:2">
      <c r="A6836" s="112">
        <v>44473</v>
      </c>
      <c r="B6836" s="1">
        <f t="shared" si="106"/>
        <v>27</v>
      </c>
    </row>
    <row r="6837" spans="1:2">
      <c r="A6837" s="112">
        <v>44474</v>
      </c>
      <c r="B6837" s="1">
        <f t="shared" si="106"/>
        <v>28</v>
      </c>
    </row>
    <row r="6838" spans="1:2">
      <c r="A6838" s="112">
        <v>44475</v>
      </c>
      <c r="B6838" s="1">
        <f t="shared" si="106"/>
        <v>0</v>
      </c>
    </row>
    <row r="6839" spans="1:2">
      <c r="A6839" s="112">
        <v>44476</v>
      </c>
      <c r="B6839" s="1">
        <f t="shared" si="106"/>
        <v>1</v>
      </c>
    </row>
    <row r="6840" spans="1:2">
      <c r="A6840" s="112">
        <v>44477</v>
      </c>
      <c r="B6840" s="1">
        <f t="shared" si="106"/>
        <v>2</v>
      </c>
    </row>
    <row r="6841" spans="1:2">
      <c r="A6841" s="112">
        <v>44478</v>
      </c>
      <c r="B6841" s="1">
        <f t="shared" si="106"/>
        <v>3</v>
      </c>
    </row>
    <row r="6842" spans="1:2">
      <c r="A6842" s="112">
        <v>44479</v>
      </c>
      <c r="B6842" s="1">
        <f t="shared" si="106"/>
        <v>4</v>
      </c>
    </row>
    <row r="6843" spans="1:2">
      <c r="A6843" s="112">
        <v>44480</v>
      </c>
      <c r="B6843" s="1">
        <f t="shared" si="106"/>
        <v>5</v>
      </c>
    </row>
    <row r="6844" spans="1:2">
      <c r="A6844" s="112">
        <v>44481</v>
      </c>
      <c r="B6844" s="1">
        <f t="shared" si="106"/>
        <v>6</v>
      </c>
    </row>
    <row r="6845" spans="1:2">
      <c r="A6845" s="112">
        <v>44482</v>
      </c>
      <c r="B6845" s="1">
        <f t="shared" si="106"/>
        <v>7</v>
      </c>
    </row>
    <row r="6846" spans="1:2">
      <c r="A6846" s="112">
        <v>44483</v>
      </c>
      <c r="B6846" s="1">
        <f t="shared" si="106"/>
        <v>8</v>
      </c>
    </row>
    <row r="6847" spans="1:2">
      <c r="A6847" s="112">
        <v>44484</v>
      </c>
      <c r="B6847" s="1">
        <f t="shared" si="106"/>
        <v>9</v>
      </c>
    </row>
    <row r="6848" spans="1:2">
      <c r="A6848" s="112">
        <v>44485</v>
      </c>
      <c r="B6848" s="1">
        <f t="shared" si="106"/>
        <v>10</v>
      </c>
    </row>
    <row r="6849" spans="1:2">
      <c r="A6849" s="112">
        <v>44486</v>
      </c>
      <c r="B6849" s="1">
        <f t="shared" si="106"/>
        <v>11</v>
      </c>
    </row>
    <row r="6850" spans="1:2">
      <c r="A6850" s="112">
        <v>44487</v>
      </c>
      <c r="B6850" s="1">
        <f t="shared" si="106"/>
        <v>12</v>
      </c>
    </row>
    <row r="6851" spans="1:2">
      <c r="A6851" s="112">
        <v>44488</v>
      </c>
      <c r="B6851" s="1">
        <f t="shared" ref="B6851:B6914" si="107">INT(MOD($G$2+A6851-$F$2,29.53))</f>
        <v>13</v>
      </c>
    </row>
    <row r="6852" spans="1:2">
      <c r="A6852" s="112">
        <v>44489</v>
      </c>
      <c r="B6852" s="1">
        <f t="shared" si="107"/>
        <v>14</v>
      </c>
    </row>
    <row r="6853" spans="1:2">
      <c r="A6853" s="112">
        <v>44490</v>
      </c>
      <c r="B6853" s="1">
        <f t="shared" si="107"/>
        <v>15</v>
      </c>
    </row>
    <row r="6854" spans="1:2">
      <c r="A6854" s="112">
        <v>44491</v>
      </c>
      <c r="B6854" s="1">
        <f t="shared" si="107"/>
        <v>16</v>
      </c>
    </row>
    <row r="6855" spans="1:2">
      <c r="A6855" s="112">
        <v>44492</v>
      </c>
      <c r="B6855" s="1">
        <f t="shared" si="107"/>
        <v>17</v>
      </c>
    </row>
    <row r="6856" spans="1:2">
      <c r="A6856" s="112">
        <v>44493</v>
      </c>
      <c r="B6856" s="1">
        <f t="shared" si="107"/>
        <v>18</v>
      </c>
    </row>
    <row r="6857" spans="1:2">
      <c r="A6857" s="112">
        <v>44494</v>
      </c>
      <c r="B6857" s="1">
        <f t="shared" si="107"/>
        <v>19</v>
      </c>
    </row>
    <row r="6858" spans="1:2">
      <c r="A6858" s="112">
        <v>44495</v>
      </c>
      <c r="B6858" s="1">
        <f t="shared" si="107"/>
        <v>20</v>
      </c>
    </row>
    <row r="6859" spans="1:2">
      <c r="A6859" s="112">
        <v>44496</v>
      </c>
      <c r="B6859" s="1">
        <f t="shared" si="107"/>
        <v>21</v>
      </c>
    </row>
    <row r="6860" spans="1:2">
      <c r="A6860" s="112">
        <v>44497</v>
      </c>
      <c r="B6860" s="1">
        <f t="shared" si="107"/>
        <v>22</v>
      </c>
    </row>
    <row r="6861" spans="1:2">
      <c r="A6861" s="112">
        <v>44498</v>
      </c>
      <c r="B6861" s="1">
        <f t="shared" si="107"/>
        <v>23</v>
      </c>
    </row>
    <row r="6862" spans="1:2">
      <c r="A6862" s="112">
        <v>44499</v>
      </c>
      <c r="B6862" s="1">
        <f t="shared" si="107"/>
        <v>24</v>
      </c>
    </row>
    <row r="6863" spans="1:2">
      <c r="A6863" s="112">
        <v>44500</v>
      </c>
      <c r="B6863" s="1">
        <f t="shared" si="107"/>
        <v>25</v>
      </c>
    </row>
    <row r="6864" spans="1:2">
      <c r="A6864" s="112">
        <v>44501</v>
      </c>
      <c r="B6864" s="1">
        <f t="shared" si="107"/>
        <v>26</v>
      </c>
    </row>
    <row r="6865" spans="1:2">
      <c r="A6865" s="112">
        <v>44502</v>
      </c>
      <c r="B6865" s="1">
        <f t="shared" si="107"/>
        <v>27</v>
      </c>
    </row>
    <row r="6866" spans="1:2">
      <c r="A6866" s="112">
        <v>44503</v>
      </c>
      <c r="B6866" s="1">
        <f t="shared" si="107"/>
        <v>28</v>
      </c>
    </row>
    <row r="6867" spans="1:2">
      <c r="A6867" s="112">
        <v>44504</v>
      </c>
      <c r="B6867" s="1">
        <f t="shared" si="107"/>
        <v>29</v>
      </c>
    </row>
    <row r="6868" spans="1:2">
      <c r="A6868" s="112">
        <v>44505</v>
      </c>
      <c r="B6868" s="1">
        <f t="shared" si="107"/>
        <v>0</v>
      </c>
    </row>
    <row r="6869" spans="1:2">
      <c r="A6869" s="112">
        <v>44506</v>
      </c>
      <c r="B6869" s="1">
        <f t="shared" si="107"/>
        <v>1</v>
      </c>
    </row>
    <row r="6870" spans="1:2">
      <c r="A6870" s="112">
        <v>44507</v>
      </c>
      <c r="B6870" s="1">
        <f t="shared" si="107"/>
        <v>2</v>
      </c>
    </row>
    <row r="6871" spans="1:2">
      <c r="A6871" s="112">
        <v>44508</v>
      </c>
      <c r="B6871" s="1">
        <f t="shared" si="107"/>
        <v>3</v>
      </c>
    </row>
    <row r="6872" spans="1:2">
      <c r="A6872" s="112">
        <v>44509</v>
      </c>
      <c r="B6872" s="1">
        <f t="shared" si="107"/>
        <v>4</v>
      </c>
    </row>
    <row r="6873" spans="1:2">
      <c r="A6873" s="112">
        <v>44510</v>
      </c>
      <c r="B6873" s="1">
        <f t="shared" si="107"/>
        <v>5</v>
      </c>
    </row>
    <row r="6874" spans="1:2">
      <c r="A6874" s="112">
        <v>44511</v>
      </c>
      <c r="B6874" s="1">
        <f t="shared" si="107"/>
        <v>6</v>
      </c>
    </row>
    <row r="6875" spans="1:2">
      <c r="A6875" s="112">
        <v>44512</v>
      </c>
      <c r="B6875" s="1">
        <f t="shared" si="107"/>
        <v>7</v>
      </c>
    </row>
    <row r="6876" spans="1:2">
      <c r="A6876" s="112">
        <v>44513</v>
      </c>
      <c r="B6876" s="1">
        <f t="shared" si="107"/>
        <v>8</v>
      </c>
    </row>
    <row r="6877" spans="1:2">
      <c r="A6877" s="112">
        <v>44514</v>
      </c>
      <c r="B6877" s="1">
        <f t="shared" si="107"/>
        <v>9</v>
      </c>
    </row>
    <row r="6878" spans="1:2">
      <c r="A6878" s="112">
        <v>44515</v>
      </c>
      <c r="B6878" s="1">
        <f t="shared" si="107"/>
        <v>10</v>
      </c>
    </row>
    <row r="6879" spans="1:2">
      <c r="A6879" s="112">
        <v>44516</v>
      </c>
      <c r="B6879" s="1">
        <f t="shared" si="107"/>
        <v>11</v>
      </c>
    </row>
    <row r="6880" spans="1:2">
      <c r="A6880" s="112">
        <v>44517</v>
      </c>
      <c r="B6880" s="1">
        <f t="shared" si="107"/>
        <v>12</v>
      </c>
    </row>
    <row r="6881" spans="1:2">
      <c r="A6881" s="112">
        <v>44518</v>
      </c>
      <c r="B6881" s="1">
        <f t="shared" si="107"/>
        <v>13</v>
      </c>
    </row>
    <row r="6882" spans="1:2">
      <c r="A6882" s="112">
        <v>44519</v>
      </c>
      <c r="B6882" s="1">
        <f t="shared" si="107"/>
        <v>14</v>
      </c>
    </row>
    <row r="6883" spans="1:2">
      <c r="A6883" s="112">
        <v>44520</v>
      </c>
      <c r="B6883" s="1">
        <f t="shared" si="107"/>
        <v>15</v>
      </c>
    </row>
    <row r="6884" spans="1:2">
      <c r="A6884" s="112">
        <v>44521</v>
      </c>
      <c r="B6884" s="1">
        <f t="shared" si="107"/>
        <v>16</v>
      </c>
    </row>
    <row r="6885" spans="1:2">
      <c r="A6885" s="112">
        <v>44522</v>
      </c>
      <c r="B6885" s="1">
        <f t="shared" si="107"/>
        <v>17</v>
      </c>
    </row>
    <row r="6886" spans="1:2">
      <c r="A6886" s="112">
        <v>44523</v>
      </c>
      <c r="B6886" s="1">
        <f t="shared" si="107"/>
        <v>18</v>
      </c>
    </row>
    <row r="6887" spans="1:2">
      <c r="A6887" s="112">
        <v>44524</v>
      </c>
      <c r="B6887" s="1">
        <f t="shared" si="107"/>
        <v>19</v>
      </c>
    </row>
    <row r="6888" spans="1:2">
      <c r="A6888" s="112">
        <v>44525</v>
      </c>
      <c r="B6888" s="1">
        <f t="shared" si="107"/>
        <v>20</v>
      </c>
    </row>
    <row r="6889" spans="1:2">
      <c r="A6889" s="112">
        <v>44526</v>
      </c>
      <c r="B6889" s="1">
        <f t="shared" si="107"/>
        <v>21</v>
      </c>
    </row>
    <row r="6890" spans="1:2">
      <c r="A6890" s="112">
        <v>44527</v>
      </c>
      <c r="B6890" s="1">
        <f t="shared" si="107"/>
        <v>22</v>
      </c>
    </row>
    <row r="6891" spans="1:2">
      <c r="A6891" s="112">
        <v>44528</v>
      </c>
      <c r="B6891" s="1">
        <f t="shared" si="107"/>
        <v>23</v>
      </c>
    </row>
    <row r="6892" spans="1:2">
      <c r="A6892" s="112">
        <v>44529</v>
      </c>
      <c r="B6892" s="1">
        <f t="shared" si="107"/>
        <v>24</v>
      </c>
    </row>
    <row r="6893" spans="1:2">
      <c r="A6893" s="112">
        <v>44530</v>
      </c>
      <c r="B6893" s="1">
        <f t="shared" si="107"/>
        <v>25</v>
      </c>
    </row>
    <row r="6894" spans="1:2">
      <c r="A6894" s="112">
        <v>44531</v>
      </c>
      <c r="B6894" s="1">
        <f t="shared" si="107"/>
        <v>26</v>
      </c>
    </row>
    <row r="6895" spans="1:2">
      <c r="A6895" s="112">
        <v>44532</v>
      </c>
      <c r="B6895" s="1">
        <f t="shared" si="107"/>
        <v>27</v>
      </c>
    </row>
    <row r="6896" spans="1:2">
      <c r="A6896" s="112">
        <v>44533</v>
      </c>
      <c r="B6896" s="1">
        <f t="shared" si="107"/>
        <v>28</v>
      </c>
    </row>
    <row r="6897" spans="1:2">
      <c r="A6897" s="112">
        <v>44534</v>
      </c>
      <c r="B6897" s="1">
        <f t="shared" si="107"/>
        <v>0</v>
      </c>
    </row>
    <row r="6898" spans="1:2">
      <c r="A6898" s="112">
        <v>44535</v>
      </c>
      <c r="B6898" s="1">
        <f t="shared" si="107"/>
        <v>1</v>
      </c>
    </row>
    <row r="6899" spans="1:2">
      <c r="A6899" s="112">
        <v>44536</v>
      </c>
      <c r="B6899" s="1">
        <f t="shared" si="107"/>
        <v>2</v>
      </c>
    </row>
    <row r="6900" spans="1:2">
      <c r="A6900" s="112">
        <v>44537</v>
      </c>
      <c r="B6900" s="1">
        <f t="shared" si="107"/>
        <v>3</v>
      </c>
    </row>
    <row r="6901" spans="1:2">
      <c r="A6901" s="112">
        <v>44538</v>
      </c>
      <c r="B6901" s="1">
        <f t="shared" si="107"/>
        <v>4</v>
      </c>
    </row>
    <row r="6902" spans="1:2">
      <c r="A6902" s="112">
        <v>44539</v>
      </c>
      <c r="B6902" s="1">
        <f t="shared" si="107"/>
        <v>5</v>
      </c>
    </row>
    <row r="6903" spans="1:2">
      <c r="A6903" s="112">
        <v>44540</v>
      </c>
      <c r="B6903" s="1">
        <f t="shared" si="107"/>
        <v>6</v>
      </c>
    </row>
    <row r="6904" spans="1:2">
      <c r="A6904" s="112">
        <v>44541</v>
      </c>
      <c r="B6904" s="1">
        <f t="shared" si="107"/>
        <v>7</v>
      </c>
    </row>
    <row r="6905" spans="1:2">
      <c r="A6905" s="112">
        <v>44542</v>
      </c>
      <c r="B6905" s="1">
        <f t="shared" si="107"/>
        <v>8</v>
      </c>
    </row>
    <row r="6906" spans="1:2">
      <c r="A6906" s="112">
        <v>44543</v>
      </c>
      <c r="B6906" s="1">
        <f t="shared" si="107"/>
        <v>9</v>
      </c>
    </row>
    <row r="6907" spans="1:2">
      <c r="A6907" s="112">
        <v>44544</v>
      </c>
      <c r="B6907" s="1">
        <f t="shared" si="107"/>
        <v>10</v>
      </c>
    </row>
    <row r="6908" spans="1:2">
      <c r="A6908" s="112">
        <v>44545</v>
      </c>
      <c r="B6908" s="1">
        <f t="shared" si="107"/>
        <v>11</v>
      </c>
    </row>
    <row r="6909" spans="1:2">
      <c r="A6909" s="112">
        <v>44546</v>
      </c>
      <c r="B6909" s="1">
        <f t="shared" si="107"/>
        <v>12</v>
      </c>
    </row>
    <row r="6910" spans="1:2">
      <c r="A6910" s="112">
        <v>44547</v>
      </c>
      <c r="B6910" s="1">
        <f t="shared" si="107"/>
        <v>13</v>
      </c>
    </row>
    <row r="6911" spans="1:2">
      <c r="A6911" s="112">
        <v>44548</v>
      </c>
      <c r="B6911" s="1">
        <f t="shared" si="107"/>
        <v>14</v>
      </c>
    </row>
    <row r="6912" spans="1:2">
      <c r="A6912" s="112">
        <v>44549</v>
      </c>
      <c r="B6912" s="1">
        <f t="shared" si="107"/>
        <v>15</v>
      </c>
    </row>
    <row r="6913" spans="1:2">
      <c r="A6913" s="112">
        <v>44550</v>
      </c>
      <c r="B6913" s="1">
        <f t="shared" si="107"/>
        <v>16</v>
      </c>
    </row>
    <row r="6914" spans="1:2">
      <c r="A6914" s="112">
        <v>44551</v>
      </c>
      <c r="B6914" s="1">
        <f t="shared" si="107"/>
        <v>17</v>
      </c>
    </row>
    <row r="6915" spans="1:2">
      <c r="A6915" s="112">
        <v>44552</v>
      </c>
      <c r="B6915" s="1">
        <f t="shared" ref="B6915:B6978" si="108">INT(MOD($G$2+A6915-$F$2,29.53))</f>
        <v>18</v>
      </c>
    </row>
    <row r="6916" spans="1:2">
      <c r="A6916" s="112">
        <v>44553</v>
      </c>
      <c r="B6916" s="1">
        <f t="shared" si="108"/>
        <v>19</v>
      </c>
    </row>
    <row r="6917" spans="1:2">
      <c r="A6917" s="112">
        <v>44554</v>
      </c>
      <c r="B6917" s="1">
        <f t="shared" si="108"/>
        <v>20</v>
      </c>
    </row>
    <row r="6918" spans="1:2">
      <c r="A6918" s="112">
        <v>44555</v>
      </c>
      <c r="B6918" s="1">
        <f t="shared" si="108"/>
        <v>21</v>
      </c>
    </row>
    <row r="6919" spans="1:2">
      <c r="A6919" s="112">
        <v>44556</v>
      </c>
      <c r="B6919" s="1">
        <f t="shared" si="108"/>
        <v>22</v>
      </c>
    </row>
    <row r="6920" spans="1:2">
      <c r="A6920" s="112">
        <v>44557</v>
      </c>
      <c r="B6920" s="1">
        <f t="shared" si="108"/>
        <v>23</v>
      </c>
    </row>
    <row r="6921" spans="1:2">
      <c r="A6921" s="112">
        <v>44558</v>
      </c>
      <c r="B6921" s="1">
        <f t="shared" si="108"/>
        <v>24</v>
      </c>
    </row>
    <row r="6922" spans="1:2">
      <c r="A6922" s="112">
        <v>44559</v>
      </c>
      <c r="B6922" s="1">
        <f t="shared" si="108"/>
        <v>25</v>
      </c>
    </row>
    <row r="6923" spans="1:2">
      <c r="A6923" s="112">
        <v>44560</v>
      </c>
      <c r="B6923" s="1">
        <f t="shared" si="108"/>
        <v>26</v>
      </c>
    </row>
    <row r="6924" spans="1:2">
      <c r="A6924" s="112">
        <v>44561</v>
      </c>
      <c r="B6924" s="1">
        <f t="shared" si="108"/>
        <v>27</v>
      </c>
    </row>
    <row r="6925" spans="1:2">
      <c r="A6925" s="112">
        <v>44562</v>
      </c>
      <c r="B6925" s="1">
        <f t="shared" si="108"/>
        <v>28</v>
      </c>
    </row>
    <row r="6926" spans="1:2">
      <c r="A6926" s="112">
        <v>44563</v>
      </c>
      <c r="B6926" s="1">
        <f t="shared" si="108"/>
        <v>29</v>
      </c>
    </row>
    <row r="6927" spans="1:2">
      <c r="A6927" s="112">
        <v>44564</v>
      </c>
      <c r="B6927" s="1">
        <f t="shared" si="108"/>
        <v>0</v>
      </c>
    </row>
    <row r="6928" spans="1:2">
      <c r="A6928" s="112">
        <v>44565</v>
      </c>
      <c r="B6928" s="1">
        <f t="shared" si="108"/>
        <v>1</v>
      </c>
    </row>
    <row r="6929" spans="1:2">
      <c r="A6929" s="112">
        <v>44566</v>
      </c>
      <c r="B6929" s="1">
        <f t="shared" si="108"/>
        <v>2</v>
      </c>
    </row>
    <row r="6930" spans="1:2">
      <c r="A6930" s="112">
        <v>44567</v>
      </c>
      <c r="B6930" s="1">
        <f t="shared" si="108"/>
        <v>3</v>
      </c>
    </row>
    <row r="6931" spans="1:2">
      <c r="A6931" s="112">
        <v>44568</v>
      </c>
      <c r="B6931" s="1">
        <f t="shared" si="108"/>
        <v>4</v>
      </c>
    </row>
    <row r="6932" spans="1:2">
      <c r="A6932" s="112">
        <v>44569</v>
      </c>
      <c r="B6932" s="1">
        <f t="shared" si="108"/>
        <v>5</v>
      </c>
    </row>
    <row r="6933" spans="1:2">
      <c r="A6933" s="112">
        <v>44570</v>
      </c>
      <c r="B6933" s="1">
        <f t="shared" si="108"/>
        <v>6</v>
      </c>
    </row>
    <row r="6934" spans="1:2">
      <c r="A6934" s="112">
        <v>44571</v>
      </c>
      <c r="B6934" s="1">
        <f t="shared" si="108"/>
        <v>7</v>
      </c>
    </row>
    <row r="6935" spans="1:2">
      <c r="A6935" s="112">
        <v>44572</v>
      </c>
      <c r="B6935" s="1">
        <f t="shared" si="108"/>
        <v>8</v>
      </c>
    </row>
    <row r="6936" spans="1:2">
      <c r="A6936" s="112">
        <v>44573</v>
      </c>
      <c r="B6936" s="1">
        <f t="shared" si="108"/>
        <v>9</v>
      </c>
    </row>
    <row r="6937" spans="1:2">
      <c r="A6937" s="112">
        <v>44574</v>
      </c>
      <c r="B6937" s="1">
        <f t="shared" si="108"/>
        <v>10</v>
      </c>
    </row>
    <row r="6938" spans="1:2">
      <c r="A6938" s="112">
        <v>44575</v>
      </c>
      <c r="B6938" s="1">
        <f t="shared" si="108"/>
        <v>11</v>
      </c>
    </row>
    <row r="6939" spans="1:2">
      <c r="A6939" s="112">
        <v>44576</v>
      </c>
      <c r="B6939" s="1">
        <f t="shared" si="108"/>
        <v>12</v>
      </c>
    </row>
    <row r="6940" spans="1:2">
      <c r="A6940" s="112">
        <v>44577</v>
      </c>
      <c r="B6940" s="1">
        <f t="shared" si="108"/>
        <v>13</v>
      </c>
    </row>
    <row r="6941" spans="1:2">
      <c r="A6941" s="112">
        <v>44578</v>
      </c>
      <c r="B6941" s="1">
        <f t="shared" si="108"/>
        <v>14</v>
      </c>
    </row>
    <row r="6942" spans="1:2">
      <c r="A6942" s="112">
        <v>44579</v>
      </c>
      <c r="B6942" s="1">
        <f t="shared" si="108"/>
        <v>15</v>
      </c>
    </row>
    <row r="6943" spans="1:2">
      <c r="A6943" s="112">
        <v>44580</v>
      </c>
      <c r="B6943" s="1">
        <f t="shared" si="108"/>
        <v>16</v>
      </c>
    </row>
    <row r="6944" spans="1:2">
      <c r="A6944" s="112">
        <v>44581</v>
      </c>
      <c r="B6944" s="1">
        <f t="shared" si="108"/>
        <v>17</v>
      </c>
    </row>
    <row r="6945" spans="1:2">
      <c r="A6945" s="112">
        <v>44582</v>
      </c>
      <c r="B6945" s="1">
        <f t="shared" si="108"/>
        <v>18</v>
      </c>
    </row>
    <row r="6946" spans="1:2">
      <c r="A6946" s="112">
        <v>44583</v>
      </c>
      <c r="B6946" s="1">
        <f t="shared" si="108"/>
        <v>19</v>
      </c>
    </row>
    <row r="6947" spans="1:2">
      <c r="A6947" s="112">
        <v>44584</v>
      </c>
      <c r="B6947" s="1">
        <f t="shared" si="108"/>
        <v>20</v>
      </c>
    </row>
    <row r="6948" spans="1:2">
      <c r="A6948" s="112">
        <v>44585</v>
      </c>
      <c r="B6948" s="1">
        <f t="shared" si="108"/>
        <v>21</v>
      </c>
    </row>
    <row r="6949" spans="1:2">
      <c r="A6949" s="112">
        <v>44586</v>
      </c>
      <c r="B6949" s="1">
        <f t="shared" si="108"/>
        <v>22</v>
      </c>
    </row>
    <row r="6950" spans="1:2">
      <c r="A6950" s="112">
        <v>44587</v>
      </c>
      <c r="B6950" s="1">
        <f t="shared" si="108"/>
        <v>23</v>
      </c>
    </row>
    <row r="6951" spans="1:2">
      <c r="A6951" s="112">
        <v>44588</v>
      </c>
      <c r="B6951" s="1">
        <f t="shared" si="108"/>
        <v>24</v>
      </c>
    </row>
    <row r="6952" spans="1:2">
      <c r="A6952" s="112">
        <v>44589</v>
      </c>
      <c r="B6952" s="1">
        <f t="shared" si="108"/>
        <v>25</v>
      </c>
    </row>
    <row r="6953" spans="1:2">
      <c r="A6953" s="112">
        <v>44590</v>
      </c>
      <c r="B6953" s="1">
        <f t="shared" si="108"/>
        <v>26</v>
      </c>
    </row>
    <row r="6954" spans="1:2">
      <c r="A6954" s="112">
        <v>44591</v>
      </c>
      <c r="B6954" s="1">
        <f t="shared" si="108"/>
        <v>27</v>
      </c>
    </row>
    <row r="6955" spans="1:2">
      <c r="A6955" s="112">
        <v>44592</v>
      </c>
      <c r="B6955" s="1">
        <f t="shared" si="108"/>
        <v>28</v>
      </c>
    </row>
    <row r="6956" spans="1:2">
      <c r="A6956" s="112">
        <v>44593</v>
      </c>
      <c r="B6956" s="1">
        <f t="shared" si="108"/>
        <v>0</v>
      </c>
    </row>
    <row r="6957" spans="1:2">
      <c r="A6957" s="112">
        <v>44594</v>
      </c>
      <c r="B6957" s="1">
        <f t="shared" si="108"/>
        <v>1</v>
      </c>
    </row>
    <row r="6958" spans="1:2">
      <c r="A6958" s="112">
        <v>44595</v>
      </c>
      <c r="B6958" s="1">
        <f t="shared" si="108"/>
        <v>2</v>
      </c>
    </row>
    <row r="6959" spans="1:2">
      <c r="A6959" s="112">
        <v>44596</v>
      </c>
      <c r="B6959" s="1">
        <f t="shared" si="108"/>
        <v>3</v>
      </c>
    </row>
    <row r="6960" spans="1:2">
      <c r="A6960" s="112">
        <v>44597</v>
      </c>
      <c r="B6960" s="1">
        <f t="shared" si="108"/>
        <v>4</v>
      </c>
    </row>
    <row r="6961" spans="1:2">
      <c r="A6961" s="112">
        <v>44598</v>
      </c>
      <c r="B6961" s="1">
        <f t="shared" si="108"/>
        <v>5</v>
      </c>
    </row>
    <row r="6962" spans="1:2">
      <c r="A6962" s="112">
        <v>44599</v>
      </c>
      <c r="B6962" s="1">
        <f t="shared" si="108"/>
        <v>6</v>
      </c>
    </row>
    <row r="6963" spans="1:2">
      <c r="A6963" s="112">
        <v>44600</v>
      </c>
      <c r="B6963" s="1">
        <f t="shared" si="108"/>
        <v>7</v>
      </c>
    </row>
    <row r="6964" spans="1:2">
      <c r="A6964" s="112">
        <v>44601</v>
      </c>
      <c r="B6964" s="1">
        <f t="shared" si="108"/>
        <v>8</v>
      </c>
    </row>
    <row r="6965" spans="1:2">
      <c r="A6965" s="112">
        <v>44602</v>
      </c>
      <c r="B6965" s="1">
        <f t="shared" si="108"/>
        <v>9</v>
      </c>
    </row>
    <row r="6966" spans="1:2">
      <c r="A6966" s="112">
        <v>44603</v>
      </c>
      <c r="B6966" s="1">
        <f t="shared" si="108"/>
        <v>10</v>
      </c>
    </row>
    <row r="6967" spans="1:2">
      <c r="A6967" s="112">
        <v>44604</v>
      </c>
      <c r="B6967" s="1">
        <f t="shared" si="108"/>
        <v>11</v>
      </c>
    </row>
    <row r="6968" spans="1:2">
      <c r="A6968" s="112">
        <v>44605</v>
      </c>
      <c r="B6968" s="1">
        <f t="shared" si="108"/>
        <v>12</v>
      </c>
    </row>
    <row r="6969" spans="1:2">
      <c r="A6969" s="112">
        <v>44606</v>
      </c>
      <c r="B6969" s="1">
        <f t="shared" si="108"/>
        <v>13</v>
      </c>
    </row>
    <row r="6970" spans="1:2">
      <c r="A6970" s="112">
        <v>44607</v>
      </c>
      <c r="B6970" s="1">
        <f t="shared" si="108"/>
        <v>14</v>
      </c>
    </row>
    <row r="6971" spans="1:2">
      <c r="A6971" s="112">
        <v>44608</v>
      </c>
      <c r="B6971" s="1">
        <f t="shared" si="108"/>
        <v>15</v>
      </c>
    </row>
    <row r="6972" spans="1:2">
      <c r="A6972" s="112">
        <v>44609</v>
      </c>
      <c r="B6972" s="1">
        <f t="shared" si="108"/>
        <v>16</v>
      </c>
    </row>
    <row r="6973" spans="1:2">
      <c r="A6973" s="112">
        <v>44610</v>
      </c>
      <c r="B6973" s="1">
        <f t="shared" si="108"/>
        <v>17</v>
      </c>
    </row>
    <row r="6974" spans="1:2">
      <c r="A6974" s="112">
        <v>44611</v>
      </c>
      <c r="B6974" s="1">
        <f t="shared" si="108"/>
        <v>18</v>
      </c>
    </row>
    <row r="6975" spans="1:2">
      <c r="A6975" s="112">
        <v>44612</v>
      </c>
      <c r="B6975" s="1">
        <f t="shared" si="108"/>
        <v>19</v>
      </c>
    </row>
    <row r="6976" spans="1:2">
      <c r="A6976" s="112">
        <v>44613</v>
      </c>
      <c r="B6976" s="1">
        <f t="shared" si="108"/>
        <v>20</v>
      </c>
    </row>
    <row r="6977" spans="1:2">
      <c r="A6977" s="112">
        <v>44614</v>
      </c>
      <c r="B6977" s="1">
        <f t="shared" si="108"/>
        <v>21</v>
      </c>
    </row>
    <row r="6978" spans="1:2">
      <c r="A6978" s="112">
        <v>44615</v>
      </c>
      <c r="B6978" s="1">
        <f t="shared" si="108"/>
        <v>22</v>
      </c>
    </row>
    <row r="6979" spans="1:2">
      <c r="A6979" s="112">
        <v>44616</v>
      </c>
      <c r="B6979" s="1">
        <f t="shared" ref="B6979:B7018" si="109">INT(MOD($G$2+A6979-$F$2,29.53))</f>
        <v>23</v>
      </c>
    </row>
    <row r="6980" spans="1:2">
      <c r="A6980" s="112">
        <v>44617</v>
      </c>
      <c r="B6980" s="1">
        <f t="shared" si="109"/>
        <v>24</v>
      </c>
    </row>
    <row r="6981" spans="1:2">
      <c r="A6981" s="112">
        <v>44618</v>
      </c>
      <c r="B6981" s="1">
        <f t="shared" si="109"/>
        <v>25</v>
      </c>
    </row>
    <row r="6982" spans="1:2">
      <c r="A6982" s="112">
        <v>44619</v>
      </c>
      <c r="B6982" s="1">
        <f t="shared" si="109"/>
        <v>26</v>
      </c>
    </row>
    <row r="6983" spans="1:2">
      <c r="A6983" s="112">
        <v>44620</v>
      </c>
      <c r="B6983" s="1">
        <f t="shared" si="109"/>
        <v>27</v>
      </c>
    </row>
    <row r="6984" spans="1:2">
      <c r="A6984" s="112">
        <v>44621</v>
      </c>
      <c r="B6984" s="1">
        <f t="shared" si="109"/>
        <v>28</v>
      </c>
    </row>
    <row r="6985" spans="1:2">
      <c r="A6985" s="112">
        <v>44622</v>
      </c>
      <c r="B6985" s="1">
        <f t="shared" si="109"/>
        <v>29</v>
      </c>
    </row>
    <row r="6986" spans="1:2">
      <c r="A6986" s="112">
        <v>44623</v>
      </c>
      <c r="B6986" s="1">
        <f t="shared" si="109"/>
        <v>0</v>
      </c>
    </row>
    <row r="6987" spans="1:2">
      <c r="A6987" s="112">
        <v>44624</v>
      </c>
      <c r="B6987" s="1">
        <f t="shared" si="109"/>
        <v>1</v>
      </c>
    </row>
    <row r="6988" spans="1:2">
      <c r="A6988" s="112">
        <v>44625</v>
      </c>
      <c r="B6988" s="1">
        <f t="shared" si="109"/>
        <v>2</v>
      </c>
    </row>
    <row r="6989" spans="1:2">
      <c r="A6989" s="112">
        <v>44626</v>
      </c>
      <c r="B6989" s="1">
        <f t="shared" si="109"/>
        <v>3</v>
      </c>
    </row>
    <row r="6990" spans="1:2">
      <c r="A6990" s="112">
        <v>44627</v>
      </c>
      <c r="B6990" s="1">
        <f t="shared" si="109"/>
        <v>4</v>
      </c>
    </row>
    <row r="6991" spans="1:2">
      <c r="A6991" s="112">
        <v>44628</v>
      </c>
      <c r="B6991" s="1">
        <f t="shared" si="109"/>
        <v>5</v>
      </c>
    </row>
    <row r="6992" spans="1:2">
      <c r="A6992" s="112">
        <v>44629</v>
      </c>
      <c r="B6992" s="1">
        <f t="shared" si="109"/>
        <v>6</v>
      </c>
    </row>
    <row r="6993" spans="1:2">
      <c r="A6993" s="112">
        <v>44630</v>
      </c>
      <c r="B6993" s="1">
        <f t="shared" si="109"/>
        <v>7</v>
      </c>
    </row>
    <row r="6994" spans="1:2">
      <c r="A6994" s="112">
        <v>44631</v>
      </c>
      <c r="B6994" s="1">
        <f t="shared" si="109"/>
        <v>8</v>
      </c>
    </row>
    <row r="6995" spans="1:2">
      <c r="A6995" s="112">
        <v>44632</v>
      </c>
      <c r="B6995" s="1">
        <f t="shared" si="109"/>
        <v>9</v>
      </c>
    </row>
    <row r="6996" spans="1:2">
      <c r="A6996" s="112">
        <v>44633</v>
      </c>
      <c r="B6996" s="1">
        <f t="shared" si="109"/>
        <v>10</v>
      </c>
    </row>
    <row r="6997" spans="1:2">
      <c r="A6997" s="112">
        <v>44634</v>
      </c>
      <c r="B6997" s="1">
        <f t="shared" si="109"/>
        <v>11</v>
      </c>
    </row>
    <row r="6998" spans="1:2">
      <c r="A6998" s="112">
        <v>44635</v>
      </c>
      <c r="B6998" s="1">
        <f t="shared" si="109"/>
        <v>12</v>
      </c>
    </row>
    <row r="6999" spans="1:2">
      <c r="A6999" s="112">
        <v>44636</v>
      </c>
      <c r="B6999" s="1">
        <f t="shared" si="109"/>
        <v>13</v>
      </c>
    </row>
    <row r="7000" spans="1:2">
      <c r="A7000" s="112">
        <v>44637</v>
      </c>
      <c r="B7000" s="1">
        <f t="shared" si="109"/>
        <v>14</v>
      </c>
    </row>
    <row r="7001" spans="1:2">
      <c r="A7001" s="112">
        <v>44638</v>
      </c>
      <c r="B7001" s="1">
        <f t="shared" si="109"/>
        <v>15</v>
      </c>
    </row>
    <row r="7002" spans="1:2">
      <c r="A7002" s="112">
        <v>44639</v>
      </c>
      <c r="B7002" s="1">
        <f t="shared" si="109"/>
        <v>16</v>
      </c>
    </row>
    <row r="7003" spans="1:2">
      <c r="A7003" s="112">
        <v>44640</v>
      </c>
      <c r="B7003" s="1">
        <f t="shared" si="109"/>
        <v>17</v>
      </c>
    </row>
    <row r="7004" spans="1:2">
      <c r="A7004" s="112">
        <v>44641</v>
      </c>
      <c r="B7004" s="1">
        <f t="shared" si="109"/>
        <v>18</v>
      </c>
    </row>
    <row r="7005" spans="1:2">
      <c r="A7005" s="112">
        <v>44642</v>
      </c>
      <c r="B7005" s="1">
        <f t="shared" si="109"/>
        <v>19</v>
      </c>
    </row>
    <row r="7006" spans="1:2">
      <c r="A7006" s="112">
        <v>44643</v>
      </c>
      <c r="B7006" s="1">
        <f t="shared" si="109"/>
        <v>20</v>
      </c>
    </row>
    <row r="7007" spans="1:2">
      <c r="A7007" s="112">
        <v>44644</v>
      </c>
      <c r="B7007" s="1">
        <f t="shared" si="109"/>
        <v>21</v>
      </c>
    </row>
    <row r="7008" spans="1:2">
      <c r="A7008" s="112">
        <v>44645</v>
      </c>
      <c r="B7008" s="1">
        <f t="shared" si="109"/>
        <v>22</v>
      </c>
    </row>
    <row r="7009" spans="1:2">
      <c r="A7009" s="112">
        <v>44646</v>
      </c>
      <c r="B7009" s="1">
        <f t="shared" si="109"/>
        <v>23</v>
      </c>
    </row>
    <row r="7010" spans="1:2">
      <c r="A7010" s="112">
        <v>44647</v>
      </c>
      <c r="B7010" s="1">
        <f t="shared" si="109"/>
        <v>24</v>
      </c>
    </row>
    <row r="7011" spans="1:2">
      <c r="A7011" s="112">
        <v>44648</v>
      </c>
      <c r="B7011" s="1">
        <f t="shared" si="109"/>
        <v>25</v>
      </c>
    </row>
    <row r="7012" spans="1:2">
      <c r="A7012" s="112">
        <v>44649</v>
      </c>
      <c r="B7012" s="1">
        <f t="shared" si="109"/>
        <v>26</v>
      </c>
    </row>
    <row r="7013" spans="1:2">
      <c r="A7013" s="112">
        <v>44650</v>
      </c>
      <c r="B7013" s="1">
        <f t="shared" si="109"/>
        <v>27</v>
      </c>
    </row>
    <row r="7014" spans="1:2">
      <c r="A7014" s="112">
        <v>44651</v>
      </c>
      <c r="B7014" s="1">
        <f t="shared" si="109"/>
        <v>28</v>
      </c>
    </row>
    <row r="7015" spans="1:2">
      <c r="A7015" s="112">
        <v>44652</v>
      </c>
      <c r="B7015" s="1">
        <f t="shared" si="109"/>
        <v>0</v>
      </c>
    </row>
    <row r="7016" spans="1:2">
      <c r="A7016" s="112">
        <v>44653</v>
      </c>
      <c r="B7016" s="1">
        <f t="shared" si="109"/>
        <v>1</v>
      </c>
    </row>
    <row r="7017" spans="1:2">
      <c r="A7017" s="112">
        <v>44654</v>
      </c>
      <c r="B7017" s="1">
        <f t="shared" si="109"/>
        <v>2</v>
      </c>
    </row>
    <row r="7018" spans="1:2">
      <c r="A7018" s="112">
        <v>44655</v>
      </c>
      <c r="B7018" s="1">
        <f t="shared" si="109"/>
        <v>3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:B3774"/>
  <sheetViews>
    <sheetView workbookViewId="0">
      <selection activeCell="H13" sqref="H13"/>
    </sheetView>
  </sheetViews>
  <sheetFormatPr baseColWidth="10" defaultRowHeight="15"/>
  <cols>
    <col min="2" max="2" width="16.5703125" customWidth="1"/>
  </cols>
  <sheetData>
    <row r="1" spans="1:2">
      <c r="A1" s="110" t="s">
        <v>103</v>
      </c>
      <c r="B1" s="111" t="s">
        <v>493</v>
      </c>
    </row>
    <row r="2" spans="1:2">
      <c r="A2" s="112">
        <v>40179</v>
      </c>
      <c r="B2" s="1">
        <v>98</v>
      </c>
    </row>
    <row r="3" spans="1:2">
      <c r="A3" s="112">
        <v>40180</v>
      </c>
      <c r="B3" s="1">
        <v>99</v>
      </c>
    </row>
    <row r="4" spans="1:2">
      <c r="A4" s="112">
        <v>40181</v>
      </c>
      <c r="B4" s="1">
        <v>96</v>
      </c>
    </row>
    <row r="5" spans="1:2">
      <c r="A5" s="112">
        <v>40182</v>
      </c>
      <c r="B5" s="1">
        <v>89</v>
      </c>
    </row>
    <row r="6" spans="1:2">
      <c r="A6" s="112">
        <v>40183</v>
      </c>
      <c r="B6" s="1">
        <v>78</v>
      </c>
    </row>
    <row r="7" spans="1:2">
      <c r="A7" s="112">
        <v>40184</v>
      </c>
      <c r="B7" s="1">
        <v>67</v>
      </c>
    </row>
    <row r="8" spans="1:2">
      <c r="A8" s="112">
        <v>40185</v>
      </c>
      <c r="B8" s="1">
        <v>56</v>
      </c>
    </row>
    <row r="9" spans="1:2">
      <c r="A9" s="112">
        <v>40186</v>
      </c>
      <c r="B9" s="1">
        <v>49</v>
      </c>
    </row>
    <row r="10" spans="1:2">
      <c r="A10" s="112">
        <v>40187</v>
      </c>
      <c r="B10" s="1">
        <v>47</v>
      </c>
    </row>
    <row r="11" spans="1:2">
      <c r="A11" s="112">
        <v>40188</v>
      </c>
      <c r="B11" s="1">
        <v>49</v>
      </c>
    </row>
    <row r="12" spans="1:2">
      <c r="A12" s="112">
        <v>40189</v>
      </c>
      <c r="B12" s="1">
        <v>56</v>
      </c>
    </row>
    <row r="13" spans="1:2">
      <c r="A13" s="112">
        <v>40190</v>
      </c>
      <c r="B13" s="1">
        <v>63</v>
      </c>
    </row>
    <row r="14" spans="1:2">
      <c r="A14" s="112">
        <v>40191</v>
      </c>
      <c r="B14" s="1">
        <v>69</v>
      </c>
    </row>
    <row r="15" spans="1:2">
      <c r="A15" s="112">
        <v>40192</v>
      </c>
      <c r="B15" s="1">
        <v>74</v>
      </c>
    </row>
    <row r="16" spans="1:2">
      <c r="A16" s="112">
        <v>40193</v>
      </c>
      <c r="B16" s="1">
        <v>78</v>
      </c>
    </row>
    <row r="17" spans="1:2">
      <c r="A17" s="112">
        <v>40194</v>
      </c>
      <c r="B17" s="1">
        <v>79</v>
      </c>
    </row>
    <row r="18" spans="1:2">
      <c r="A18" s="112">
        <v>40195</v>
      </c>
      <c r="B18" s="1">
        <v>78</v>
      </c>
    </row>
    <row r="19" spans="1:2">
      <c r="A19" s="112">
        <v>40196</v>
      </c>
      <c r="B19" s="1">
        <v>76</v>
      </c>
    </row>
    <row r="20" spans="1:2">
      <c r="A20" s="112">
        <v>40197</v>
      </c>
      <c r="B20" s="1">
        <v>72</v>
      </c>
    </row>
    <row r="21" spans="1:2">
      <c r="A21" s="112">
        <v>40198</v>
      </c>
      <c r="B21" s="1">
        <v>66</v>
      </c>
    </row>
    <row r="22" spans="1:2">
      <c r="A22" s="112">
        <v>40199</v>
      </c>
      <c r="B22" s="1">
        <v>59</v>
      </c>
    </row>
    <row r="23" spans="1:2">
      <c r="A23" s="112">
        <v>40200</v>
      </c>
      <c r="B23" s="1">
        <v>51</v>
      </c>
    </row>
    <row r="24" spans="1:2">
      <c r="A24" s="112">
        <v>40201</v>
      </c>
      <c r="B24" s="1">
        <v>45</v>
      </c>
    </row>
    <row r="25" spans="1:2">
      <c r="A25" s="112">
        <v>40202</v>
      </c>
      <c r="B25" s="1">
        <v>42</v>
      </c>
    </row>
    <row r="26" spans="1:2">
      <c r="A26" s="112">
        <v>40203</v>
      </c>
      <c r="B26" s="1">
        <v>45</v>
      </c>
    </row>
    <row r="27" spans="1:2">
      <c r="A27" s="112">
        <v>40204</v>
      </c>
      <c r="B27" s="1">
        <v>55</v>
      </c>
    </row>
    <row r="28" spans="1:2">
      <c r="A28" s="112">
        <v>40205</v>
      </c>
      <c r="B28" s="1">
        <v>70</v>
      </c>
    </row>
    <row r="29" spans="1:2">
      <c r="A29" s="112">
        <v>40206</v>
      </c>
      <c r="B29" s="1">
        <v>85</v>
      </c>
    </row>
    <row r="30" spans="1:2">
      <c r="A30" s="112">
        <v>40207</v>
      </c>
      <c r="B30" s="1">
        <v>98</v>
      </c>
    </row>
    <row r="31" spans="1:2">
      <c r="A31" s="112">
        <v>40208</v>
      </c>
      <c r="B31" s="1">
        <v>107</v>
      </c>
    </row>
    <row r="32" spans="1:2">
      <c r="A32" s="112">
        <v>40209</v>
      </c>
      <c r="B32" s="1">
        <v>111</v>
      </c>
    </row>
    <row r="33" spans="1:2">
      <c r="A33" s="112">
        <v>40210</v>
      </c>
      <c r="B33" s="1">
        <v>107</v>
      </c>
    </row>
    <row r="34" spans="1:2">
      <c r="A34" s="112">
        <v>40211</v>
      </c>
      <c r="B34" s="1">
        <v>98</v>
      </c>
    </row>
    <row r="35" spans="1:2">
      <c r="A35" s="112">
        <v>40212</v>
      </c>
      <c r="B35" s="1">
        <v>84</v>
      </c>
    </row>
    <row r="36" spans="1:2">
      <c r="A36" s="112">
        <v>40213</v>
      </c>
      <c r="B36" s="1">
        <v>69</v>
      </c>
    </row>
    <row r="37" spans="1:2">
      <c r="A37" s="112">
        <v>40214</v>
      </c>
      <c r="B37" s="1">
        <v>53</v>
      </c>
    </row>
    <row r="38" spans="1:2">
      <c r="A38" s="112">
        <v>40215</v>
      </c>
      <c r="B38" s="1">
        <v>40</v>
      </c>
    </row>
    <row r="39" spans="1:2">
      <c r="A39" s="112">
        <v>40216</v>
      </c>
      <c r="B39" s="1">
        <v>35</v>
      </c>
    </row>
    <row r="40" spans="1:2">
      <c r="A40" s="112">
        <v>40217</v>
      </c>
      <c r="B40" s="1">
        <v>40</v>
      </c>
    </row>
    <row r="41" spans="1:2">
      <c r="A41" s="112">
        <v>40218</v>
      </c>
      <c r="B41" s="1">
        <v>48</v>
      </c>
    </row>
    <row r="42" spans="1:2">
      <c r="A42" s="112">
        <v>40219</v>
      </c>
      <c r="B42" s="1">
        <v>58</v>
      </c>
    </row>
    <row r="43" spans="1:2">
      <c r="A43" s="112">
        <v>40220</v>
      </c>
      <c r="B43" s="1">
        <v>67</v>
      </c>
    </row>
    <row r="44" spans="1:2">
      <c r="A44" s="112">
        <v>40221</v>
      </c>
      <c r="B44" s="1">
        <v>75</v>
      </c>
    </row>
    <row r="45" spans="1:2">
      <c r="A45" s="112">
        <v>40222</v>
      </c>
      <c r="B45" s="1">
        <v>81</v>
      </c>
    </row>
    <row r="46" spans="1:2">
      <c r="A46" s="112">
        <v>40223</v>
      </c>
      <c r="B46" s="1">
        <v>85</v>
      </c>
    </row>
    <row r="47" spans="1:2">
      <c r="A47" s="112">
        <v>40224</v>
      </c>
      <c r="B47" s="1">
        <v>86</v>
      </c>
    </row>
    <row r="48" spans="1:2">
      <c r="A48" s="112">
        <v>40225</v>
      </c>
      <c r="B48" s="1">
        <v>85</v>
      </c>
    </row>
    <row r="49" spans="1:2">
      <c r="A49" s="112">
        <v>40226</v>
      </c>
      <c r="B49" s="1">
        <v>81</v>
      </c>
    </row>
    <row r="50" spans="1:2">
      <c r="A50" s="112">
        <v>40227</v>
      </c>
      <c r="B50" s="1">
        <v>74</v>
      </c>
    </row>
    <row r="51" spans="1:2">
      <c r="A51" s="112">
        <v>40228</v>
      </c>
      <c r="B51" s="1">
        <v>66</v>
      </c>
    </row>
    <row r="52" spans="1:2">
      <c r="A52" s="112">
        <v>40229</v>
      </c>
      <c r="B52" s="1">
        <v>55</v>
      </c>
    </row>
    <row r="53" spans="1:2">
      <c r="A53" s="112">
        <v>40230</v>
      </c>
      <c r="B53" s="1">
        <v>45</v>
      </c>
    </row>
    <row r="54" spans="1:2">
      <c r="A54" s="112">
        <v>40231</v>
      </c>
      <c r="B54" s="1">
        <v>39</v>
      </c>
    </row>
    <row r="55" spans="1:2">
      <c r="A55" s="112">
        <v>40232</v>
      </c>
      <c r="B55" s="1">
        <v>41</v>
      </c>
    </row>
    <row r="56" spans="1:2">
      <c r="A56" s="112">
        <v>40233</v>
      </c>
      <c r="B56" s="1">
        <v>54</v>
      </c>
    </row>
    <row r="57" spans="1:2">
      <c r="A57" s="112">
        <v>40234</v>
      </c>
      <c r="B57" s="1">
        <v>71</v>
      </c>
    </row>
    <row r="58" spans="1:2">
      <c r="A58" s="112">
        <v>40235</v>
      </c>
      <c r="B58" s="1">
        <v>89</v>
      </c>
    </row>
    <row r="59" spans="1:2">
      <c r="A59" s="112">
        <v>40236</v>
      </c>
      <c r="B59" s="1">
        <v>103</v>
      </c>
    </row>
    <row r="60" spans="1:2">
      <c r="A60" s="112">
        <v>40237</v>
      </c>
      <c r="B60" s="1">
        <v>113</v>
      </c>
    </row>
    <row r="61" spans="1:2">
      <c r="A61" s="112">
        <v>40238</v>
      </c>
      <c r="B61" s="1">
        <v>115</v>
      </c>
    </row>
    <row r="62" spans="1:2">
      <c r="A62" s="112">
        <v>40239</v>
      </c>
      <c r="B62" s="1">
        <v>110</v>
      </c>
    </row>
    <row r="63" spans="1:2">
      <c r="A63" s="112">
        <v>40240</v>
      </c>
      <c r="B63" s="1">
        <v>99</v>
      </c>
    </row>
    <row r="64" spans="1:2">
      <c r="A64" s="112">
        <v>40241</v>
      </c>
      <c r="B64" s="1">
        <v>84</v>
      </c>
    </row>
    <row r="65" spans="1:2">
      <c r="A65" s="112">
        <v>40242</v>
      </c>
      <c r="B65" s="1">
        <v>66</v>
      </c>
    </row>
    <row r="66" spans="1:2">
      <c r="A66" s="112">
        <v>40243</v>
      </c>
      <c r="B66" s="1">
        <v>49</v>
      </c>
    </row>
    <row r="67" spans="1:2">
      <c r="A67" s="112">
        <v>40244</v>
      </c>
      <c r="B67" s="1">
        <v>36</v>
      </c>
    </row>
    <row r="68" spans="1:2">
      <c r="A68" s="112">
        <v>40245</v>
      </c>
      <c r="B68" s="1">
        <v>31</v>
      </c>
    </row>
    <row r="69" spans="1:2">
      <c r="A69" s="112">
        <v>40246</v>
      </c>
      <c r="B69" s="1">
        <v>36</v>
      </c>
    </row>
    <row r="70" spans="1:2">
      <c r="A70" s="112">
        <v>40247</v>
      </c>
      <c r="B70" s="1">
        <v>45</v>
      </c>
    </row>
    <row r="71" spans="1:2">
      <c r="A71" s="112">
        <v>40248</v>
      </c>
      <c r="B71" s="1">
        <v>55</v>
      </c>
    </row>
    <row r="72" spans="1:2">
      <c r="A72" s="112">
        <v>40249</v>
      </c>
      <c r="B72" s="1">
        <v>66</v>
      </c>
    </row>
    <row r="73" spans="1:2">
      <c r="A73" s="112">
        <v>40250</v>
      </c>
      <c r="B73" s="1">
        <v>75</v>
      </c>
    </row>
    <row r="74" spans="1:2">
      <c r="A74" s="112">
        <v>40251</v>
      </c>
      <c r="B74" s="1">
        <v>83</v>
      </c>
    </row>
    <row r="75" spans="1:2">
      <c r="A75" s="112">
        <v>40252</v>
      </c>
      <c r="B75" s="1">
        <v>87</v>
      </c>
    </row>
    <row r="76" spans="1:2">
      <c r="A76" s="112">
        <v>40253</v>
      </c>
      <c r="B76" s="1">
        <v>89</v>
      </c>
    </row>
    <row r="77" spans="1:2">
      <c r="A77" s="112">
        <v>40254</v>
      </c>
      <c r="B77" s="1">
        <v>89</v>
      </c>
    </row>
    <row r="78" spans="1:2">
      <c r="A78" s="112">
        <v>40255</v>
      </c>
      <c r="B78" s="1">
        <v>85</v>
      </c>
    </row>
    <row r="79" spans="1:2">
      <c r="A79" s="112">
        <v>40256</v>
      </c>
      <c r="B79" s="1">
        <v>77</v>
      </c>
    </row>
    <row r="80" spans="1:2">
      <c r="A80" s="112">
        <v>40257</v>
      </c>
      <c r="B80" s="1">
        <v>68</v>
      </c>
    </row>
    <row r="81" spans="1:2">
      <c r="A81" s="112">
        <v>40258</v>
      </c>
      <c r="B81" s="1">
        <v>57</v>
      </c>
    </row>
    <row r="82" spans="1:2">
      <c r="A82" s="112">
        <v>40259</v>
      </c>
      <c r="B82" s="1">
        <v>46</v>
      </c>
    </row>
    <row r="83" spans="1:2">
      <c r="A83" s="112">
        <v>40260</v>
      </c>
      <c r="B83" s="1">
        <v>40</v>
      </c>
    </row>
    <row r="84" spans="1:2">
      <c r="A84" s="112">
        <v>40261</v>
      </c>
      <c r="B84" s="1">
        <v>45</v>
      </c>
    </row>
    <row r="85" spans="1:2">
      <c r="A85" s="112">
        <v>40262</v>
      </c>
      <c r="B85" s="1">
        <v>58</v>
      </c>
    </row>
    <row r="86" spans="1:2">
      <c r="A86" s="112">
        <v>40263</v>
      </c>
      <c r="B86" s="1">
        <v>75</v>
      </c>
    </row>
    <row r="87" spans="1:2">
      <c r="A87" s="112">
        <v>40264</v>
      </c>
      <c r="B87" s="1">
        <v>91</v>
      </c>
    </row>
    <row r="88" spans="1:2">
      <c r="A88" s="112">
        <v>40265</v>
      </c>
      <c r="B88" s="1">
        <v>103</v>
      </c>
    </row>
    <row r="89" spans="1:2">
      <c r="A89" s="112">
        <v>40266</v>
      </c>
      <c r="B89" s="1">
        <v>110</v>
      </c>
    </row>
    <row r="90" spans="1:2">
      <c r="A90" s="112">
        <v>40267</v>
      </c>
      <c r="B90" s="1">
        <v>110</v>
      </c>
    </row>
    <row r="91" spans="1:2">
      <c r="A91" s="112">
        <v>40268</v>
      </c>
      <c r="B91" s="1">
        <v>103</v>
      </c>
    </row>
    <row r="92" spans="1:2">
      <c r="A92" s="112">
        <v>40269</v>
      </c>
      <c r="B92" s="1">
        <v>92</v>
      </c>
    </row>
    <row r="93" spans="1:2">
      <c r="A93" s="112">
        <v>40270</v>
      </c>
      <c r="B93" s="1">
        <v>79</v>
      </c>
    </row>
    <row r="94" spans="1:2">
      <c r="A94" s="112">
        <v>40271</v>
      </c>
      <c r="B94" s="1">
        <v>63</v>
      </c>
    </row>
    <row r="95" spans="1:2">
      <c r="A95" s="112">
        <v>40272</v>
      </c>
      <c r="B95" s="1">
        <v>49</v>
      </c>
    </row>
    <row r="96" spans="1:2">
      <c r="A96" s="112">
        <v>40273</v>
      </c>
      <c r="B96" s="1">
        <v>38</v>
      </c>
    </row>
    <row r="97" spans="1:2">
      <c r="A97" s="112">
        <v>40274</v>
      </c>
      <c r="B97" s="1">
        <v>32</v>
      </c>
    </row>
    <row r="98" spans="1:2">
      <c r="A98" s="112">
        <v>40275</v>
      </c>
      <c r="B98" s="1">
        <v>35</v>
      </c>
    </row>
    <row r="99" spans="1:2">
      <c r="A99" s="112">
        <v>40276</v>
      </c>
      <c r="B99" s="1">
        <v>43</v>
      </c>
    </row>
    <row r="100" spans="1:2">
      <c r="A100" s="112">
        <v>40277</v>
      </c>
      <c r="B100" s="1">
        <v>53</v>
      </c>
    </row>
    <row r="101" spans="1:2">
      <c r="A101" s="112">
        <v>40278</v>
      </c>
      <c r="B101" s="1">
        <v>64</v>
      </c>
    </row>
    <row r="102" spans="1:2">
      <c r="A102" s="112">
        <v>40279</v>
      </c>
      <c r="B102" s="1">
        <v>73</v>
      </c>
    </row>
    <row r="103" spans="1:2">
      <c r="A103" s="112">
        <v>40280</v>
      </c>
      <c r="B103" s="1">
        <v>80</v>
      </c>
    </row>
    <row r="104" spans="1:2">
      <c r="A104" s="112">
        <v>40281</v>
      </c>
      <c r="B104" s="1">
        <v>86</v>
      </c>
    </row>
    <row r="105" spans="1:2">
      <c r="A105" s="112">
        <v>40282</v>
      </c>
      <c r="B105" s="1">
        <v>88</v>
      </c>
    </row>
    <row r="106" spans="1:2">
      <c r="A106" s="112">
        <v>40283</v>
      </c>
      <c r="B106" s="1">
        <v>88</v>
      </c>
    </row>
    <row r="107" spans="1:2">
      <c r="A107" s="112">
        <v>40284</v>
      </c>
      <c r="B107" s="1">
        <v>84</v>
      </c>
    </row>
    <row r="108" spans="1:2">
      <c r="A108" s="112">
        <v>40285</v>
      </c>
      <c r="B108" s="1">
        <v>78</v>
      </c>
    </row>
    <row r="109" spans="1:2">
      <c r="A109" s="112">
        <v>40286</v>
      </c>
      <c r="B109" s="1">
        <v>69</v>
      </c>
    </row>
    <row r="110" spans="1:2">
      <c r="A110" s="112">
        <v>40287</v>
      </c>
      <c r="B110" s="1">
        <v>59</v>
      </c>
    </row>
    <row r="111" spans="1:2">
      <c r="A111" s="112">
        <v>40288</v>
      </c>
      <c r="B111" s="1">
        <v>51</v>
      </c>
    </row>
    <row r="112" spans="1:2">
      <c r="A112" s="112">
        <v>40289</v>
      </c>
      <c r="B112" s="1">
        <v>48</v>
      </c>
    </row>
    <row r="113" spans="1:2">
      <c r="A113" s="112">
        <v>40290</v>
      </c>
      <c r="B113" s="1">
        <v>53</v>
      </c>
    </row>
    <row r="114" spans="1:2">
      <c r="A114" s="112">
        <v>40291</v>
      </c>
      <c r="B114" s="1">
        <v>64</v>
      </c>
    </row>
    <row r="115" spans="1:2">
      <c r="A115" s="112">
        <v>40292</v>
      </c>
      <c r="B115" s="1">
        <v>76</v>
      </c>
    </row>
    <row r="116" spans="1:2">
      <c r="A116" s="112">
        <v>40293</v>
      </c>
      <c r="B116" s="1">
        <v>87</v>
      </c>
    </row>
    <row r="117" spans="1:2">
      <c r="A117" s="112">
        <v>40294</v>
      </c>
      <c r="B117" s="1">
        <v>95</v>
      </c>
    </row>
    <row r="118" spans="1:2">
      <c r="A118" s="112">
        <v>40295</v>
      </c>
      <c r="B118" s="1">
        <v>98</v>
      </c>
    </row>
    <row r="119" spans="1:2">
      <c r="A119" s="112">
        <v>40296</v>
      </c>
      <c r="B119" s="1">
        <v>97</v>
      </c>
    </row>
    <row r="120" spans="1:2">
      <c r="A120" s="112">
        <v>40297</v>
      </c>
      <c r="B120" s="1">
        <v>92</v>
      </c>
    </row>
    <row r="121" spans="1:2">
      <c r="A121" s="112">
        <v>40298</v>
      </c>
      <c r="B121" s="1">
        <v>84</v>
      </c>
    </row>
    <row r="122" spans="1:2">
      <c r="A122" s="112">
        <v>40299</v>
      </c>
      <c r="B122" s="1">
        <v>74</v>
      </c>
    </row>
    <row r="123" spans="1:2">
      <c r="A123" s="112">
        <v>40300</v>
      </c>
      <c r="B123" s="1">
        <v>64</v>
      </c>
    </row>
    <row r="124" spans="1:2">
      <c r="A124" s="112">
        <v>40301</v>
      </c>
      <c r="B124" s="1">
        <v>52</v>
      </c>
    </row>
    <row r="125" spans="1:2">
      <c r="A125" s="112">
        <v>40302</v>
      </c>
      <c r="B125" s="1">
        <v>43</v>
      </c>
    </row>
    <row r="126" spans="1:2">
      <c r="A126" s="112">
        <v>40303</v>
      </c>
      <c r="B126" s="1">
        <v>38</v>
      </c>
    </row>
    <row r="127" spans="1:2">
      <c r="A127" s="112">
        <v>40304</v>
      </c>
      <c r="B127" s="1">
        <v>38</v>
      </c>
    </row>
    <row r="128" spans="1:2">
      <c r="A128" s="112">
        <v>40305</v>
      </c>
      <c r="B128" s="1">
        <v>43</v>
      </c>
    </row>
    <row r="129" spans="1:2">
      <c r="A129" s="112">
        <v>40306</v>
      </c>
      <c r="B129" s="1">
        <v>50</v>
      </c>
    </row>
    <row r="130" spans="1:2">
      <c r="A130" s="112">
        <v>40307</v>
      </c>
      <c r="B130" s="1">
        <v>59</v>
      </c>
    </row>
    <row r="131" spans="1:2">
      <c r="A131" s="112">
        <v>40308</v>
      </c>
      <c r="B131" s="1">
        <v>67</v>
      </c>
    </row>
    <row r="132" spans="1:2">
      <c r="A132" s="112">
        <v>40309</v>
      </c>
      <c r="B132" s="1">
        <v>75</v>
      </c>
    </row>
    <row r="133" spans="1:2">
      <c r="A133" s="112">
        <v>40310</v>
      </c>
      <c r="B133" s="1">
        <v>80</v>
      </c>
    </row>
    <row r="134" spans="1:2">
      <c r="A134" s="112">
        <v>40311</v>
      </c>
      <c r="B134" s="1">
        <v>84</v>
      </c>
    </row>
    <row r="135" spans="1:2">
      <c r="A135" s="112">
        <v>40312</v>
      </c>
      <c r="B135" s="1">
        <v>85</v>
      </c>
    </row>
    <row r="136" spans="1:2">
      <c r="A136" s="112">
        <v>40313</v>
      </c>
      <c r="B136" s="1">
        <v>84</v>
      </c>
    </row>
    <row r="137" spans="1:2">
      <c r="A137" s="112">
        <v>40314</v>
      </c>
      <c r="B137" s="1">
        <v>80</v>
      </c>
    </row>
    <row r="138" spans="1:2">
      <c r="A138" s="112">
        <v>40315</v>
      </c>
      <c r="B138" s="1">
        <v>73</v>
      </c>
    </row>
    <row r="139" spans="1:2">
      <c r="A139" s="112">
        <v>40316</v>
      </c>
      <c r="B139" s="1">
        <v>67</v>
      </c>
    </row>
    <row r="140" spans="1:2">
      <c r="A140" s="112">
        <v>40317</v>
      </c>
      <c r="B140" s="1">
        <v>61</v>
      </c>
    </row>
    <row r="141" spans="1:2">
      <c r="A141" s="112">
        <v>40318</v>
      </c>
      <c r="B141" s="1">
        <v>59</v>
      </c>
    </row>
    <row r="142" spans="1:2">
      <c r="A142" s="112">
        <v>40319</v>
      </c>
      <c r="B142" s="1">
        <v>60</v>
      </c>
    </row>
    <row r="143" spans="1:2">
      <c r="A143" s="112">
        <v>40320</v>
      </c>
      <c r="B143" s="1">
        <v>65</v>
      </c>
    </row>
    <row r="144" spans="1:2">
      <c r="A144" s="112">
        <v>40321</v>
      </c>
      <c r="B144" s="1">
        <v>71</v>
      </c>
    </row>
    <row r="145" spans="1:2">
      <c r="A145" s="112">
        <v>40322</v>
      </c>
      <c r="B145" s="1">
        <v>77</v>
      </c>
    </row>
    <row r="146" spans="1:2">
      <c r="A146" s="112">
        <v>40323</v>
      </c>
      <c r="B146" s="1">
        <v>82</v>
      </c>
    </row>
    <row r="147" spans="1:2">
      <c r="A147" s="112">
        <v>40324</v>
      </c>
      <c r="B147" s="1">
        <v>83</v>
      </c>
    </row>
    <row r="148" spans="1:2">
      <c r="A148" s="112">
        <v>40325</v>
      </c>
      <c r="B148" s="1">
        <v>84</v>
      </c>
    </row>
    <row r="149" spans="1:2">
      <c r="A149" s="112">
        <v>40326</v>
      </c>
      <c r="B149" s="1">
        <v>82</v>
      </c>
    </row>
    <row r="150" spans="1:2">
      <c r="A150" s="112">
        <v>40327</v>
      </c>
      <c r="B150" s="1">
        <v>77</v>
      </c>
    </row>
    <row r="151" spans="1:2">
      <c r="A151" s="112">
        <v>40328</v>
      </c>
      <c r="B151" s="1">
        <v>72</v>
      </c>
    </row>
    <row r="152" spans="1:2">
      <c r="A152" s="112">
        <v>40329</v>
      </c>
      <c r="B152" s="1">
        <v>65</v>
      </c>
    </row>
    <row r="153" spans="1:2">
      <c r="A153" s="112">
        <v>40330</v>
      </c>
      <c r="B153" s="1">
        <v>58</v>
      </c>
    </row>
    <row r="154" spans="1:2">
      <c r="A154" s="112">
        <v>40331</v>
      </c>
      <c r="B154" s="1">
        <v>52</v>
      </c>
    </row>
    <row r="155" spans="1:2">
      <c r="A155" s="112">
        <v>40332</v>
      </c>
      <c r="B155" s="1">
        <v>47</v>
      </c>
    </row>
    <row r="156" spans="1:2">
      <c r="A156" s="112">
        <v>40333</v>
      </c>
      <c r="B156" s="1">
        <v>44</v>
      </c>
    </row>
    <row r="157" spans="1:2">
      <c r="A157" s="112">
        <v>40334</v>
      </c>
      <c r="B157" s="1">
        <v>44</v>
      </c>
    </row>
    <row r="158" spans="1:2">
      <c r="A158" s="112">
        <v>40335</v>
      </c>
      <c r="B158" s="1">
        <v>47</v>
      </c>
    </row>
    <row r="159" spans="1:2">
      <c r="A159" s="112">
        <v>40336</v>
      </c>
      <c r="B159" s="1">
        <v>52</v>
      </c>
    </row>
    <row r="160" spans="1:2">
      <c r="A160" s="112">
        <v>40337</v>
      </c>
      <c r="B160" s="1">
        <v>59</v>
      </c>
    </row>
    <row r="161" spans="1:2">
      <c r="A161" s="112">
        <v>40338</v>
      </c>
      <c r="B161" s="1">
        <v>67</v>
      </c>
    </row>
    <row r="162" spans="1:2">
      <c r="A162" s="112">
        <v>40339</v>
      </c>
      <c r="B162" s="1">
        <v>74</v>
      </c>
    </row>
    <row r="163" spans="1:2">
      <c r="A163" s="112">
        <v>40340</v>
      </c>
      <c r="B163" s="1">
        <v>81</v>
      </c>
    </row>
    <row r="164" spans="1:2">
      <c r="A164" s="112">
        <v>40341</v>
      </c>
      <c r="B164" s="1">
        <v>85</v>
      </c>
    </row>
    <row r="165" spans="1:2">
      <c r="A165" s="112">
        <v>40342</v>
      </c>
      <c r="B165" s="1">
        <v>87</v>
      </c>
    </row>
    <row r="166" spans="1:2">
      <c r="A166" s="112">
        <v>40343</v>
      </c>
      <c r="B166" s="1">
        <v>87</v>
      </c>
    </row>
    <row r="167" spans="1:2">
      <c r="A167" s="112">
        <v>40344</v>
      </c>
      <c r="B167" s="1">
        <v>84</v>
      </c>
    </row>
    <row r="168" spans="1:2">
      <c r="A168" s="112">
        <v>40345</v>
      </c>
      <c r="B168" s="1">
        <v>79</v>
      </c>
    </row>
    <row r="169" spans="1:2">
      <c r="A169" s="112">
        <v>40346</v>
      </c>
      <c r="B169" s="1">
        <v>73</v>
      </c>
    </row>
    <row r="170" spans="1:2">
      <c r="A170" s="112">
        <v>40347</v>
      </c>
      <c r="B170" s="1">
        <v>67</v>
      </c>
    </row>
    <row r="171" spans="1:2">
      <c r="A171" s="112">
        <v>40348</v>
      </c>
      <c r="B171" s="1">
        <v>62</v>
      </c>
    </row>
    <row r="172" spans="1:2">
      <c r="A172" s="112">
        <v>40349</v>
      </c>
      <c r="B172" s="1">
        <v>60</v>
      </c>
    </row>
    <row r="173" spans="1:2">
      <c r="A173" s="112">
        <v>40350</v>
      </c>
      <c r="B173" s="1">
        <v>61</v>
      </c>
    </row>
    <row r="174" spans="1:2">
      <c r="A174" s="112">
        <v>40351</v>
      </c>
      <c r="B174" s="1">
        <v>63</v>
      </c>
    </row>
    <row r="175" spans="1:2">
      <c r="A175" s="112">
        <v>40352</v>
      </c>
      <c r="B175" s="1">
        <v>68</v>
      </c>
    </row>
    <row r="176" spans="1:2">
      <c r="A176" s="112">
        <v>40353</v>
      </c>
      <c r="B176" s="1">
        <v>71</v>
      </c>
    </row>
    <row r="177" spans="1:2">
      <c r="A177" s="112">
        <v>40354</v>
      </c>
      <c r="B177" s="1">
        <v>74</v>
      </c>
    </row>
    <row r="178" spans="1:2">
      <c r="A178" s="112">
        <v>40355</v>
      </c>
      <c r="B178" s="1">
        <v>77</v>
      </c>
    </row>
    <row r="179" spans="1:2">
      <c r="A179" s="112">
        <v>40356</v>
      </c>
      <c r="B179" s="1">
        <v>76</v>
      </c>
    </row>
    <row r="180" spans="1:2">
      <c r="A180" s="112">
        <v>40357</v>
      </c>
      <c r="B180" s="1">
        <v>75</v>
      </c>
    </row>
    <row r="181" spans="1:2">
      <c r="A181" s="112">
        <v>40358</v>
      </c>
      <c r="B181" s="1">
        <v>72</v>
      </c>
    </row>
    <row r="182" spans="1:2">
      <c r="A182" s="112">
        <v>40359</v>
      </c>
      <c r="B182" s="1">
        <v>67</v>
      </c>
    </row>
    <row r="183" spans="1:2">
      <c r="A183" s="112">
        <v>40360</v>
      </c>
      <c r="B183" s="1">
        <v>61</v>
      </c>
    </row>
    <row r="184" spans="1:2">
      <c r="A184" s="112">
        <v>40361</v>
      </c>
      <c r="B184" s="1">
        <v>56</v>
      </c>
    </row>
    <row r="185" spans="1:2">
      <c r="A185" s="112">
        <v>40362</v>
      </c>
      <c r="B185" s="1">
        <v>50</v>
      </c>
    </row>
    <row r="186" spans="1:2">
      <c r="A186" s="112">
        <v>40363</v>
      </c>
      <c r="B186" s="1">
        <v>46</v>
      </c>
    </row>
    <row r="187" spans="1:2">
      <c r="A187" s="112">
        <v>40364</v>
      </c>
      <c r="B187" s="1">
        <v>44</v>
      </c>
    </row>
    <row r="188" spans="1:2">
      <c r="A188" s="112">
        <v>40365</v>
      </c>
      <c r="B188" s="1">
        <v>46</v>
      </c>
    </row>
    <row r="189" spans="1:2">
      <c r="A189" s="112">
        <v>40366</v>
      </c>
      <c r="B189" s="1">
        <v>51</v>
      </c>
    </row>
    <row r="190" spans="1:2">
      <c r="A190" s="112">
        <v>40367</v>
      </c>
      <c r="B190" s="1">
        <v>60</v>
      </c>
    </row>
    <row r="191" spans="1:2">
      <c r="A191" s="112">
        <v>40368</v>
      </c>
      <c r="B191" s="1">
        <v>71</v>
      </c>
    </row>
    <row r="192" spans="1:2">
      <c r="A192" s="112">
        <v>40369</v>
      </c>
      <c r="B192" s="1">
        <v>81</v>
      </c>
    </row>
    <row r="193" spans="1:2">
      <c r="A193" s="112">
        <v>40370</v>
      </c>
      <c r="B193" s="1">
        <v>90</v>
      </c>
    </row>
    <row r="194" spans="1:2">
      <c r="A194" s="112">
        <v>40371</v>
      </c>
      <c r="B194" s="1">
        <v>97</v>
      </c>
    </row>
    <row r="195" spans="1:2">
      <c r="A195" s="112">
        <v>40372</v>
      </c>
      <c r="B195" s="1">
        <v>99</v>
      </c>
    </row>
    <row r="196" spans="1:2">
      <c r="A196" s="112">
        <v>40373</v>
      </c>
      <c r="B196" s="1">
        <v>97</v>
      </c>
    </row>
    <row r="197" spans="1:2">
      <c r="A197" s="112">
        <v>40374</v>
      </c>
      <c r="B197" s="1">
        <v>91</v>
      </c>
    </row>
    <row r="198" spans="1:2">
      <c r="A198" s="112">
        <v>40375</v>
      </c>
      <c r="B198" s="1">
        <v>81</v>
      </c>
    </row>
    <row r="199" spans="1:2">
      <c r="A199" s="112">
        <v>40376</v>
      </c>
      <c r="B199" s="1">
        <v>69</v>
      </c>
    </row>
    <row r="200" spans="1:2">
      <c r="A200" s="112">
        <v>40377</v>
      </c>
      <c r="B200" s="1">
        <v>59</v>
      </c>
    </row>
    <row r="201" spans="1:2">
      <c r="A201" s="112">
        <v>40378</v>
      </c>
      <c r="B201" s="1">
        <v>51</v>
      </c>
    </row>
    <row r="202" spans="1:2">
      <c r="A202" s="112">
        <v>40379</v>
      </c>
      <c r="B202" s="1">
        <v>48</v>
      </c>
    </row>
    <row r="203" spans="1:2">
      <c r="A203" s="112">
        <v>40380</v>
      </c>
      <c r="B203" s="1">
        <v>52</v>
      </c>
    </row>
    <row r="204" spans="1:2">
      <c r="A204" s="112">
        <v>40381</v>
      </c>
      <c r="B204" s="1">
        <v>59</v>
      </c>
    </row>
    <row r="205" spans="1:2">
      <c r="A205" s="112">
        <v>40382</v>
      </c>
      <c r="B205" s="1">
        <v>66</v>
      </c>
    </row>
    <row r="206" spans="1:2">
      <c r="A206" s="112">
        <v>40383</v>
      </c>
      <c r="B206" s="1">
        <v>72</v>
      </c>
    </row>
    <row r="207" spans="1:2">
      <c r="A207" s="112">
        <v>40384</v>
      </c>
      <c r="B207" s="1">
        <v>76</v>
      </c>
    </row>
    <row r="208" spans="1:2">
      <c r="A208" s="112">
        <v>40385</v>
      </c>
      <c r="B208" s="1">
        <v>80</v>
      </c>
    </row>
    <row r="209" spans="1:2">
      <c r="A209" s="112">
        <v>40386</v>
      </c>
      <c r="B209" s="1">
        <v>80</v>
      </c>
    </row>
    <row r="210" spans="1:2">
      <c r="A210" s="112">
        <v>40387</v>
      </c>
      <c r="B210" s="1">
        <v>79</v>
      </c>
    </row>
    <row r="211" spans="1:2">
      <c r="A211" s="112">
        <v>40388</v>
      </c>
      <c r="B211" s="1">
        <v>75</v>
      </c>
    </row>
    <row r="212" spans="1:2">
      <c r="A212" s="112">
        <v>40389</v>
      </c>
      <c r="B212" s="1">
        <v>70</v>
      </c>
    </row>
    <row r="213" spans="1:2">
      <c r="A213" s="112">
        <v>40390</v>
      </c>
      <c r="B213" s="1">
        <v>63</v>
      </c>
    </row>
    <row r="214" spans="1:2">
      <c r="A214" s="112">
        <v>40391</v>
      </c>
      <c r="B214" s="1">
        <v>56</v>
      </c>
    </row>
    <row r="215" spans="1:2">
      <c r="A215" s="112">
        <v>40392</v>
      </c>
      <c r="B215" s="1">
        <v>48</v>
      </c>
    </row>
    <row r="216" spans="1:2">
      <c r="A216" s="112">
        <v>40393</v>
      </c>
      <c r="B216" s="1">
        <v>42</v>
      </c>
    </row>
    <row r="217" spans="1:2">
      <c r="A217" s="112">
        <v>40394</v>
      </c>
      <c r="B217" s="1">
        <v>40</v>
      </c>
    </row>
    <row r="218" spans="1:2">
      <c r="A218" s="112">
        <v>40395</v>
      </c>
      <c r="B218" s="1">
        <v>46</v>
      </c>
    </row>
    <row r="219" spans="1:2">
      <c r="A219" s="112">
        <v>40396</v>
      </c>
      <c r="B219" s="1">
        <v>57</v>
      </c>
    </row>
    <row r="220" spans="1:2">
      <c r="A220" s="112">
        <v>40397</v>
      </c>
      <c r="B220" s="1">
        <v>72</v>
      </c>
    </row>
    <row r="221" spans="1:2">
      <c r="A221" s="112">
        <v>40398</v>
      </c>
      <c r="B221" s="1">
        <v>86</v>
      </c>
    </row>
    <row r="222" spans="1:2">
      <c r="A222" s="112">
        <v>40399</v>
      </c>
      <c r="B222" s="1">
        <v>99</v>
      </c>
    </row>
    <row r="223" spans="1:2">
      <c r="A223" s="112">
        <v>40400</v>
      </c>
      <c r="B223" s="1">
        <v>108</v>
      </c>
    </row>
    <row r="224" spans="1:2">
      <c r="A224" s="112">
        <v>40401</v>
      </c>
      <c r="B224" s="1">
        <v>110</v>
      </c>
    </row>
    <row r="225" spans="1:2">
      <c r="A225" s="112">
        <v>40402</v>
      </c>
      <c r="B225" s="1">
        <v>106</v>
      </c>
    </row>
    <row r="226" spans="1:2">
      <c r="A226" s="112">
        <v>40403</v>
      </c>
      <c r="B226" s="1">
        <v>97</v>
      </c>
    </row>
    <row r="227" spans="1:2">
      <c r="A227" s="112">
        <v>40404</v>
      </c>
      <c r="B227" s="1">
        <v>83</v>
      </c>
    </row>
    <row r="228" spans="1:2">
      <c r="A228" s="112">
        <v>40405</v>
      </c>
      <c r="B228" s="1">
        <v>67</v>
      </c>
    </row>
    <row r="229" spans="1:2">
      <c r="A229" s="112">
        <v>40406</v>
      </c>
      <c r="B229" s="1">
        <v>51</v>
      </c>
    </row>
    <row r="230" spans="1:2">
      <c r="A230" s="112">
        <v>40407</v>
      </c>
      <c r="B230" s="1">
        <v>43</v>
      </c>
    </row>
    <row r="231" spans="1:2">
      <c r="A231" s="112">
        <v>40408</v>
      </c>
      <c r="B231" s="1">
        <v>40</v>
      </c>
    </row>
    <row r="232" spans="1:2">
      <c r="A232" s="112">
        <v>40409</v>
      </c>
      <c r="B232" s="1">
        <v>46</v>
      </c>
    </row>
    <row r="233" spans="1:2">
      <c r="A233" s="112">
        <v>40410</v>
      </c>
      <c r="B233" s="1">
        <v>55</v>
      </c>
    </row>
    <row r="234" spans="1:2">
      <c r="A234" s="112">
        <v>40411</v>
      </c>
      <c r="B234" s="1">
        <v>64</v>
      </c>
    </row>
    <row r="235" spans="1:2">
      <c r="A235" s="112">
        <v>40412</v>
      </c>
      <c r="B235" s="1">
        <v>72</v>
      </c>
    </row>
    <row r="236" spans="1:2">
      <c r="A236" s="112">
        <v>40413</v>
      </c>
      <c r="B236" s="1">
        <v>79</v>
      </c>
    </row>
    <row r="237" spans="1:2">
      <c r="A237" s="112">
        <v>40414</v>
      </c>
      <c r="B237" s="1">
        <v>83</v>
      </c>
    </row>
    <row r="238" spans="1:2">
      <c r="A238" s="112">
        <v>40415</v>
      </c>
      <c r="B238" s="1">
        <v>85</v>
      </c>
    </row>
    <row r="239" spans="1:2">
      <c r="A239" s="112">
        <v>40416</v>
      </c>
      <c r="B239" s="1">
        <v>84</v>
      </c>
    </row>
    <row r="240" spans="1:2">
      <c r="A240" s="112">
        <v>40417</v>
      </c>
      <c r="B240" s="1">
        <v>81</v>
      </c>
    </row>
    <row r="241" spans="1:2">
      <c r="A241" s="112">
        <v>40418</v>
      </c>
      <c r="B241" s="1">
        <v>76</v>
      </c>
    </row>
    <row r="242" spans="1:2">
      <c r="A242" s="112">
        <v>40419</v>
      </c>
      <c r="B242" s="1">
        <v>68</v>
      </c>
    </row>
    <row r="243" spans="1:2">
      <c r="A243" s="112">
        <v>40420</v>
      </c>
      <c r="B243" s="1">
        <v>59</v>
      </c>
    </row>
    <row r="244" spans="1:2">
      <c r="A244" s="112">
        <v>40421</v>
      </c>
      <c r="B244" s="1">
        <v>49</v>
      </c>
    </row>
    <row r="245" spans="1:2">
      <c r="A245" s="112">
        <v>40422</v>
      </c>
      <c r="B245" s="1">
        <v>40</v>
      </c>
    </row>
    <row r="246" spans="1:2">
      <c r="A246" s="112">
        <v>40423</v>
      </c>
      <c r="B246" s="1">
        <v>38</v>
      </c>
    </row>
    <row r="247" spans="1:2">
      <c r="A247" s="112">
        <v>40424</v>
      </c>
      <c r="B247" s="1">
        <v>45</v>
      </c>
    </row>
    <row r="248" spans="1:2">
      <c r="A248" s="112">
        <v>40425</v>
      </c>
      <c r="B248" s="1">
        <v>59</v>
      </c>
    </row>
    <row r="249" spans="1:2">
      <c r="A249" s="112">
        <v>40426</v>
      </c>
      <c r="B249" s="1">
        <v>76</v>
      </c>
    </row>
    <row r="250" spans="1:2">
      <c r="A250" s="112">
        <v>40427</v>
      </c>
      <c r="B250" s="1">
        <v>93</v>
      </c>
    </row>
    <row r="251" spans="1:2">
      <c r="A251" s="112">
        <v>40428</v>
      </c>
      <c r="B251" s="1">
        <v>107</v>
      </c>
    </row>
    <row r="252" spans="1:2">
      <c r="A252" s="112">
        <v>40429</v>
      </c>
      <c r="B252" s="1">
        <v>114</v>
      </c>
    </row>
    <row r="253" spans="1:2">
      <c r="A253" s="112">
        <v>40430</v>
      </c>
      <c r="B253" s="1">
        <v>115</v>
      </c>
    </row>
    <row r="254" spans="1:2">
      <c r="A254" s="112">
        <v>40431</v>
      </c>
      <c r="B254" s="1">
        <v>108</v>
      </c>
    </row>
    <row r="255" spans="1:2">
      <c r="A255" s="112">
        <v>40432</v>
      </c>
      <c r="B255" s="1">
        <v>96</v>
      </c>
    </row>
    <row r="256" spans="1:2">
      <c r="A256" s="112">
        <v>40433</v>
      </c>
      <c r="B256" s="1">
        <v>79</v>
      </c>
    </row>
    <row r="257" spans="1:2">
      <c r="A257" s="112">
        <v>40434</v>
      </c>
      <c r="B257" s="1">
        <v>62</v>
      </c>
    </row>
    <row r="258" spans="1:2">
      <c r="A258" s="112">
        <v>40435</v>
      </c>
      <c r="B258" s="1">
        <v>45</v>
      </c>
    </row>
    <row r="259" spans="1:2">
      <c r="A259" s="112">
        <v>40436</v>
      </c>
      <c r="B259" s="1">
        <v>37</v>
      </c>
    </row>
    <row r="260" spans="1:2">
      <c r="A260" s="112">
        <v>40437</v>
      </c>
      <c r="B260" s="1">
        <v>35</v>
      </c>
    </row>
    <row r="261" spans="1:2">
      <c r="A261" s="112">
        <v>40438</v>
      </c>
      <c r="B261" s="1">
        <v>42</v>
      </c>
    </row>
    <row r="262" spans="1:2">
      <c r="A262" s="112">
        <v>40439</v>
      </c>
      <c r="B262" s="1">
        <v>53</v>
      </c>
    </row>
    <row r="263" spans="1:2">
      <c r="A263" s="112">
        <v>40440</v>
      </c>
      <c r="B263" s="1">
        <v>63</v>
      </c>
    </row>
    <row r="264" spans="1:2">
      <c r="A264" s="112">
        <v>40441</v>
      </c>
      <c r="B264" s="1">
        <v>72</v>
      </c>
    </row>
    <row r="265" spans="1:2">
      <c r="A265" s="112">
        <v>40442</v>
      </c>
      <c r="B265" s="1">
        <v>79</v>
      </c>
    </row>
    <row r="266" spans="1:2">
      <c r="A266" s="112">
        <v>40443</v>
      </c>
      <c r="B266" s="1">
        <v>84</v>
      </c>
    </row>
    <row r="267" spans="1:2">
      <c r="A267" s="112">
        <v>40444</v>
      </c>
      <c r="B267" s="1">
        <v>87</v>
      </c>
    </row>
    <row r="268" spans="1:2">
      <c r="A268" s="112">
        <v>40445</v>
      </c>
      <c r="B268" s="1">
        <v>87</v>
      </c>
    </row>
    <row r="269" spans="1:2">
      <c r="A269" s="112">
        <v>40446</v>
      </c>
      <c r="B269" s="1">
        <v>84</v>
      </c>
    </row>
    <row r="270" spans="1:2">
      <c r="A270" s="112">
        <v>40447</v>
      </c>
      <c r="B270" s="1">
        <v>78</v>
      </c>
    </row>
    <row r="271" spans="1:2">
      <c r="A271" s="112">
        <v>40448</v>
      </c>
      <c r="B271" s="1">
        <v>70</v>
      </c>
    </row>
    <row r="272" spans="1:2">
      <c r="A272" s="112">
        <v>40449</v>
      </c>
      <c r="B272" s="1">
        <v>60</v>
      </c>
    </row>
    <row r="273" spans="1:2">
      <c r="A273" s="112">
        <v>40450</v>
      </c>
      <c r="B273" s="1">
        <v>50</v>
      </c>
    </row>
    <row r="274" spans="1:2">
      <c r="A274" s="112">
        <v>40451</v>
      </c>
      <c r="B274" s="1">
        <v>42</v>
      </c>
    </row>
    <row r="275" spans="1:2">
      <c r="A275" s="112">
        <v>40452</v>
      </c>
      <c r="B275" s="1">
        <v>40</v>
      </c>
    </row>
    <row r="276" spans="1:2">
      <c r="A276" s="112">
        <v>40453</v>
      </c>
      <c r="B276" s="1">
        <v>49</v>
      </c>
    </row>
    <row r="277" spans="1:2">
      <c r="A277" s="112">
        <v>40454</v>
      </c>
      <c r="B277" s="1">
        <v>64</v>
      </c>
    </row>
    <row r="278" spans="1:2">
      <c r="A278" s="112">
        <v>40455</v>
      </c>
      <c r="B278" s="1">
        <v>81</v>
      </c>
    </row>
    <row r="279" spans="1:2">
      <c r="A279" s="112">
        <v>40456</v>
      </c>
      <c r="B279" s="1">
        <v>96</v>
      </c>
    </row>
    <row r="280" spans="1:2">
      <c r="A280" s="112">
        <v>40457</v>
      </c>
      <c r="B280" s="1">
        <v>107</v>
      </c>
    </row>
    <row r="281" spans="1:2">
      <c r="A281" s="112">
        <v>40458</v>
      </c>
      <c r="B281" s="1">
        <v>112</v>
      </c>
    </row>
    <row r="282" spans="1:2">
      <c r="A282" s="112">
        <v>40459</v>
      </c>
      <c r="B282" s="1">
        <v>110</v>
      </c>
    </row>
    <row r="283" spans="1:2">
      <c r="A283" s="112">
        <v>40460</v>
      </c>
      <c r="B283" s="1">
        <v>102</v>
      </c>
    </row>
    <row r="284" spans="1:2">
      <c r="A284" s="112">
        <v>40461</v>
      </c>
      <c r="B284" s="1">
        <v>90</v>
      </c>
    </row>
    <row r="285" spans="1:2">
      <c r="A285" s="112">
        <v>40462</v>
      </c>
      <c r="B285" s="1">
        <v>74</v>
      </c>
    </row>
    <row r="286" spans="1:2">
      <c r="A286" s="112">
        <v>40463</v>
      </c>
      <c r="B286" s="1">
        <v>59</v>
      </c>
    </row>
    <row r="287" spans="1:2">
      <c r="A287" s="112">
        <v>40464</v>
      </c>
      <c r="B287" s="1">
        <v>45</v>
      </c>
    </row>
    <row r="288" spans="1:2">
      <c r="A288" s="112">
        <v>40465</v>
      </c>
      <c r="B288" s="1">
        <v>37</v>
      </c>
    </row>
    <row r="289" spans="1:2">
      <c r="A289" s="112">
        <v>40466</v>
      </c>
      <c r="B289" s="1">
        <v>35</v>
      </c>
    </row>
    <row r="290" spans="1:2">
      <c r="A290" s="112">
        <v>40467</v>
      </c>
      <c r="B290" s="1">
        <v>41</v>
      </c>
    </row>
    <row r="291" spans="1:2">
      <c r="A291" s="112">
        <v>40468</v>
      </c>
      <c r="B291" s="1">
        <v>50</v>
      </c>
    </row>
    <row r="292" spans="1:2">
      <c r="A292" s="112">
        <v>40469</v>
      </c>
      <c r="B292" s="1">
        <v>59</v>
      </c>
    </row>
    <row r="293" spans="1:2">
      <c r="A293" s="112">
        <v>40470</v>
      </c>
      <c r="B293" s="1">
        <v>68</v>
      </c>
    </row>
    <row r="294" spans="1:2">
      <c r="A294" s="112">
        <v>40471</v>
      </c>
      <c r="B294" s="1">
        <v>76</v>
      </c>
    </row>
    <row r="295" spans="1:2">
      <c r="A295" s="112">
        <v>40472</v>
      </c>
      <c r="B295" s="1">
        <v>81</v>
      </c>
    </row>
    <row r="296" spans="1:2">
      <c r="A296" s="112">
        <v>40473</v>
      </c>
      <c r="B296" s="1">
        <v>85</v>
      </c>
    </row>
    <row r="297" spans="1:2">
      <c r="A297" s="112">
        <v>40474</v>
      </c>
      <c r="B297" s="1">
        <v>86</v>
      </c>
    </row>
    <row r="298" spans="1:2">
      <c r="A298" s="112">
        <v>40475</v>
      </c>
      <c r="B298" s="1">
        <v>84</v>
      </c>
    </row>
    <row r="299" spans="1:2">
      <c r="A299" s="112">
        <v>40476</v>
      </c>
      <c r="B299" s="1">
        <v>79</v>
      </c>
    </row>
    <row r="300" spans="1:2">
      <c r="A300" s="112">
        <v>40477</v>
      </c>
      <c r="B300" s="1">
        <v>72</v>
      </c>
    </row>
    <row r="301" spans="1:2">
      <c r="A301" s="112">
        <v>40478</v>
      </c>
      <c r="B301" s="1">
        <v>63</v>
      </c>
    </row>
    <row r="302" spans="1:2">
      <c r="A302" s="112">
        <v>40479</v>
      </c>
      <c r="B302" s="1">
        <v>55</v>
      </c>
    </row>
    <row r="303" spans="1:2">
      <c r="A303" s="112">
        <v>40480</v>
      </c>
      <c r="B303" s="1">
        <v>48</v>
      </c>
    </row>
    <row r="304" spans="1:2">
      <c r="A304" s="112">
        <v>40481</v>
      </c>
      <c r="B304" s="1">
        <v>48</v>
      </c>
    </row>
    <row r="305" spans="1:2">
      <c r="A305" s="112">
        <v>40482</v>
      </c>
      <c r="B305" s="1">
        <v>55</v>
      </c>
    </row>
    <row r="306" spans="1:2">
      <c r="A306" s="112">
        <v>40483</v>
      </c>
      <c r="B306" s="1">
        <v>67</v>
      </c>
    </row>
    <row r="307" spans="1:2">
      <c r="A307" s="112">
        <v>40484</v>
      </c>
      <c r="B307" s="1">
        <v>80</v>
      </c>
    </row>
    <row r="308" spans="1:2">
      <c r="A308" s="112">
        <v>40485</v>
      </c>
      <c r="B308" s="1">
        <v>91</v>
      </c>
    </row>
    <row r="309" spans="1:2">
      <c r="A309" s="112">
        <v>40486</v>
      </c>
      <c r="B309" s="1">
        <v>98</v>
      </c>
    </row>
    <row r="310" spans="1:2">
      <c r="A310" s="112">
        <v>40487</v>
      </c>
      <c r="B310" s="1">
        <v>101</v>
      </c>
    </row>
    <row r="311" spans="1:2">
      <c r="A311" s="112">
        <v>40488</v>
      </c>
      <c r="B311" s="1">
        <v>100</v>
      </c>
    </row>
    <row r="312" spans="1:2">
      <c r="A312" s="112">
        <v>40489</v>
      </c>
      <c r="B312" s="1">
        <v>93</v>
      </c>
    </row>
    <row r="313" spans="1:2">
      <c r="A313" s="112">
        <v>40490</v>
      </c>
      <c r="B313" s="1">
        <v>85</v>
      </c>
    </row>
    <row r="314" spans="1:2">
      <c r="A314" s="112">
        <v>40491</v>
      </c>
      <c r="B314" s="1">
        <v>73</v>
      </c>
    </row>
    <row r="315" spans="1:2">
      <c r="A315" s="112">
        <v>40492</v>
      </c>
      <c r="B315" s="1">
        <v>61</v>
      </c>
    </row>
    <row r="316" spans="1:2">
      <c r="A316" s="112">
        <v>40493</v>
      </c>
      <c r="B316" s="1">
        <v>51</v>
      </c>
    </row>
    <row r="317" spans="1:2">
      <c r="A317" s="112">
        <v>40494</v>
      </c>
      <c r="B317" s="1">
        <v>43</v>
      </c>
    </row>
    <row r="318" spans="1:2">
      <c r="A318" s="112">
        <v>40495</v>
      </c>
      <c r="B318" s="1">
        <v>39</v>
      </c>
    </row>
    <row r="319" spans="1:2">
      <c r="A319" s="112">
        <v>40496</v>
      </c>
      <c r="B319" s="1">
        <v>40</v>
      </c>
    </row>
    <row r="320" spans="1:2">
      <c r="A320" s="112">
        <v>40497</v>
      </c>
      <c r="B320" s="1">
        <v>46</v>
      </c>
    </row>
    <row r="321" spans="1:2">
      <c r="A321" s="112">
        <v>40498</v>
      </c>
      <c r="B321" s="1">
        <v>53</v>
      </c>
    </row>
    <row r="322" spans="1:2">
      <c r="A322" s="112">
        <v>40499</v>
      </c>
      <c r="B322" s="1">
        <v>61</v>
      </c>
    </row>
    <row r="323" spans="1:2">
      <c r="A323" s="112">
        <v>40500</v>
      </c>
      <c r="B323" s="1">
        <v>68</v>
      </c>
    </row>
    <row r="324" spans="1:2">
      <c r="A324" s="112">
        <v>40501</v>
      </c>
      <c r="B324" s="1">
        <v>75</v>
      </c>
    </row>
    <row r="325" spans="1:2">
      <c r="A325" s="112">
        <v>40502</v>
      </c>
      <c r="B325" s="1">
        <v>80</v>
      </c>
    </row>
    <row r="326" spans="1:2">
      <c r="A326" s="112">
        <v>40503</v>
      </c>
      <c r="B326" s="1">
        <v>83</v>
      </c>
    </row>
    <row r="327" spans="1:2">
      <c r="A327" s="112">
        <v>40504</v>
      </c>
      <c r="B327" s="1">
        <v>83</v>
      </c>
    </row>
    <row r="328" spans="1:2">
      <c r="A328" s="112">
        <v>40505</v>
      </c>
      <c r="B328" s="1">
        <v>82</v>
      </c>
    </row>
    <row r="329" spans="1:2">
      <c r="A329" s="112">
        <v>40506</v>
      </c>
      <c r="B329" s="1">
        <v>78</v>
      </c>
    </row>
    <row r="330" spans="1:2">
      <c r="A330" s="112">
        <v>40507</v>
      </c>
      <c r="B330" s="1">
        <v>72</v>
      </c>
    </row>
    <row r="331" spans="1:2">
      <c r="A331" s="112">
        <v>40508</v>
      </c>
      <c r="B331" s="1">
        <v>66</v>
      </c>
    </row>
    <row r="332" spans="1:2">
      <c r="A332" s="112">
        <v>40509</v>
      </c>
      <c r="B332" s="1">
        <v>61</v>
      </c>
    </row>
    <row r="333" spans="1:2">
      <c r="A333" s="112">
        <v>40510</v>
      </c>
      <c r="B333" s="1">
        <v>58</v>
      </c>
    </row>
    <row r="334" spans="1:2">
      <c r="A334" s="112">
        <v>40511</v>
      </c>
      <c r="B334" s="1">
        <v>60</v>
      </c>
    </row>
    <row r="335" spans="1:2">
      <c r="A335" s="112">
        <v>40512</v>
      </c>
      <c r="B335" s="1">
        <v>65</v>
      </c>
    </row>
    <row r="336" spans="1:2">
      <c r="A336" s="112">
        <v>40513</v>
      </c>
      <c r="B336" s="1">
        <v>71</v>
      </c>
    </row>
    <row r="337" spans="1:2">
      <c r="A337" s="112">
        <v>40514</v>
      </c>
      <c r="B337" s="1">
        <v>79</v>
      </c>
    </row>
    <row r="338" spans="1:2">
      <c r="A338" s="112">
        <v>40515</v>
      </c>
      <c r="B338" s="1">
        <v>84</v>
      </c>
    </row>
    <row r="339" spans="1:2">
      <c r="A339" s="112">
        <v>40516</v>
      </c>
      <c r="B339" s="1">
        <v>86</v>
      </c>
    </row>
    <row r="340" spans="1:2">
      <c r="A340" s="112">
        <v>40517</v>
      </c>
      <c r="B340" s="1">
        <v>88</v>
      </c>
    </row>
    <row r="341" spans="1:2">
      <c r="A341" s="112">
        <v>40518</v>
      </c>
      <c r="B341" s="1">
        <v>86</v>
      </c>
    </row>
    <row r="342" spans="1:2">
      <c r="A342" s="112">
        <v>40519</v>
      </c>
      <c r="B342" s="1">
        <v>82</v>
      </c>
    </row>
    <row r="343" spans="1:2">
      <c r="A343" s="112">
        <v>40520</v>
      </c>
      <c r="B343" s="1">
        <v>76</v>
      </c>
    </row>
    <row r="344" spans="1:2">
      <c r="A344" s="112">
        <v>40521</v>
      </c>
      <c r="B344" s="1">
        <v>69</v>
      </c>
    </row>
    <row r="345" spans="1:2">
      <c r="A345" s="112">
        <v>40522</v>
      </c>
      <c r="B345" s="1">
        <v>60</v>
      </c>
    </row>
    <row r="346" spans="1:2">
      <c r="A346" s="112">
        <v>40523</v>
      </c>
      <c r="B346" s="1">
        <v>53</v>
      </c>
    </row>
    <row r="347" spans="1:2">
      <c r="A347" s="112">
        <v>40524</v>
      </c>
      <c r="B347" s="1">
        <v>46</v>
      </c>
    </row>
    <row r="348" spans="1:2">
      <c r="A348" s="112">
        <v>40525</v>
      </c>
      <c r="B348" s="1">
        <v>42</v>
      </c>
    </row>
    <row r="349" spans="1:2">
      <c r="A349" s="112">
        <v>40526</v>
      </c>
      <c r="B349" s="1">
        <v>42</v>
      </c>
    </row>
    <row r="350" spans="1:2">
      <c r="A350" s="112">
        <v>40527</v>
      </c>
      <c r="B350" s="1">
        <v>44</v>
      </c>
    </row>
    <row r="351" spans="1:2">
      <c r="A351" s="112">
        <v>40528</v>
      </c>
      <c r="B351" s="1">
        <v>50</v>
      </c>
    </row>
    <row r="352" spans="1:2">
      <c r="A352" s="112">
        <v>40529</v>
      </c>
      <c r="B352" s="1">
        <v>57</v>
      </c>
    </row>
    <row r="353" spans="1:2">
      <c r="A353" s="112">
        <v>40530</v>
      </c>
      <c r="B353" s="1">
        <v>66</v>
      </c>
    </row>
    <row r="354" spans="1:2">
      <c r="A354" s="112">
        <v>40531</v>
      </c>
      <c r="B354" s="1">
        <v>74</v>
      </c>
    </row>
    <row r="355" spans="1:2">
      <c r="A355" s="112">
        <v>40532</v>
      </c>
      <c r="B355" s="1">
        <v>81</v>
      </c>
    </row>
    <row r="356" spans="1:2">
      <c r="A356" s="112">
        <v>40533</v>
      </c>
      <c r="B356" s="1">
        <v>86</v>
      </c>
    </row>
    <row r="357" spans="1:2">
      <c r="A357" s="112">
        <v>40534</v>
      </c>
      <c r="B357" s="1">
        <v>89</v>
      </c>
    </row>
    <row r="358" spans="1:2">
      <c r="A358" s="112">
        <v>40535</v>
      </c>
      <c r="B358" s="1">
        <v>89</v>
      </c>
    </row>
    <row r="359" spans="1:2">
      <c r="A359" s="112">
        <v>40536</v>
      </c>
      <c r="B359" s="1">
        <v>86</v>
      </c>
    </row>
    <row r="360" spans="1:2">
      <c r="A360" s="112">
        <v>40537</v>
      </c>
      <c r="B360" s="1">
        <v>81</v>
      </c>
    </row>
    <row r="361" spans="1:2">
      <c r="A361" s="112">
        <v>40538</v>
      </c>
      <c r="B361" s="1">
        <v>74</v>
      </c>
    </row>
    <row r="362" spans="1:2">
      <c r="A362" s="112">
        <v>40539</v>
      </c>
      <c r="B362" s="1">
        <v>66</v>
      </c>
    </row>
    <row r="363" spans="1:2">
      <c r="A363" s="112">
        <v>40540</v>
      </c>
      <c r="B363" s="1">
        <v>60</v>
      </c>
    </row>
    <row r="364" spans="1:2">
      <c r="A364" s="112">
        <v>40541</v>
      </c>
      <c r="B364" s="1">
        <v>57</v>
      </c>
    </row>
    <row r="365" spans="1:2">
      <c r="A365" s="112">
        <v>40542</v>
      </c>
      <c r="B365" s="1">
        <v>58</v>
      </c>
    </row>
    <row r="366" spans="1:2">
      <c r="A366" s="112">
        <v>40543</v>
      </c>
      <c r="B366" s="1">
        <v>63</v>
      </c>
    </row>
    <row r="367" spans="1:2">
      <c r="A367" s="112">
        <v>40544</v>
      </c>
      <c r="B367" s="1">
        <v>74</v>
      </c>
    </row>
    <row r="368" spans="1:2">
      <c r="A368" s="112">
        <v>40545</v>
      </c>
      <c r="B368" s="1">
        <v>79</v>
      </c>
    </row>
    <row r="369" spans="1:2">
      <c r="A369" s="112">
        <v>40546</v>
      </c>
      <c r="B369" s="1">
        <v>83</v>
      </c>
    </row>
    <row r="370" spans="1:2">
      <c r="A370" s="112">
        <v>40547</v>
      </c>
      <c r="B370" s="1">
        <v>84</v>
      </c>
    </row>
    <row r="371" spans="1:2">
      <c r="A371" s="112">
        <v>40548</v>
      </c>
      <c r="B371" s="1">
        <v>82</v>
      </c>
    </row>
    <row r="372" spans="1:2">
      <c r="A372" s="112">
        <v>40549</v>
      </c>
      <c r="B372" s="1">
        <v>79</v>
      </c>
    </row>
    <row r="373" spans="1:2">
      <c r="A373" s="112">
        <v>40550</v>
      </c>
      <c r="B373" s="1">
        <v>73</v>
      </c>
    </row>
    <row r="374" spans="1:2">
      <c r="A374" s="112">
        <v>40551</v>
      </c>
      <c r="B374" s="1">
        <v>67</v>
      </c>
    </row>
    <row r="375" spans="1:2">
      <c r="A375" s="112">
        <v>40552</v>
      </c>
      <c r="B375" s="1">
        <v>59</v>
      </c>
    </row>
    <row r="376" spans="1:2">
      <c r="A376" s="112">
        <v>40553</v>
      </c>
      <c r="B376" s="1">
        <v>51</v>
      </c>
    </row>
    <row r="377" spans="1:2">
      <c r="A377" s="112">
        <v>40554</v>
      </c>
      <c r="B377" s="1">
        <v>44</v>
      </c>
    </row>
    <row r="378" spans="1:2">
      <c r="A378" s="112">
        <v>40555</v>
      </c>
      <c r="B378" s="1">
        <v>39</v>
      </c>
    </row>
    <row r="379" spans="1:2">
      <c r="A379" s="112">
        <v>40556</v>
      </c>
      <c r="B379" s="1">
        <v>39</v>
      </c>
    </row>
    <row r="380" spans="1:2">
      <c r="A380" s="112">
        <v>40557</v>
      </c>
      <c r="B380" s="1">
        <v>44</v>
      </c>
    </row>
    <row r="381" spans="1:2">
      <c r="A381" s="112">
        <v>40558</v>
      </c>
      <c r="B381" s="1">
        <v>53</v>
      </c>
    </row>
    <row r="382" spans="1:2">
      <c r="A382" s="112">
        <v>40559</v>
      </c>
      <c r="B382" s="1">
        <v>65</v>
      </c>
    </row>
    <row r="383" spans="1:2">
      <c r="A383" s="112">
        <v>40560</v>
      </c>
      <c r="B383" s="1">
        <v>77</v>
      </c>
    </row>
    <row r="384" spans="1:2">
      <c r="A384" s="112">
        <v>40561</v>
      </c>
      <c r="B384" s="1">
        <v>89</v>
      </c>
    </row>
    <row r="385" spans="1:2">
      <c r="A385" s="112">
        <v>40562</v>
      </c>
      <c r="B385" s="1">
        <v>97</v>
      </c>
    </row>
    <row r="386" spans="1:2">
      <c r="A386" s="112">
        <v>40563</v>
      </c>
      <c r="B386" s="1">
        <v>102</v>
      </c>
    </row>
    <row r="387" spans="1:2">
      <c r="A387" s="112">
        <v>40564</v>
      </c>
      <c r="B387" s="1">
        <v>103</v>
      </c>
    </row>
    <row r="388" spans="1:2">
      <c r="A388" s="112">
        <v>40565</v>
      </c>
      <c r="B388" s="1">
        <v>98</v>
      </c>
    </row>
    <row r="389" spans="1:2">
      <c r="A389" s="112">
        <v>40566</v>
      </c>
      <c r="B389" s="1">
        <v>88</v>
      </c>
    </row>
    <row r="390" spans="1:2">
      <c r="A390" s="112">
        <v>40567</v>
      </c>
      <c r="B390" s="1">
        <v>76</v>
      </c>
    </row>
    <row r="391" spans="1:2">
      <c r="A391" s="112">
        <v>40568</v>
      </c>
      <c r="B391" s="1">
        <v>63</v>
      </c>
    </row>
    <row r="392" spans="1:2">
      <c r="A392" s="112">
        <v>40569</v>
      </c>
      <c r="B392" s="1">
        <v>51</v>
      </c>
    </row>
    <row r="393" spans="1:2">
      <c r="A393" s="112">
        <v>40570</v>
      </c>
      <c r="B393" s="1">
        <v>47</v>
      </c>
    </row>
    <row r="394" spans="1:2">
      <c r="A394" s="112">
        <v>40571</v>
      </c>
      <c r="B394" s="1">
        <v>49</v>
      </c>
    </row>
    <row r="395" spans="1:2">
      <c r="A395" s="112">
        <v>40572</v>
      </c>
      <c r="B395" s="1">
        <v>56</v>
      </c>
    </row>
    <row r="396" spans="1:2">
      <c r="A396" s="112">
        <v>40573</v>
      </c>
      <c r="B396" s="1">
        <v>66</v>
      </c>
    </row>
    <row r="397" spans="1:2">
      <c r="A397" s="112">
        <v>40574</v>
      </c>
      <c r="B397" s="1">
        <v>74</v>
      </c>
    </row>
    <row r="398" spans="1:2">
      <c r="A398" s="112">
        <v>40575</v>
      </c>
      <c r="B398" s="1">
        <v>81</v>
      </c>
    </row>
    <row r="399" spans="1:2">
      <c r="A399" s="112">
        <v>40576</v>
      </c>
      <c r="B399" s="1">
        <v>85</v>
      </c>
    </row>
    <row r="400" spans="1:2">
      <c r="A400" s="112">
        <v>40577</v>
      </c>
      <c r="B400" s="1">
        <v>86</v>
      </c>
    </row>
    <row r="401" spans="1:2">
      <c r="A401" s="112">
        <v>40578</v>
      </c>
      <c r="B401" s="1">
        <v>84</v>
      </c>
    </row>
    <row r="402" spans="1:2">
      <c r="A402" s="112">
        <v>40579</v>
      </c>
      <c r="B402" s="1">
        <v>81</v>
      </c>
    </row>
    <row r="403" spans="1:2">
      <c r="A403" s="112">
        <v>40580</v>
      </c>
      <c r="B403" s="1">
        <v>75</v>
      </c>
    </row>
    <row r="404" spans="1:2">
      <c r="A404" s="112">
        <v>40581</v>
      </c>
      <c r="B404" s="1">
        <v>67</v>
      </c>
    </row>
    <row r="405" spans="1:2">
      <c r="A405" s="112">
        <v>40582</v>
      </c>
      <c r="B405" s="1">
        <v>58</v>
      </c>
    </row>
    <row r="406" spans="1:2">
      <c r="A406" s="112">
        <v>40583</v>
      </c>
      <c r="B406" s="1">
        <v>48</v>
      </c>
    </row>
    <row r="407" spans="1:2">
      <c r="A407" s="112">
        <v>40584</v>
      </c>
      <c r="B407" s="1">
        <v>39</v>
      </c>
    </row>
    <row r="408" spans="1:2">
      <c r="A408" s="112">
        <v>40585</v>
      </c>
      <c r="B408" s="1">
        <v>35</v>
      </c>
    </row>
    <row r="409" spans="1:2">
      <c r="A409" s="112">
        <v>40586</v>
      </c>
      <c r="B409" s="1">
        <v>38</v>
      </c>
    </row>
    <row r="410" spans="1:2">
      <c r="A410" s="112">
        <v>40587</v>
      </c>
      <c r="B410" s="1">
        <v>48</v>
      </c>
    </row>
    <row r="411" spans="1:2">
      <c r="A411" s="112">
        <v>40588</v>
      </c>
      <c r="B411" s="1">
        <v>63</v>
      </c>
    </row>
    <row r="412" spans="1:2">
      <c r="A412" s="112">
        <v>40589</v>
      </c>
      <c r="B412" s="1">
        <v>80</v>
      </c>
    </row>
    <row r="413" spans="1:2">
      <c r="A413" s="112">
        <v>40590</v>
      </c>
      <c r="B413" s="1">
        <v>95</v>
      </c>
    </row>
    <row r="414" spans="1:2">
      <c r="A414" s="112">
        <v>40591</v>
      </c>
      <c r="B414" s="1">
        <v>107</v>
      </c>
    </row>
    <row r="415" spans="1:2">
      <c r="A415" s="112">
        <v>40592</v>
      </c>
      <c r="B415" s="1">
        <v>114</v>
      </c>
    </row>
    <row r="416" spans="1:2">
      <c r="A416" s="112">
        <v>40593</v>
      </c>
      <c r="B416" s="1">
        <v>113</v>
      </c>
    </row>
    <row r="417" spans="1:2">
      <c r="A417" s="112">
        <v>40594</v>
      </c>
      <c r="B417" s="1">
        <v>106</v>
      </c>
    </row>
    <row r="418" spans="1:2">
      <c r="A418" s="112">
        <v>40595</v>
      </c>
      <c r="B418" s="1">
        <v>93</v>
      </c>
    </row>
    <row r="419" spans="1:2">
      <c r="A419" s="112">
        <v>40596</v>
      </c>
      <c r="B419" s="1">
        <v>76</v>
      </c>
    </row>
    <row r="420" spans="1:2">
      <c r="A420" s="112">
        <v>40597</v>
      </c>
      <c r="B420" s="1">
        <v>60</v>
      </c>
    </row>
    <row r="421" spans="1:2">
      <c r="A421" s="112">
        <v>40598</v>
      </c>
      <c r="B421" s="1">
        <v>45</v>
      </c>
    </row>
    <row r="422" spans="1:2">
      <c r="A422" s="112">
        <v>40599</v>
      </c>
      <c r="B422" s="1">
        <v>40</v>
      </c>
    </row>
    <row r="423" spans="1:2">
      <c r="A423" s="112">
        <v>40600</v>
      </c>
      <c r="B423" s="1">
        <v>43</v>
      </c>
    </row>
    <row r="424" spans="1:2">
      <c r="A424" s="112">
        <v>40601</v>
      </c>
      <c r="B424" s="1">
        <v>52</v>
      </c>
    </row>
    <row r="425" spans="1:2">
      <c r="A425" s="112">
        <v>40602</v>
      </c>
      <c r="B425" s="1">
        <v>63</v>
      </c>
    </row>
    <row r="426" spans="1:2">
      <c r="A426" s="112">
        <v>40603</v>
      </c>
      <c r="B426" s="1">
        <v>72</v>
      </c>
    </row>
    <row r="427" spans="1:2">
      <c r="A427" s="112">
        <v>40604</v>
      </c>
      <c r="B427" s="1">
        <v>80</v>
      </c>
    </row>
    <row r="428" spans="1:2">
      <c r="A428" s="112">
        <v>40605</v>
      </c>
      <c r="B428" s="1">
        <v>85</v>
      </c>
    </row>
    <row r="429" spans="1:2">
      <c r="A429" s="112">
        <v>40606</v>
      </c>
      <c r="B429" s="1">
        <v>87</v>
      </c>
    </row>
    <row r="430" spans="1:2">
      <c r="A430" s="112">
        <v>40607</v>
      </c>
      <c r="B430" s="1">
        <v>87</v>
      </c>
    </row>
    <row r="431" spans="1:2">
      <c r="A431" s="112">
        <v>40608</v>
      </c>
      <c r="B431" s="1">
        <v>84</v>
      </c>
    </row>
    <row r="432" spans="1:2">
      <c r="A432" s="112">
        <v>40609</v>
      </c>
      <c r="B432" s="1">
        <v>79</v>
      </c>
    </row>
    <row r="433" spans="1:2">
      <c r="A433" s="112">
        <v>40610</v>
      </c>
      <c r="B433" s="1">
        <v>71</v>
      </c>
    </row>
    <row r="434" spans="1:2">
      <c r="A434" s="112">
        <v>40611</v>
      </c>
      <c r="B434" s="1">
        <v>62</v>
      </c>
    </row>
    <row r="435" spans="1:2">
      <c r="A435" s="112">
        <v>40612</v>
      </c>
      <c r="B435" s="1">
        <v>52</v>
      </c>
    </row>
    <row r="436" spans="1:2">
      <c r="A436" s="112">
        <v>40613</v>
      </c>
      <c r="B436" s="1">
        <v>42</v>
      </c>
    </row>
    <row r="437" spans="1:2">
      <c r="A437" s="112">
        <v>40614</v>
      </c>
      <c r="B437" s="1">
        <v>35</v>
      </c>
    </row>
    <row r="438" spans="1:2">
      <c r="A438" s="112">
        <v>40615</v>
      </c>
      <c r="B438" s="1">
        <v>38</v>
      </c>
    </row>
    <row r="439" spans="1:2">
      <c r="A439" s="112">
        <v>40616</v>
      </c>
      <c r="B439" s="1">
        <v>49</v>
      </c>
    </row>
    <row r="440" spans="1:2">
      <c r="A440" s="112">
        <v>40617</v>
      </c>
      <c r="B440" s="1">
        <v>66</v>
      </c>
    </row>
    <row r="441" spans="1:2">
      <c r="A441" s="112">
        <v>40618</v>
      </c>
      <c r="B441" s="1">
        <v>84</v>
      </c>
    </row>
    <row r="442" spans="1:2">
      <c r="A442" s="112">
        <v>40619</v>
      </c>
      <c r="B442" s="1">
        <v>100</v>
      </c>
    </row>
    <row r="443" spans="1:2">
      <c r="A443" s="112">
        <v>40620</v>
      </c>
      <c r="B443" s="1">
        <v>112</v>
      </c>
    </row>
    <row r="444" spans="1:2">
      <c r="A444" s="112">
        <v>40621</v>
      </c>
      <c r="B444" s="1">
        <v>117</v>
      </c>
    </row>
    <row r="445" spans="1:2">
      <c r="A445" s="112">
        <v>40622</v>
      </c>
      <c r="B445" s="1">
        <v>114</v>
      </c>
    </row>
    <row r="446" spans="1:2">
      <c r="A446" s="112">
        <v>40623</v>
      </c>
      <c r="B446" s="1">
        <v>105</v>
      </c>
    </row>
    <row r="447" spans="1:2">
      <c r="A447" s="112">
        <v>40624</v>
      </c>
      <c r="B447" s="1">
        <v>90</v>
      </c>
    </row>
    <row r="448" spans="1:2">
      <c r="A448" s="112">
        <v>40625</v>
      </c>
      <c r="B448" s="1">
        <v>73</v>
      </c>
    </row>
    <row r="449" spans="1:2">
      <c r="A449" s="112">
        <v>40626</v>
      </c>
      <c r="B449" s="1">
        <v>56</v>
      </c>
    </row>
    <row r="450" spans="1:2">
      <c r="A450" s="112">
        <v>40627</v>
      </c>
      <c r="B450" s="1">
        <v>43</v>
      </c>
    </row>
    <row r="451" spans="1:2">
      <c r="A451" s="112">
        <v>40628</v>
      </c>
      <c r="B451" s="1">
        <v>38</v>
      </c>
    </row>
    <row r="452" spans="1:2">
      <c r="A452" s="112">
        <v>40629</v>
      </c>
      <c r="B452" s="1">
        <v>41</v>
      </c>
    </row>
    <row r="453" spans="1:2">
      <c r="A453" s="112">
        <v>40630</v>
      </c>
      <c r="B453" s="1">
        <v>50</v>
      </c>
    </row>
    <row r="454" spans="1:2">
      <c r="A454" s="112">
        <v>40631</v>
      </c>
      <c r="B454" s="1">
        <v>60</v>
      </c>
    </row>
    <row r="455" spans="1:2">
      <c r="A455" s="112">
        <v>40632</v>
      </c>
      <c r="B455" s="1">
        <v>69</v>
      </c>
    </row>
    <row r="456" spans="1:2">
      <c r="A456" s="112">
        <v>40633</v>
      </c>
      <c r="B456" s="1">
        <v>76</v>
      </c>
    </row>
    <row r="457" spans="1:2">
      <c r="A457" s="112">
        <v>40634</v>
      </c>
      <c r="B457" s="1">
        <v>81</v>
      </c>
    </row>
    <row r="458" spans="1:2">
      <c r="A458" s="112">
        <v>40635</v>
      </c>
      <c r="B458" s="1">
        <v>84</v>
      </c>
    </row>
    <row r="459" spans="1:2">
      <c r="A459" s="112">
        <v>40636</v>
      </c>
      <c r="B459" s="1">
        <v>85</v>
      </c>
    </row>
    <row r="460" spans="1:2">
      <c r="A460" s="112">
        <v>40637</v>
      </c>
      <c r="B460" s="1">
        <v>83</v>
      </c>
    </row>
    <row r="461" spans="1:2">
      <c r="A461" s="112">
        <v>40638</v>
      </c>
      <c r="B461" s="1">
        <v>79</v>
      </c>
    </row>
    <row r="462" spans="1:2">
      <c r="A462" s="112">
        <v>40639</v>
      </c>
      <c r="B462" s="1">
        <v>72</v>
      </c>
    </row>
    <row r="463" spans="1:2">
      <c r="A463" s="112">
        <v>40640</v>
      </c>
      <c r="B463" s="1">
        <v>64</v>
      </c>
    </row>
    <row r="464" spans="1:2">
      <c r="A464" s="112">
        <v>40641</v>
      </c>
      <c r="B464" s="1">
        <v>54</v>
      </c>
    </row>
    <row r="465" spans="1:2">
      <c r="A465" s="112">
        <v>40642</v>
      </c>
      <c r="B465" s="1">
        <v>46</v>
      </c>
    </row>
    <row r="466" spans="1:2">
      <c r="A466" s="112">
        <v>40643</v>
      </c>
      <c r="B466" s="1">
        <v>41</v>
      </c>
    </row>
    <row r="467" spans="1:2">
      <c r="A467" s="112">
        <v>40644</v>
      </c>
      <c r="B467" s="1">
        <v>44</v>
      </c>
    </row>
    <row r="468" spans="1:2">
      <c r="A468" s="112">
        <v>40645</v>
      </c>
      <c r="B468" s="1">
        <v>55</v>
      </c>
    </row>
    <row r="469" spans="1:2">
      <c r="A469" s="112">
        <v>40646</v>
      </c>
      <c r="B469" s="1">
        <v>70</v>
      </c>
    </row>
    <row r="470" spans="1:2">
      <c r="A470" s="112">
        <v>40647</v>
      </c>
      <c r="B470" s="1">
        <v>86</v>
      </c>
    </row>
    <row r="471" spans="1:2">
      <c r="A471" s="112">
        <v>40648</v>
      </c>
      <c r="B471" s="1">
        <v>99</v>
      </c>
    </row>
    <row r="472" spans="1:2">
      <c r="A472" s="112">
        <v>40649</v>
      </c>
      <c r="B472" s="1">
        <v>108</v>
      </c>
    </row>
    <row r="473" spans="1:2">
      <c r="A473" s="112">
        <v>40650</v>
      </c>
      <c r="B473" s="1">
        <v>110</v>
      </c>
    </row>
    <row r="474" spans="1:2">
      <c r="A474" s="112">
        <v>40651</v>
      </c>
      <c r="B474" s="1">
        <v>107</v>
      </c>
    </row>
    <row r="475" spans="1:2">
      <c r="A475" s="112">
        <v>40652</v>
      </c>
      <c r="B475" s="1">
        <v>97</v>
      </c>
    </row>
    <row r="476" spans="1:2">
      <c r="A476" s="112">
        <v>40653</v>
      </c>
      <c r="B476" s="1">
        <v>85</v>
      </c>
    </row>
    <row r="477" spans="1:2">
      <c r="A477" s="112">
        <v>40654</v>
      </c>
      <c r="B477" s="1">
        <v>70</v>
      </c>
    </row>
    <row r="478" spans="1:2">
      <c r="A478" s="112">
        <v>40655</v>
      </c>
      <c r="B478" s="1">
        <v>57</v>
      </c>
    </row>
    <row r="479" spans="1:2">
      <c r="A479" s="112">
        <v>40656</v>
      </c>
      <c r="B479" s="1">
        <v>45</v>
      </c>
    </row>
    <row r="480" spans="1:2">
      <c r="A480" s="112">
        <v>40657</v>
      </c>
      <c r="B480" s="1">
        <v>40</v>
      </c>
    </row>
    <row r="481" spans="1:2">
      <c r="A481" s="112">
        <v>40658</v>
      </c>
      <c r="B481" s="1">
        <v>42</v>
      </c>
    </row>
    <row r="482" spans="1:2">
      <c r="A482" s="112">
        <v>40659</v>
      </c>
      <c r="B482" s="1">
        <v>48</v>
      </c>
    </row>
    <row r="483" spans="1:2">
      <c r="A483" s="112">
        <v>40660</v>
      </c>
      <c r="B483" s="1">
        <v>55</v>
      </c>
    </row>
    <row r="484" spans="1:2">
      <c r="A484" s="112">
        <v>40661</v>
      </c>
      <c r="B484" s="1">
        <v>63</v>
      </c>
    </row>
    <row r="485" spans="1:2">
      <c r="A485" s="112">
        <v>40662</v>
      </c>
      <c r="B485" s="1">
        <v>69</v>
      </c>
    </row>
    <row r="486" spans="1:2">
      <c r="A486" s="112">
        <v>40663</v>
      </c>
      <c r="B486" s="1">
        <v>75</v>
      </c>
    </row>
    <row r="487" spans="1:2">
      <c r="A487" s="112">
        <v>40664</v>
      </c>
      <c r="B487" s="1">
        <v>79</v>
      </c>
    </row>
    <row r="488" spans="1:2">
      <c r="A488" s="112">
        <v>40665</v>
      </c>
      <c r="B488" s="1">
        <v>80</v>
      </c>
    </row>
    <row r="489" spans="1:2">
      <c r="A489" s="112">
        <v>40666</v>
      </c>
      <c r="B489" s="1">
        <v>80</v>
      </c>
    </row>
    <row r="490" spans="1:2">
      <c r="A490" s="112">
        <v>40667</v>
      </c>
      <c r="B490" s="1">
        <v>77</v>
      </c>
    </row>
    <row r="491" spans="1:2">
      <c r="A491" s="112">
        <v>40668</v>
      </c>
      <c r="B491" s="1">
        <v>73</v>
      </c>
    </row>
    <row r="492" spans="1:2">
      <c r="A492" s="112">
        <v>40669</v>
      </c>
      <c r="B492" s="1">
        <v>67</v>
      </c>
    </row>
    <row r="493" spans="1:2">
      <c r="A493" s="112">
        <v>40670</v>
      </c>
      <c r="B493" s="1">
        <v>60</v>
      </c>
    </row>
    <row r="494" spans="1:2">
      <c r="A494" s="112">
        <v>40671</v>
      </c>
      <c r="B494" s="1">
        <v>54</v>
      </c>
    </row>
    <row r="495" spans="1:2">
      <c r="A495" s="112">
        <v>40672</v>
      </c>
      <c r="B495" s="1">
        <v>51</v>
      </c>
    </row>
    <row r="496" spans="1:2">
      <c r="A496" s="112">
        <v>40673</v>
      </c>
      <c r="B496" s="1">
        <v>54</v>
      </c>
    </row>
    <row r="497" spans="1:2">
      <c r="A497" s="112">
        <v>40674</v>
      </c>
      <c r="B497" s="1">
        <v>61</v>
      </c>
    </row>
    <row r="498" spans="1:2">
      <c r="A498" s="112">
        <v>40675</v>
      </c>
      <c r="B498" s="1">
        <v>71</v>
      </c>
    </row>
    <row r="499" spans="1:2">
      <c r="A499" s="112">
        <v>40676</v>
      </c>
      <c r="B499" s="1">
        <v>82</v>
      </c>
    </row>
    <row r="500" spans="1:2">
      <c r="A500" s="112">
        <v>40677</v>
      </c>
      <c r="B500" s="1">
        <v>91</v>
      </c>
    </row>
    <row r="501" spans="1:2">
      <c r="A501" s="112">
        <v>40678</v>
      </c>
      <c r="B501" s="1">
        <v>97</v>
      </c>
    </row>
    <row r="502" spans="1:2">
      <c r="A502" s="112">
        <v>40679</v>
      </c>
      <c r="B502" s="1">
        <v>99</v>
      </c>
    </row>
    <row r="503" spans="1:2">
      <c r="A503" s="112">
        <v>40680</v>
      </c>
      <c r="B503" s="1">
        <v>97</v>
      </c>
    </row>
    <row r="504" spans="1:2">
      <c r="A504" s="112">
        <v>40681</v>
      </c>
      <c r="B504" s="1">
        <v>90</v>
      </c>
    </row>
    <row r="505" spans="1:2">
      <c r="A505" s="112">
        <v>40682</v>
      </c>
      <c r="B505" s="1">
        <v>81</v>
      </c>
    </row>
    <row r="506" spans="1:2">
      <c r="A506" s="112">
        <v>40683</v>
      </c>
      <c r="B506" s="1">
        <v>72</v>
      </c>
    </row>
    <row r="507" spans="1:2">
      <c r="A507" s="112">
        <v>40684</v>
      </c>
      <c r="B507" s="1">
        <v>61</v>
      </c>
    </row>
    <row r="508" spans="1:2">
      <c r="A508" s="112">
        <v>40685</v>
      </c>
      <c r="B508" s="1">
        <v>53</v>
      </c>
    </row>
    <row r="509" spans="1:2">
      <c r="A509" s="112">
        <v>40686</v>
      </c>
      <c r="B509" s="1">
        <v>47</v>
      </c>
    </row>
    <row r="510" spans="1:2">
      <c r="A510" s="112">
        <v>40687</v>
      </c>
      <c r="B510" s="1">
        <v>44</v>
      </c>
    </row>
    <row r="511" spans="1:2">
      <c r="A511" s="112">
        <v>40688</v>
      </c>
      <c r="B511" s="1">
        <v>45</v>
      </c>
    </row>
    <row r="512" spans="1:2">
      <c r="A512" s="112">
        <v>40689</v>
      </c>
      <c r="B512" s="1">
        <v>49</v>
      </c>
    </row>
    <row r="513" spans="1:2">
      <c r="A513" s="112">
        <v>40690</v>
      </c>
      <c r="B513" s="1">
        <v>54</v>
      </c>
    </row>
    <row r="514" spans="1:2">
      <c r="A514" s="112">
        <v>40691</v>
      </c>
      <c r="B514" s="1">
        <v>61</v>
      </c>
    </row>
    <row r="515" spans="1:2">
      <c r="A515" s="112">
        <v>40692</v>
      </c>
      <c r="B515" s="1">
        <v>66</v>
      </c>
    </row>
    <row r="516" spans="1:2">
      <c r="A516" s="112">
        <v>40693</v>
      </c>
      <c r="B516" s="1">
        <v>72</v>
      </c>
    </row>
    <row r="517" spans="1:2">
      <c r="A517" s="112">
        <v>40694</v>
      </c>
      <c r="B517" s="1">
        <v>76</v>
      </c>
    </row>
    <row r="518" spans="1:2">
      <c r="A518" s="112">
        <v>40695</v>
      </c>
      <c r="B518" s="1">
        <v>78</v>
      </c>
    </row>
    <row r="519" spans="1:2">
      <c r="A519" s="112">
        <v>40696</v>
      </c>
      <c r="B519" s="1">
        <v>79</v>
      </c>
    </row>
    <row r="520" spans="1:2">
      <c r="A520" s="112">
        <v>40697</v>
      </c>
      <c r="B520" s="1">
        <v>78</v>
      </c>
    </row>
    <row r="521" spans="1:2">
      <c r="A521" s="112">
        <v>40698</v>
      </c>
      <c r="B521" s="1">
        <v>75</v>
      </c>
    </row>
    <row r="522" spans="1:2">
      <c r="A522" s="112">
        <v>40699</v>
      </c>
      <c r="B522" s="1">
        <v>71</v>
      </c>
    </row>
    <row r="523" spans="1:2">
      <c r="A523" s="112">
        <v>40700</v>
      </c>
      <c r="B523" s="1">
        <v>66</v>
      </c>
    </row>
    <row r="524" spans="1:2">
      <c r="A524" s="112">
        <v>40701</v>
      </c>
      <c r="B524" s="1">
        <v>63</v>
      </c>
    </row>
    <row r="525" spans="1:2">
      <c r="A525" s="112">
        <v>40702</v>
      </c>
      <c r="B525" s="1">
        <v>62</v>
      </c>
    </row>
    <row r="526" spans="1:2">
      <c r="A526" s="112">
        <v>40703</v>
      </c>
      <c r="B526" s="1">
        <v>63</v>
      </c>
    </row>
    <row r="527" spans="1:2">
      <c r="A527" s="112">
        <v>40704</v>
      </c>
      <c r="B527" s="1">
        <v>68</v>
      </c>
    </row>
    <row r="528" spans="1:2">
      <c r="A528" s="112">
        <v>40705</v>
      </c>
      <c r="B528" s="1">
        <v>72</v>
      </c>
    </row>
    <row r="529" spans="1:2">
      <c r="A529" s="112">
        <v>40706</v>
      </c>
      <c r="B529" s="1">
        <v>79</v>
      </c>
    </row>
    <row r="530" spans="1:2">
      <c r="A530" s="112">
        <v>40707</v>
      </c>
      <c r="B530" s="1">
        <v>85</v>
      </c>
    </row>
    <row r="531" spans="1:2">
      <c r="A531" s="112">
        <v>40708</v>
      </c>
      <c r="B531" s="1">
        <v>88</v>
      </c>
    </row>
    <row r="532" spans="1:2">
      <c r="A532" s="112">
        <v>40709</v>
      </c>
      <c r="B532" s="1">
        <v>88</v>
      </c>
    </row>
    <row r="533" spans="1:2">
      <c r="A533" s="112">
        <v>40710</v>
      </c>
      <c r="B533" s="1">
        <v>86</v>
      </c>
    </row>
    <row r="534" spans="1:2">
      <c r="A534" s="112">
        <v>40711</v>
      </c>
      <c r="B534" s="1">
        <v>82</v>
      </c>
    </row>
    <row r="535" spans="1:2">
      <c r="A535" s="112">
        <v>40712</v>
      </c>
      <c r="B535" s="1">
        <v>75</v>
      </c>
    </row>
    <row r="536" spans="1:2">
      <c r="A536" s="112">
        <v>40713</v>
      </c>
      <c r="B536" s="1">
        <v>68</v>
      </c>
    </row>
    <row r="537" spans="1:2">
      <c r="A537" s="112">
        <v>40714</v>
      </c>
      <c r="B537" s="1">
        <v>60</v>
      </c>
    </row>
    <row r="538" spans="1:2">
      <c r="A538" s="112">
        <v>40715</v>
      </c>
      <c r="B538" s="1">
        <v>53</v>
      </c>
    </row>
    <row r="539" spans="1:2">
      <c r="A539" s="112">
        <v>40716</v>
      </c>
      <c r="B539" s="1">
        <v>47</v>
      </c>
    </row>
    <row r="540" spans="1:2">
      <c r="A540" s="112">
        <v>40717</v>
      </c>
      <c r="B540" s="1">
        <v>43</v>
      </c>
    </row>
    <row r="541" spans="1:2">
      <c r="A541" s="112">
        <v>40718</v>
      </c>
      <c r="B541" s="1">
        <v>43</v>
      </c>
    </row>
    <row r="542" spans="1:2">
      <c r="A542" s="112">
        <v>40719</v>
      </c>
      <c r="B542" s="1">
        <v>46</v>
      </c>
    </row>
    <row r="543" spans="1:2">
      <c r="A543" s="112">
        <v>40720</v>
      </c>
      <c r="B543" s="1">
        <v>52</v>
      </c>
    </row>
    <row r="544" spans="1:2">
      <c r="A544" s="112">
        <v>40721</v>
      </c>
      <c r="B544" s="1">
        <v>59</v>
      </c>
    </row>
    <row r="545" spans="1:2">
      <c r="A545" s="112">
        <v>40722</v>
      </c>
      <c r="B545" s="1">
        <v>67</v>
      </c>
    </row>
    <row r="546" spans="1:2">
      <c r="A546" s="112">
        <v>40723</v>
      </c>
      <c r="B546" s="1">
        <v>74</v>
      </c>
    </row>
    <row r="547" spans="1:2">
      <c r="A547" s="112">
        <v>40724</v>
      </c>
      <c r="B547" s="1">
        <v>80</v>
      </c>
    </row>
    <row r="548" spans="1:2">
      <c r="A548" s="112">
        <v>40725</v>
      </c>
      <c r="B548" s="1">
        <v>85</v>
      </c>
    </row>
    <row r="549" spans="1:2">
      <c r="A549" s="112">
        <v>40726</v>
      </c>
      <c r="B549" s="1">
        <v>87</v>
      </c>
    </row>
    <row r="550" spans="1:2">
      <c r="A550" s="112">
        <v>40727</v>
      </c>
      <c r="B550" s="1">
        <v>87</v>
      </c>
    </row>
    <row r="551" spans="1:2">
      <c r="A551" s="112">
        <v>40728</v>
      </c>
      <c r="B551" s="1">
        <v>84</v>
      </c>
    </row>
    <row r="552" spans="1:2">
      <c r="A552" s="112">
        <v>40729</v>
      </c>
      <c r="B552" s="1">
        <v>79</v>
      </c>
    </row>
    <row r="553" spans="1:2">
      <c r="A553" s="112">
        <v>40730</v>
      </c>
      <c r="B553" s="1">
        <v>72</v>
      </c>
    </row>
    <row r="554" spans="1:2">
      <c r="A554" s="112">
        <v>40731</v>
      </c>
      <c r="B554" s="1">
        <v>65</v>
      </c>
    </row>
    <row r="555" spans="1:2">
      <c r="A555" s="112">
        <v>40732</v>
      </c>
      <c r="B555" s="1">
        <v>60</v>
      </c>
    </row>
    <row r="556" spans="1:2">
      <c r="A556" s="112">
        <v>40733</v>
      </c>
      <c r="B556" s="1">
        <v>58</v>
      </c>
    </row>
    <row r="557" spans="1:2">
      <c r="A557" s="112">
        <v>40734</v>
      </c>
      <c r="B557" s="1">
        <v>63</v>
      </c>
    </row>
    <row r="558" spans="1:2">
      <c r="A558" s="112">
        <v>40735</v>
      </c>
      <c r="B558" s="1">
        <v>68</v>
      </c>
    </row>
    <row r="559" spans="1:2">
      <c r="A559" s="112">
        <v>40736</v>
      </c>
      <c r="B559" s="1">
        <v>75</v>
      </c>
    </row>
    <row r="560" spans="1:2">
      <c r="A560" s="112">
        <v>40737</v>
      </c>
      <c r="B560" s="1">
        <v>82</v>
      </c>
    </row>
    <row r="561" spans="1:2">
      <c r="A561" s="112">
        <v>40738</v>
      </c>
      <c r="B561" s="1">
        <v>85</v>
      </c>
    </row>
    <row r="562" spans="1:2">
      <c r="A562" s="112">
        <v>40739</v>
      </c>
      <c r="B562" s="1">
        <v>86</v>
      </c>
    </row>
    <row r="563" spans="1:2">
      <c r="A563" s="112">
        <v>40740</v>
      </c>
      <c r="B563" s="1">
        <v>85</v>
      </c>
    </row>
    <row r="564" spans="1:2">
      <c r="A564" s="112">
        <v>40741</v>
      </c>
      <c r="B564" s="1">
        <v>80</v>
      </c>
    </row>
    <row r="565" spans="1:2">
      <c r="A565" s="112">
        <v>40742</v>
      </c>
      <c r="B565" s="1">
        <v>75</v>
      </c>
    </row>
    <row r="566" spans="1:2">
      <c r="A566" s="112">
        <v>40743</v>
      </c>
      <c r="B566" s="1">
        <v>67</v>
      </c>
    </row>
    <row r="567" spans="1:2">
      <c r="A567" s="112">
        <v>40744</v>
      </c>
      <c r="B567" s="1">
        <v>58</v>
      </c>
    </row>
    <row r="568" spans="1:2">
      <c r="A568" s="112">
        <v>40745</v>
      </c>
      <c r="B568" s="1">
        <v>50</v>
      </c>
    </row>
    <row r="569" spans="1:2">
      <c r="A569" s="112">
        <v>40746</v>
      </c>
      <c r="B569" s="1">
        <v>43</v>
      </c>
    </row>
    <row r="570" spans="1:2">
      <c r="A570" s="112">
        <v>40747</v>
      </c>
      <c r="B570" s="1">
        <v>38</v>
      </c>
    </row>
    <row r="571" spans="1:2">
      <c r="A571" s="112">
        <v>40748</v>
      </c>
      <c r="B571" s="1">
        <v>39</v>
      </c>
    </row>
    <row r="572" spans="1:2">
      <c r="A572" s="112">
        <v>40749</v>
      </c>
      <c r="B572" s="1">
        <v>44</v>
      </c>
    </row>
    <row r="573" spans="1:2">
      <c r="A573" s="112">
        <v>40750</v>
      </c>
      <c r="B573" s="1">
        <v>54</v>
      </c>
    </row>
    <row r="574" spans="1:2">
      <c r="A574" s="112">
        <v>40751</v>
      </c>
      <c r="B574" s="1">
        <v>65</v>
      </c>
    </row>
    <row r="575" spans="1:2">
      <c r="A575" s="112">
        <v>40752</v>
      </c>
      <c r="B575" s="1">
        <v>77</v>
      </c>
    </row>
    <row r="576" spans="1:2">
      <c r="A576" s="112">
        <v>40753</v>
      </c>
      <c r="B576" s="1">
        <v>87</v>
      </c>
    </row>
    <row r="577" spans="1:2">
      <c r="A577" s="112">
        <v>40754</v>
      </c>
      <c r="B577" s="1">
        <v>96</v>
      </c>
    </row>
    <row r="578" spans="1:2">
      <c r="A578" s="112">
        <v>40755</v>
      </c>
      <c r="B578" s="1">
        <v>100</v>
      </c>
    </row>
    <row r="579" spans="1:2">
      <c r="A579" s="112">
        <v>40756</v>
      </c>
      <c r="B579" s="1">
        <v>100</v>
      </c>
    </row>
    <row r="580" spans="1:2">
      <c r="A580" s="112">
        <v>40757</v>
      </c>
      <c r="B580" s="1">
        <v>96</v>
      </c>
    </row>
    <row r="581" spans="1:2">
      <c r="A581" s="112">
        <v>40758</v>
      </c>
      <c r="B581" s="1">
        <v>86</v>
      </c>
    </row>
    <row r="582" spans="1:2">
      <c r="A582" s="112">
        <v>40759</v>
      </c>
      <c r="B582" s="1">
        <v>75</v>
      </c>
    </row>
    <row r="583" spans="1:2">
      <c r="A583" s="112">
        <v>40760</v>
      </c>
      <c r="B583" s="1">
        <v>62</v>
      </c>
    </row>
    <row r="584" spans="1:2">
      <c r="A584" s="112">
        <v>40761</v>
      </c>
      <c r="B584" s="1">
        <v>52</v>
      </c>
    </row>
    <row r="585" spans="1:2">
      <c r="A585" s="112">
        <v>40762</v>
      </c>
      <c r="B585" s="1">
        <v>50</v>
      </c>
    </row>
    <row r="586" spans="1:2">
      <c r="A586" s="112">
        <v>40763</v>
      </c>
      <c r="B586" s="1">
        <v>53</v>
      </c>
    </row>
    <row r="587" spans="1:2">
      <c r="A587" s="112">
        <v>40764</v>
      </c>
      <c r="B587" s="1">
        <v>61</v>
      </c>
    </row>
    <row r="588" spans="1:2">
      <c r="A588" s="112">
        <v>40765</v>
      </c>
      <c r="B588" s="1">
        <v>72</v>
      </c>
    </row>
    <row r="589" spans="1:2">
      <c r="A589" s="112">
        <v>40766</v>
      </c>
      <c r="B589" s="1">
        <v>79</v>
      </c>
    </row>
    <row r="590" spans="1:2">
      <c r="A590" s="112">
        <v>40767</v>
      </c>
      <c r="B590" s="1">
        <v>85</v>
      </c>
    </row>
    <row r="591" spans="1:2">
      <c r="A591" s="112">
        <v>40768</v>
      </c>
      <c r="B591" s="1">
        <v>88</v>
      </c>
    </row>
    <row r="592" spans="1:2">
      <c r="A592" s="112">
        <v>40769</v>
      </c>
      <c r="B592" s="1">
        <v>87</v>
      </c>
    </row>
    <row r="593" spans="1:2">
      <c r="A593" s="112">
        <v>40770</v>
      </c>
      <c r="B593" s="1">
        <v>84</v>
      </c>
    </row>
    <row r="594" spans="1:2">
      <c r="A594" s="112">
        <v>40771</v>
      </c>
      <c r="B594" s="1">
        <v>79</v>
      </c>
    </row>
    <row r="595" spans="1:2">
      <c r="A595" s="112">
        <v>40772</v>
      </c>
      <c r="B595" s="1">
        <v>71</v>
      </c>
    </row>
    <row r="596" spans="1:2">
      <c r="A596" s="112">
        <v>40773</v>
      </c>
      <c r="B596" s="1">
        <v>63</v>
      </c>
    </row>
    <row r="597" spans="1:2">
      <c r="A597" s="112">
        <v>40774</v>
      </c>
      <c r="B597" s="1">
        <v>53</v>
      </c>
    </row>
    <row r="598" spans="1:2">
      <c r="A598" s="112">
        <v>40775</v>
      </c>
      <c r="B598" s="1">
        <v>43</v>
      </c>
    </row>
    <row r="599" spans="1:2">
      <c r="A599" s="112">
        <v>40776</v>
      </c>
      <c r="B599" s="1">
        <v>36</v>
      </c>
    </row>
    <row r="600" spans="1:2">
      <c r="A600" s="112">
        <v>40777</v>
      </c>
      <c r="B600" s="1">
        <v>35</v>
      </c>
    </row>
    <row r="601" spans="1:2">
      <c r="A601" s="112">
        <v>40778</v>
      </c>
      <c r="B601" s="1">
        <v>41</v>
      </c>
    </row>
    <row r="602" spans="1:2">
      <c r="A602" s="112">
        <v>40779</v>
      </c>
      <c r="B602" s="1">
        <v>53</v>
      </c>
    </row>
    <row r="603" spans="1:2">
      <c r="A603" s="112">
        <v>40780</v>
      </c>
      <c r="B603" s="1">
        <v>68</v>
      </c>
    </row>
    <row r="604" spans="1:2">
      <c r="A604" s="112">
        <v>40781</v>
      </c>
      <c r="B604" s="1">
        <v>83</v>
      </c>
    </row>
    <row r="605" spans="1:2">
      <c r="A605" s="112">
        <v>40782</v>
      </c>
      <c r="B605" s="1">
        <v>96</v>
      </c>
    </row>
    <row r="606" spans="1:2">
      <c r="A606" s="112">
        <v>40783</v>
      </c>
      <c r="B606" s="1">
        <v>106</v>
      </c>
    </row>
    <row r="607" spans="1:2">
      <c r="A607" s="112">
        <v>40784</v>
      </c>
      <c r="B607" s="1">
        <v>111</v>
      </c>
    </row>
    <row r="608" spans="1:2">
      <c r="A608" s="112">
        <v>40785</v>
      </c>
      <c r="B608" s="1">
        <v>109</v>
      </c>
    </row>
    <row r="609" spans="1:2">
      <c r="A609" s="112">
        <v>40786</v>
      </c>
      <c r="B609" s="1">
        <v>101</v>
      </c>
    </row>
    <row r="610" spans="1:2">
      <c r="A610" s="112">
        <v>40787</v>
      </c>
      <c r="B610" s="1">
        <v>88</v>
      </c>
    </row>
    <row r="611" spans="1:2">
      <c r="A611" s="112">
        <v>40788</v>
      </c>
      <c r="B611" s="1">
        <v>73</v>
      </c>
    </row>
    <row r="612" spans="1:2">
      <c r="A612" s="112">
        <v>40789</v>
      </c>
      <c r="B612" s="1">
        <v>56</v>
      </c>
    </row>
    <row r="613" spans="1:2">
      <c r="A613" s="112">
        <v>40790</v>
      </c>
      <c r="B613" s="1">
        <v>46</v>
      </c>
    </row>
    <row r="614" spans="1:2">
      <c r="A614" s="112">
        <v>40791</v>
      </c>
      <c r="B614" s="1">
        <v>45</v>
      </c>
    </row>
    <row r="615" spans="1:2">
      <c r="A615" s="112">
        <v>40792</v>
      </c>
      <c r="B615" s="1">
        <v>51</v>
      </c>
    </row>
    <row r="616" spans="1:2">
      <c r="A616" s="112">
        <v>40793</v>
      </c>
      <c r="B616" s="1">
        <v>60</v>
      </c>
    </row>
    <row r="617" spans="1:2">
      <c r="A617" s="112">
        <v>40794</v>
      </c>
      <c r="B617" s="1">
        <v>70</v>
      </c>
    </row>
    <row r="618" spans="1:2">
      <c r="A618" s="112">
        <v>40795</v>
      </c>
      <c r="B618" s="1">
        <v>78</v>
      </c>
    </row>
    <row r="619" spans="1:2">
      <c r="A619" s="112">
        <v>40796</v>
      </c>
      <c r="B619" s="1">
        <v>84</v>
      </c>
    </row>
    <row r="620" spans="1:2">
      <c r="A620" s="112">
        <v>40797</v>
      </c>
      <c r="B620" s="1">
        <v>87</v>
      </c>
    </row>
    <row r="621" spans="1:2">
      <c r="A621" s="112">
        <v>40798</v>
      </c>
      <c r="B621" s="1">
        <v>88</v>
      </c>
    </row>
    <row r="622" spans="1:2">
      <c r="A622" s="112">
        <v>40799</v>
      </c>
      <c r="B622" s="1">
        <v>85</v>
      </c>
    </row>
    <row r="623" spans="1:2">
      <c r="A623" s="112">
        <v>40800</v>
      </c>
      <c r="B623" s="1">
        <v>81</v>
      </c>
    </row>
    <row r="624" spans="1:2">
      <c r="A624" s="112">
        <v>40801</v>
      </c>
      <c r="B624" s="1">
        <v>74</v>
      </c>
    </row>
    <row r="625" spans="1:2">
      <c r="A625" s="112">
        <v>40802</v>
      </c>
      <c r="B625" s="1">
        <v>65</v>
      </c>
    </row>
    <row r="626" spans="1:2">
      <c r="A626" s="112">
        <v>40803</v>
      </c>
      <c r="B626" s="1">
        <v>55</v>
      </c>
    </row>
    <row r="627" spans="1:2">
      <c r="A627" s="112">
        <v>40804</v>
      </c>
      <c r="B627" s="1">
        <v>45</v>
      </c>
    </row>
    <row r="628" spans="1:2">
      <c r="A628" s="112">
        <v>40805</v>
      </c>
      <c r="B628" s="1">
        <v>37</v>
      </c>
    </row>
    <row r="629" spans="1:2">
      <c r="A629" s="112">
        <v>40806</v>
      </c>
      <c r="B629" s="1">
        <v>35</v>
      </c>
    </row>
    <row r="630" spans="1:2">
      <c r="A630" s="112">
        <v>40807</v>
      </c>
      <c r="B630" s="1">
        <v>42</v>
      </c>
    </row>
    <row r="631" spans="1:2">
      <c r="A631" s="112">
        <v>40808</v>
      </c>
      <c r="B631" s="1">
        <v>55</v>
      </c>
    </row>
    <row r="632" spans="1:2">
      <c r="A632" s="112">
        <v>40809</v>
      </c>
      <c r="B632" s="1">
        <v>72</v>
      </c>
    </row>
    <row r="633" spans="1:2">
      <c r="A633" s="112">
        <v>40810</v>
      </c>
      <c r="B633" s="1">
        <v>88</v>
      </c>
    </row>
    <row r="634" spans="1:2">
      <c r="A634" s="112">
        <v>40811</v>
      </c>
      <c r="B634" s="1">
        <v>102</v>
      </c>
    </row>
    <row r="635" spans="1:2">
      <c r="A635" s="112">
        <v>40812</v>
      </c>
      <c r="B635" s="1">
        <v>112</v>
      </c>
    </row>
    <row r="636" spans="1:2">
      <c r="A636" s="112">
        <v>40813</v>
      </c>
      <c r="B636" s="1">
        <v>115</v>
      </c>
    </row>
    <row r="637" spans="1:2">
      <c r="A637" s="112">
        <v>40814</v>
      </c>
      <c r="B637" s="1">
        <v>111</v>
      </c>
    </row>
    <row r="638" spans="1:2">
      <c r="A638" s="112">
        <v>40815</v>
      </c>
      <c r="B638" s="1">
        <v>100</v>
      </c>
    </row>
    <row r="639" spans="1:2">
      <c r="A639" s="112">
        <v>40816</v>
      </c>
      <c r="B639" s="1">
        <v>86</v>
      </c>
    </row>
    <row r="640" spans="1:2">
      <c r="A640" s="112">
        <v>40817</v>
      </c>
      <c r="B640" s="1">
        <v>68</v>
      </c>
    </row>
    <row r="641" spans="1:2">
      <c r="A641" s="112">
        <v>40818</v>
      </c>
      <c r="B641" s="1">
        <v>54</v>
      </c>
    </row>
    <row r="642" spans="1:2">
      <c r="A642" s="112">
        <v>40819</v>
      </c>
      <c r="B642" s="1">
        <v>43</v>
      </c>
    </row>
    <row r="643" spans="1:2">
      <c r="A643" s="112">
        <v>40820</v>
      </c>
      <c r="B643" s="1">
        <v>42</v>
      </c>
    </row>
    <row r="644" spans="1:2">
      <c r="A644" s="112">
        <v>40821</v>
      </c>
      <c r="B644" s="1">
        <v>48</v>
      </c>
    </row>
    <row r="645" spans="1:2">
      <c r="A645" s="112">
        <v>40822</v>
      </c>
      <c r="B645" s="1">
        <v>58</v>
      </c>
    </row>
    <row r="646" spans="1:2">
      <c r="A646" s="112">
        <v>40823</v>
      </c>
      <c r="B646" s="1">
        <v>67</v>
      </c>
    </row>
    <row r="647" spans="1:2">
      <c r="A647" s="112">
        <v>40824</v>
      </c>
      <c r="B647" s="1">
        <v>75</v>
      </c>
    </row>
    <row r="648" spans="1:2">
      <c r="A648" s="112">
        <v>40825</v>
      </c>
      <c r="B648" s="1">
        <v>80</v>
      </c>
    </row>
    <row r="649" spans="1:2">
      <c r="A649" s="112">
        <v>40826</v>
      </c>
      <c r="B649" s="1">
        <v>84</v>
      </c>
    </row>
    <row r="650" spans="1:2">
      <c r="A650" s="112">
        <v>40827</v>
      </c>
      <c r="B650" s="1">
        <v>85</v>
      </c>
    </row>
    <row r="651" spans="1:2">
      <c r="A651" s="112">
        <v>40828</v>
      </c>
      <c r="B651" s="1">
        <v>83</v>
      </c>
    </row>
    <row r="652" spans="1:2">
      <c r="A652" s="112">
        <v>40829</v>
      </c>
      <c r="B652" s="1">
        <v>80</v>
      </c>
    </row>
    <row r="653" spans="1:2">
      <c r="A653" s="112">
        <v>40830</v>
      </c>
      <c r="B653" s="1">
        <v>74</v>
      </c>
    </row>
    <row r="654" spans="1:2">
      <c r="A654" s="112">
        <v>40831</v>
      </c>
      <c r="B654" s="1">
        <v>67</v>
      </c>
    </row>
    <row r="655" spans="1:2">
      <c r="A655" s="112">
        <v>40832</v>
      </c>
      <c r="B655" s="1">
        <v>58</v>
      </c>
    </row>
    <row r="656" spans="1:2">
      <c r="A656" s="112">
        <v>40833</v>
      </c>
      <c r="B656" s="1">
        <v>49</v>
      </c>
    </row>
    <row r="657" spans="1:2">
      <c r="A657" s="112">
        <v>40834</v>
      </c>
      <c r="B657" s="1">
        <v>41</v>
      </c>
    </row>
    <row r="658" spans="1:2">
      <c r="A658" s="112">
        <v>40835</v>
      </c>
      <c r="B658" s="1">
        <v>40</v>
      </c>
    </row>
    <row r="659" spans="1:2">
      <c r="A659" s="112">
        <v>40836</v>
      </c>
      <c r="B659" s="1">
        <v>46</v>
      </c>
    </row>
    <row r="660" spans="1:2">
      <c r="A660" s="112">
        <v>40837</v>
      </c>
      <c r="B660" s="1">
        <v>59</v>
      </c>
    </row>
    <row r="661" spans="1:2">
      <c r="A661" s="112">
        <v>40838</v>
      </c>
      <c r="B661" s="1">
        <v>74</v>
      </c>
    </row>
    <row r="662" spans="1:2">
      <c r="A662" s="112">
        <v>40839</v>
      </c>
      <c r="B662" s="1">
        <v>89</v>
      </c>
    </row>
    <row r="663" spans="1:2">
      <c r="A663" s="112">
        <v>40840</v>
      </c>
      <c r="B663" s="1">
        <v>102</v>
      </c>
    </row>
    <row r="664" spans="1:2">
      <c r="A664" s="112">
        <v>40841</v>
      </c>
      <c r="B664" s="1">
        <v>109</v>
      </c>
    </row>
    <row r="665" spans="1:2">
      <c r="A665" s="112">
        <v>40842</v>
      </c>
      <c r="B665" s="1">
        <v>110</v>
      </c>
    </row>
    <row r="666" spans="1:2">
      <c r="A666" s="112">
        <v>40843</v>
      </c>
      <c r="B666" s="1">
        <v>106</v>
      </c>
    </row>
    <row r="667" spans="1:2">
      <c r="A667" s="112">
        <v>40844</v>
      </c>
      <c r="B667" s="1">
        <v>95</v>
      </c>
    </row>
    <row r="668" spans="1:2">
      <c r="A668" s="112">
        <v>40845</v>
      </c>
      <c r="B668" s="1">
        <v>83</v>
      </c>
    </row>
    <row r="669" spans="1:2">
      <c r="A669" s="112">
        <v>40846</v>
      </c>
      <c r="B669" s="1">
        <v>68</v>
      </c>
    </row>
    <row r="670" spans="1:2">
      <c r="A670" s="112">
        <v>40847</v>
      </c>
      <c r="B670" s="1">
        <v>56</v>
      </c>
    </row>
    <row r="671" spans="1:2">
      <c r="A671" s="112">
        <v>40848</v>
      </c>
      <c r="B671" s="1">
        <v>47</v>
      </c>
    </row>
    <row r="672" spans="1:2">
      <c r="A672" s="112">
        <v>40849</v>
      </c>
      <c r="B672" s="1">
        <v>43</v>
      </c>
    </row>
    <row r="673" spans="1:2">
      <c r="A673" s="112">
        <v>40850</v>
      </c>
      <c r="B673" s="1">
        <v>46</v>
      </c>
    </row>
    <row r="674" spans="1:2">
      <c r="A674" s="112">
        <v>40851</v>
      </c>
      <c r="B674" s="1">
        <v>53</v>
      </c>
    </row>
    <row r="675" spans="1:2">
      <c r="A675" s="112">
        <v>40852</v>
      </c>
      <c r="B675" s="1">
        <v>60</v>
      </c>
    </row>
    <row r="676" spans="1:2">
      <c r="A676" s="112">
        <v>40853</v>
      </c>
      <c r="B676" s="1">
        <v>67</v>
      </c>
    </row>
    <row r="677" spans="1:2">
      <c r="A677" s="112">
        <v>40854</v>
      </c>
      <c r="B677" s="1">
        <v>72</v>
      </c>
    </row>
    <row r="678" spans="1:2">
      <c r="A678" s="112">
        <v>40855</v>
      </c>
      <c r="B678" s="1">
        <v>77</v>
      </c>
    </row>
    <row r="679" spans="1:2">
      <c r="A679" s="112">
        <v>40856</v>
      </c>
      <c r="B679" s="1">
        <v>79</v>
      </c>
    </row>
    <row r="680" spans="1:2">
      <c r="A680" s="112">
        <v>40857</v>
      </c>
      <c r="B680" s="1">
        <v>80</v>
      </c>
    </row>
    <row r="681" spans="1:2">
      <c r="A681" s="112">
        <v>40858</v>
      </c>
      <c r="B681" s="1">
        <v>78</v>
      </c>
    </row>
    <row r="682" spans="1:2">
      <c r="A682" s="112">
        <v>40859</v>
      </c>
      <c r="B682" s="1">
        <v>75</v>
      </c>
    </row>
    <row r="683" spans="1:2">
      <c r="A683" s="112">
        <v>40860</v>
      </c>
      <c r="B683" s="1">
        <v>70</v>
      </c>
    </row>
    <row r="684" spans="1:2">
      <c r="A684" s="112">
        <v>40861</v>
      </c>
      <c r="B684" s="1">
        <v>64</v>
      </c>
    </row>
    <row r="685" spans="1:2">
      <c r="A685" s="112">
        <v>40862</v>
      </c>
      <c r="B685" s="1">
        <v>57</v>
      </c>
    </row>
    <row r="686" spans="1:2">
      <c r="A686" s="112">
        <v>40863</v>
      </c>
      <c r="B686" s="1">
        <v>51</v>
      </c>
    </row>
    <row r="687" spans="1:2">
      <c r="A687" s="112">
        <v>40864</v>
      </c>
      <c r="B687" s="1">
        <v>49</v>
      </c>
    </row>
    <row r="688" spans="1:2">
      <c r="A688" s="112">
        <v>40865</v>
      </c>
      <c r="B688" s="1">
        <v>53</v>
      </c>
    </row>
    <row r="689" spans="1:2">
      <c r="A689" s="112">
        <v>40866</v>
      </c>
      <c r="B689" s="1">
        <v>61</v>
      </c>
    </row>
    <row r="690" spans="1:2">
      <c r="A690" s="112">
        <v>40867</v>
      </c>
      <c r="B690" s="1">
        <v>71</v>
      </c>
    </row>
    <row r="691" spans="1:2">
      <c r="A691" s="112">
        <v>40868</v>
      </c>
      <c r="B691" s="1">
        <v>83</v>
      </c>
    </row>
    <row r="692" spans="1:2">
      <c r="A692" s="112">
        <v>40869</v>
      </c>
      <c r="B692" s="1">
        <v>92</v>
      </c>
    </row>
    <row r="693" spans="1:2">
      <c r="A693" s="112">
        <v>40870</v>
      </c>
      <c r="B693" s="1">
        <v>99</v>
      </c>
    </row>
    <row r="694" spans="1:2">
      <c r="A694" s="112">
        <v>40871</v>
      </c>
      <c r="B694" s="1">
        <v>101</v>
      </c>
    </row>
    <row r="695" spans="1:2">
      <c r="A695" s="112">
        <v>40872</v>
      </c>
      <c r="B695" s="1">
        <v>99</v>
      </c>
    </row>
    <row r="696" spans="1:2">
      <c r="A696" s="112">
        <v>40873</v>
      </c>
      <c r="B696" s="1">
        <v>93</v>
      </c>
    </row>
    <row r="697" spans="1:2">
      <c r="A697" s="112">
        <v>40874</v>
      </c>
      <c r="B697" s="1">
        <v>84</v>
      </c>
    </row>
    <row r="698" spans="1:2">
      <c r="A698" s="112">
        <v>40875</v>
      </c>
      <c r="B698" s="1">
        <v>73</v>
      </c>
    </row>
    <row r="699" spans="1:2">
      <c r="A699" s="112">
        <v>40876</v>
      </c>
      <c r="B699" s="1">
        <v>63</v>
      </c>
    </row>
    <row r="700" spans="1:2">
      <c r="A700" s="112">
        <v>40877</v>
      </c>
      <c r="B700" s="1">
        <v>53</v>
      </c>
    </row>
    <row r="701" spans="1:2">
      <c r="A701" s="112">
        <v>40878</v>
      </c>
      <c r="B701" s="1">
        <v>46</v>
      </c>
    </row>
    <row r="702" spans="1:2">
      <c r="A702" s="112">
        <v>40879</v>
      </c>
      <c r="B702" s="1">
        <v>44</v>
      </c>
    </row>
    <row r="703" spans="1:2">
      <c r="A703" s="112">
        <v>40880</v>
      </c>
      <c r="B703" s="1">
        <v>46</v>
      </c>
    </row>
    <row r="704" spans="1:2">
      <c r="A704" s="112">
        <v>40881</v>
      </c>
      <c r="B704" s="1">
        <v>50</v>
      </c>
    </row>
    <row r="705" spans="1:2">
      <c r="A705" s="112">
        <v>40882</v>
      </c>
      <c r="B705" s="1">
        <v>55</v>
      </c>
    </row>
    <row r="706" spans="1:2">
      <c r="A706" s="112">
        <v>40883</v>
      </c>
      <c r="B706" s="1">
        <v>62</v>
      </c>
    </row>
    <row r="707" spans="1:2">
      <c r="A707" s="112">
        <v>40884</v>
      </c>
      <c r="B707" s="1">
        <v>68</v>
      </c>
    </row>
    <row r="708" spans="1:2">
      <c r="A708" s="112">
        <v>40885</v>
      </c>
      <c r="B708" s="1">
        <v>73</v>
      </c>
    </row>
    <row r="709" spans="1:2">
      <c r="A709" s="112">
        <v>40886</v>
      </c>
      <c r="B709" s="1">
        <v>77</v>
      </c>
    </row>
    <row r="710" spans="1:2">
      <c r="A710" s="112">
        <v>40887</v>
      </c>
      <c r="B710" s="1">
        <v>79</v>
      </c>
    </row>
    <row r="711" spans="1:2">
      <c r="A711" s="112">
        <v>40888</v>
      </c>
      <c r="B711" s="1">
        <v>80</v>
      </c>
    </row>
    <row r="712" spans="1:2">
      <c r="A712" s="112">
        <v>40889</v>
      </c>
      <c r="B712" s="1">
        <v>78</v>
      </c>
    </row>
    <row r="713" spans="1:2">
      <c r="A713" s="112">
        <v>40890</v>
      </c>
      <c r="B713" s="1">
        <v>74</v>
      </c>
    </row>
    <row r="714" spans="1:2">
      <c r="A714" s="112">
        <v>40891</v>
      </c>
      <c r="B714" s="1">
        <v>70</v>
      </c>
    </row>
    <row r="715" spans="1:2">
      <c r="A715" s="112">
        <v>40892</v>
      </c>
      <c r="B715" s="1">
        <v>65</v>
      </c>
    </row>
    <row r="716" spans="1:2">
      <c r="A716" s="112">
        <v>40893</v>
      </c>
      <c r="B716" s="1">
        <v>61</v>
      </c>
    </row>
    <row r="717" spans="1:2">
      <c r="A717" s="112">
        <v>40894</v>
      </c>
      <c r="B717" s="1">
        <v>59</v>
      </c>
    </row>
    <row r="718" spans="1:2">
      <c r="A718" s="112">
        <v>40895</v>
      </c>
      <c r="B718" s="1">
        <v>60</v>
      </c>
    </row>
    <row r="719" spans="1:2">
      <c r="A719" s="112">
        <v>40896</v>
      </c>
      <c r="B719" s="1">
        <v>64</v>
      </c>
    </row>
    <row r="720" spans="1:2">
      <c r="A720" s="112">
        <v>40897</v>
      </c>
      <c r="B720" s="1">
        <v>71</v>
      </c>
    </row>
    <row r="721" spans="1:2">
      <c r="A721" s="112">
        <v>40898</v>
      </c>
      <c r="B721" s="1">
        <v>80</v>
      </c>
    </row>
    <row r="722" spans="1:2">
      <c r="A722" s="112">
        <v>40899</v>
      </c>
      <c r="B722" s="1">
        <v>87</v>
      </c>
    </row>
    <row r="723" spans="1:2">
      <c r="A723" s="112">
        <v>40900</v>
      </c>
      <c r="B723" s="1">
        <v>93</v>
      </c>
    </row>
    <row r="724" spans="1:2">
      <c r="A724" s="112">
        <v>40901</v>
      </c>
      <c r="B724" s="1">
        <v>94</v>
      </c>
    </row>
    <row r="725" spans="1:2">
      <c r="A725" s="112">
        <v>40902</v>
      </c>
      <c r="B725" s="1">
        <v>93</v>
      </c>
    </row>
    <row r="726" spans="1:2">
      <c r="A726" s="112">
        <v>40903</v>
      </c>
      <c r="B726" s="1">
        <v>88</v>
      </c>
    </row>
    <row r="727" spans="1:2">
      <c r="A727" s="112">
        <v>40904</v>
      </c>
      <c r="B727" s="1">
        <v>81</v>
      </c>
    </row>
    <row r="728" spans="1:2">
      <c r="A728" s="112">
        <v>40905</v>
      </c>
      <c r="B728" s="1">
        <v>72</v>
      </c>
    </row>
    <row r="729" spans="1:2">
      <c r="A729" s="112">
        <v>40906</v>
      </c>
      <c r="B729" s="1">
        <v>62</v>
      </c>
    </row>
    <row r="730" spans="1:2">
      <c r="A730" s="112">
        <v>40907</v>
      </c>
      <c r="B730" s="1">
        <v>52</v>
      </c>
    </row>
    <row r="731" spans="1:2">
      <c r="A731" s="112">
        <v>40908</v>
      </c>
      <c r="B731" s="1">
        <v>45</v>
      </c>
    </row>
    <row r="732" spans="1:2">
      <c r="A732" s="112">
        <v>40909</v>
      </c>
      <c r="B732" s="1">
        <v>42</v>
      </c>
    </row>
    <row r="733" spans="1:2">
      <c r="A733" s="112">
        <v>40910</v>
      </c>
      <c r="B733" s="1">
        <v>39</v>
      </c>
    </row>
    <row r="734" spans="1:2">
      <c r="A734" s="112">
        <v>40911</v>
      </c>
      <c r="B734" s="1">
        <v>41</v>
      </c>
    </row>
    <row r="735" spans="1:2">
      <c r="A735" s="112">
        <v>40912</v>
      </c>
      <c r="B735" s="1">
        <v>46</v>
      </c>
    </row>
    <row r="736" spans="1:2">
      <c r="A736" s="112">
        <v>40913</v>
      </c>
      <c r="B736" s="1">
        <v>54</v>
      </c>
    </row>
    <row r="737" spans="1:2">
      <c r="A737" s="112">
        <v>40914</v>
      </c>
      <c r="B737" s="1">
        <v>63</v>
      </c>
    </row>
    <row r="738" spans="1:2">
      <c r="A738" s="112">
        <v>40915</v>
      </c>
      <c r="B738" s="1">
        <v>72</v>
      </c>
    </row>
    <row r="739" spans="1:2">
      <c r="A739" s="112">
        <v>40916</v>
      </c>
      <c r="B739" s="1">
        <v>79</v>
      </c>
    </row>
    <row r="740" spans="1:2">
      <c r="A740" s="112">
        <v>40917</v>
      </c>
      <c r="B740" s="1">
        <v>85</v>
      </c>
    </row>
    <row r="741" spans="1:2">
      <c r="A741" s="112">
        <v>40918</v>
      </c>
      <c r="B741" s="1">
        <v>89</v>
      </c>
    </row>
    <row r="742" spans="1:2">
      <c r="A742" s="112">
        <v>40919</v>
      </c>
      <c r="B742" s="1">
        <v>90</v>
      </c>
    </row>
    <row r="743" spans="1:2">
      <c r="A743" s="112">
        <v>40920</v>
      </c>
      <c r="B743" s="1">
        <v>88</v>
      </c>
    </row>
    <row r="744" spans="1:2">
      <c r="A744" s="112">
        <v>40921</v>
      </c>
      <c r="B744" s="1">
        <v>83</v>
      </c>
    </row>
    <row r="745" spans="1:2">
      <c r="A745" s="112">
        <v>40922</v>
      </c>
      <c r="B745" s="1">
        <v>75</v>
      </c>
    </row>
    <row r="746" spans="1:2">
      <c r="A746" s="112">
        <v>40923</v>
      </c>
      <c r="B746" s="1">
        <v>67</v>
      </c>
    </row>
    <row r="747" spans="1:2">
      <c r="A747" s="112">
        <v>40924</v>
      </c>
      <c r="B747" s="1">
        <v>59</v>
      </c>
    </row>
    <row r="748" spans="1:2">
      <c r="A748" s="112">
        <v>40925</v>
      </c>
      <c r="B748" s="1">
        <v>53</v>
      </c>
    </row>
    <row r="749" spans="1:2">
      <c r="A749" s="112">
        <v>40926</v>
      </c>
      <c r="B749" s="1">
        <v>56</v>
      </c>
    </row>
    <row r="750" spans="1:2">
      <c r="A750" s="112">
        <v>40927</v>
      </c>
      <c r="B750" s="1">
        <v>64</v>
      </c>
    </row>
    <row r="751" spans="1:2">
      <c r="A751" s="112">
        <v>40928</v>
      </c>
      <c r="B751" s="1">
        <v>74</v>
      </c>
    </row>
    <row r="752" spans="1:2">
      <c r="A752" s="112">
        <v>40929</v>
      </c>
      <c r="B752" s="1">
        <v>84</v>
      </c>
    </row>
    <row r="753" spans="1:2">
      <c r="A753" s="112">
        <v>40930</v>
      </c>
      <c r="B753" s="1">
        <v>91</v>
      </c>
    </row>
    <row r="754" spans="1:2">
      <c r="A754" s="112">
        <v>40931</v>
      </c>
      <c r="B754" s="1">
        <v>94</v>
      </c>
    </row>
    <row r="755" spans="1:2">
      <c r="A755" s="112">
        <v>40932</v>
      </c>
      <c r="B755" s="1">
        <v>93</v>
      </c>
    </row>
    <row r="756" spans="1:2">
      <c r="A756" s="112">
        <v>40933</v>
      </c>
      <c r="B756" s="1">
        <v>90</v>
      </c>
    </row>
    <row r="757" spans="1:2">
      <c r="A757" s="112">
        <v>40934</v>
      </c>
      <c r="B757" s="1">
        <v>84</v>
      </c>
    </row>
    <row r="758" spans="1:2">
      <c r="A758" s="112">
        <v>40935</v>
      </c>
      <c r="B758" s="1">
        <v>75</v>
      </c>
    </row>
    <row r="759" spans="1:2">
      <c r="A759" s="112">
        <v>40936</v>
      </c>
      <c r="B759" s="1">
        <v>64</v>
      </c>
    </row>
    <row r="760" spans="1:2">
      <c r="A760" s="112">
        <v>40937</v>
      </c>
      <c r="B760" s="1">
        <v>54</v>
      </c>
    </row>
    <row r="761" spans="1:2">
      <c r="A761" s="112">
        <v>40938</v>
      </c>
      <c r="B761" s="1">
        <v>43</v>
      </c>
    </row>
    <row r="762" spans="1:2">
      <c r="A762" s="112">
        <v>40939</v>
      </c>
      <c r="B762" s="1">
        <v>36</v>
      </c>
    </row>
    <row r="763" spans="1:2">
      <c r="A763" s="112">
        <v>40940</v>
      </c>
      <c r="B763" s="1">
        <v>33</v>
      </c>
    </row>
    <row r="764" spans="1:2">
      <c r="A764" s="112">
        <v>40941</v>
      </c>
      <c r="B764" s="1">
        <v>38</v>
      </c>
    </row>
    <row r="765" spans="1:2">
      <c r="A765" s="112">
        <v>40942</v>
      </c>
      <c r="B765" s="1">
        <v>47</v>
      </c>
    </row>
    <row r="766" spans="1:2">
      <c r="A766" s="112">
        <v>40943</v>
      </c>
      <c r="B766" s="1">
        <v>59</v>
      </c>
    </row>
    <row r="767" spans="1:2">
      <c r="A767" s="112">
        <v>40944</v>
      </c>
      <c r="B767" s="1">
        <v>72</v>
      </c>
    </row>
    <row r="768" spans="1:2">
      <c r="A768" s="112">
        <v>40945</v>
      </c>
      <c r="B768" s="1">
        <v>84</v>
      </c>
    </row>
    <row r="769" spans="1:2">
      <c r="A769" s="112">
        <v>40946</v>
      </c>
      <c r="B769" s="1">
        <v>94</v>
      </c>
    </row>
    <row r="770" spans="1:2">
      <c r="A770" s="112">
        <v>40947</v>
      </c>
      <c r="B770" s="1">
        <v>101</v>
      </c>
    </row>
    <row r="771" spans="1:2">
      <c r="A771" s="112">
        <v>40948</v>
      </c>
      <c r="B771" s="1">
        <v>103</v>
      </c>
    </row>
    <row r="772" spans="1:2">
      <c r="A772" s="112">
        <v>40949</v>
      </c>
      <c r="B772" s="1">
        <v>101</v>
      </c>
    </row>
    <row r="773" spans="1:2">
      <c r="A773" s="112">
        <v>40950</v>
      </c>
      <c r="B773" s="1">
        <v>93</v>
      </c>
    </row>
    <row r="774" spans="1:2">
      <c r="A774" s="112">
        <v>40951</v>
      </c>
      <c r="B774" s="1">
        <v>82</v>
      </c>
    </row>
    <row r="775" spans="1:2">
      <c r="A775" s="112">
        <v>40952</v>
      </c>
      <c r="B775" s="1">
        <v>69</v>
      </c>
    </row>
    <row r="776" spans="1:2">
      <c r="A776" s="112">
        <v>40953</v>
      </c>
      <c r="B776" s="1">
        <v>55</v>
      </c>
    </row>
    <row r="777" spans="1:2">
      <c r="A777" s="112">
        <v>40954</v>
      </c>
      <c r="B777" s="1">
        <v>47</v>
      </c>
    </row>
    <row r="778" spans="1:2">
      <c r="A778" s="112">
        <v>40955</v>
      </c>
      <c r="B778" s="1">
        <v>48</v>
      </c>
    </row>
    <row r="779" spans="1:2">
      <c r="A779" s="112">
        <v>40956</v>
      </c>
      <c r="B779" s="1">
        <v>57</v>
      </c>
    </row>
    <row r="780" spans="1:2">
      <c r="A780" s="112">
        <v>40957</v>
      </c>
      <c r="B780" s="1">
        <v>69</v>
      </c>
    </row>
    <row r="781" spans="1:2">
      <c r="A781" s="112">
        <v>40958</v>
      </c>
      <c r="B781" s="1">
        <v>80</v>
      </c>
    </row>
    <row r="782" spans="1:2">
      <c r="A782" s="112">
        <v>40959</v>
      </c>
      <c r="B782" s="1">
        <v>88</v>
      </c>
    </row>
    <row r="783" spans="1:2">
      <c r="A783" s="112">
        <v>40960</v>
      </c>
      <c r="B783" s="1">
        <v>92</v>
      </c>
    </row>
    <row r="784" spans="1:2">
      <c r="A784" s="112">
        <v>40961</v>
      </c>
      <c r="B784" s="1">
        <v>94</v>
      </c>
    </row>
    <row r="785" spans="1:2">
      <c r="A785" s="112">
        <v>40962</v>
      </c>
      <c r="B785" s="1">
        <v>91</v>
      </c>
    </row>
    <row r="786" spans="1:2">
      <c r="A786" s="112">
        <v>40963</v>
      </c>
      <c r="B786" s="1">
        <v>86</v>
      </c>
    </row>
    <row r="787" spans="1:2">
      <c r="A787" s="112">
        <v>40964</v>
      </c>
      <c r="B787" s="1">
        <v>78</v>
      </c>
    </row>
    <row r="788" spans="1:2">
      <c r="A788" s="112">
        <v>40965</v>
      </c>
      <c r="B788" s="1">
        <v>69</v>
      </c>
    </row>
    <row r="789" spans="1:2">
      <c r="A789" s="112">
        <v>40966</v>
      </c>
      <c r="B789" s="1">
        <v>58</v>
      </c>
    </row>
    <row r="790" spans="1:2">
      <c r="A790" s="112">
        <v>40967</v>
      </c>
      <c r="B790" s="1">
        <v>47</v>
      </c>
    </row>
    <row r="791" spans="1:2">
      <c r="A791" s="112">
        <v>40968</v>
      </c>
      <c r="B791" s="1">
        <v>37</v>
      </c>
    </row>
    <row r="792" spans="1:2">
      <c r="A792" s="112">
        <v>40969</v>
      </c>
      <c r="B792" s="1">
        <v>31</v>
      </c>
    </row>
    <row r="793" spans="1:2">
      <c r="A793" s="112">
        <v>40970</v>
      </c>
      <c r="B793" s="1">
        <v>34</v>
      </c>
    </row>
    <row r="794" spans="1:2">
      <c r="A794" s="112">
        <v>40971</v>
      </c>
      <c r="B794" s="1">
        <v>44</v>
      </c>
    </row>
    <row r="795" spans="1:2">
      <c r="A795" s="112">
        <v>40972</v>
      </c>
      <c r="B795" s="1">
        <v>59</v>
      </c>
    </row>
    <row r="796" spans="1:2">
      <c r="A796" s="112">
        <v>40973</v>
      </c>
      <c r="B796" s="1">
        <v>74</v>
      </c>
    </row>
    <row r="797" spans="1:2">
      <c r="A797" s="112">
        <v>40974</v>
      </c>
      <c r="B797" s="1">
        <v>89</v>
      </c>
    </row>
    <row r="798" spans="1:2">
      <c r="A798" s="112">
        <v>40975</v>
      </c>
      <c r="B798" s="1">
        <v>101</v>
      </c>
    </row>
    <row r="799" spans="1:2">
      <c r="A799" s="112">
        <v>40976</v>
      </c>
      <c r="B799" s="1">
        <v>109</v>
      </c>
    </row>
    <row r="800" spans="1:2">
      <c r="A800" s="112">
        <v>40977</v>
      </c>
      <c r="B800" s="1">
        <v>111</v>
      </c>
    </row>
    <row r="801" spans="1:2">
      <c r="A801" s="112">
        <v>40978</v>
      </c>
      <c r="B801" s="1">
        <v>107</v>
      </c>
    </row>
    <row r="802" spans="1:2">
      <c r="A802" s="112">
        <v>40979</v>
      </c>
      <c r="B802" s="1">
        <v>97</v>
      </c>
    </row>
    <row r="803" spans="1:2">
      <c r="A803" s="112">
        <v>40980</v>
      </c>
      <c r="B803" s="1">
        <v>83</v>
      </c>
    </row>
    <row r="804" spans="1:2">
      <c r="A804" s="112">
        <v>40981</v>
      </c>
      <c r="B804" s="1">
        <v>66</v>
      </c>
    </row>
    <row r="805" spans="1:2">
      <c r="A805" s="112">
        <v>40982</v>
      </c>
      <c r="B805" s="1">
        <v>53</v>
      </c>
    </row>
    <row r="806" spans="1:2">
      <c r="A806" s="112">
        <v>40983</v>
      </c>
      <c r="B806" s="1">
        <v>46</v>
      </c>
    </row>
    <row r="807" spans="1:2">
      <c r="A807" s="112">
        <v>40984</v>
      </c>
      <c r="B807" s="1">
        <v>47</v>
      </c>
    </row>
    <row r="808" spans="1:2">
      <c r="A808" s="112">
        <v>40985</v>
      </c>
      <c r="B808" s="1">
        <v>56</v>
      </c>
    </row>
    <row r="809" spans="1:2">
      <c r="A809" s="112">
        <v>40986</v>
      </c>
      <c r="B809" s="1">
        <v>66</v>
      </c>
    </row>
    <row r="810" spans="1:2">
      <c r="A810" s="112">
        <v>40987</v>
      </c>
      <c r="B810" s="1">
        <v>76</v>
      </c>
    </row>
    <row r="811" spans="1:2">
      <c r="A811" s="112">
        <v>40988</v>
      </c>
      <c r="B811" s="1">
        <v>84</v>
      </c>
    </row>
    <row r="812" spans="1:2">
      <c r="A812" s="112">
        <v>40989</v>
      </c>
      <c r="B812" s="1">
        <v>88</v>
      </c>
    </row>
    <row r="813" spans="1:2">
      <c r="A813" s="112">
        <v>40990</v>
      </c>
      <c r="B813" s="1">
        <v>90</v>
      </c>
    </row>
    <row r="814" spans="1:2">
      <c r="A814" s="112">
        <v>40991</v>
      </c>
      <c r="B814" s="1">
        <v>88</v>
      </c>
    </row>
    <row r="815" spans="1:2">
      <c r="A815" s="112">
        <v>40992</v>
      </c>
      <c r="B815" s="1">
        <v>84</v>
      </c>
    </row>
    <row r="816" spans="1:2">
      <c r="A816" s="112">
        <v>40993</v>
      </c>
      <c r="B816" s="1">
        <v>78</v>
      </c>
    </row>
    <row r="817" spans="1:2">
      <c r="A817" s="112">
        <v>40994</v>
      </c>
      <c r="B817" s="1">
        <v>70</v>
      </c>
    </row>
    <row r="818" spans="1:2">
      <c r="A818" s="112">
        <v>40995</v>
      </c>
      <c r="B818" s="1">
        <v>60</v>
      </c>
    </row>
    <row r="819" spans="1:2">
      <c r="A819" s="112">
        <v>40996</v>
      </c>
      <c r="B819" s="1">
        <v>50</v>
      </c>
    </row>
    <row r="820" spans="1:2">
      <c r="A820" s="112">
        <v>40997</v>
      </c>
      <c r="B820" s="1">
        <v>40</v>
      </c>
    </row>
    <row r="821" spans="1:2">
      <c r="A821" s="112">
        <v>40998</v>
      </c>
      <c r="B821" s="1">
        <v>35</v>
      </c>
    </row>
    <row r="822" spans="1:2">
      <c r="A822" s="112">
        <v>40999</v>
      </c>
      <c r="B822" s="1">
        <v>36</v>
      </c>
    </row>
    <row r="823" spans="1:2">
      <c r="A823" s="112">
        <v>41000</v>
      </c>
      <c r="B823" s="1">
        <v>46</v>
      </c>
    </row>
    <row r="824" spans="1:2">
      <c r="A824" s="112">
        <v>41001</v>
      </c>
      <c r="B824" s="1">
        <v>60</v>
      </c>
    </row>
    <row r="825" spans="1:2">
      <c r="A825" s="112">
        <v>41002</v>
      </c>
      <c r="B825" s="1">
        <v>76</v>
      </c>
    </row>
    <row r="826" spans="1:2">
      <c r="A826" s="112">
        <v>41003</v>
      </c>
      <c r="B826" s="1">
        <v>91</v>
      </c>
    </row>
    <row r="827" spans="1:2">
      <c r="A827" s="112">
        <v>41004</v>
      </c>
      <c r="B827" s="1">
        <v>103</v>
      </c>
    </row>
    <row r="828" spans="1:2">
      <c r="A828" s="112">
        <v>41005</v>
      </c>
      <c r="B828" s="1">
        <v>110</v>
      </c>
    </row>
    <row r="829" spans="1:2">
      <c r="A829" s="112">
        <v>41006</v>
      </c>
      <c r="B829" s="1">
        <v>112</v>
      </c>
    </row>
    <row r="830" spans="1:2">
      <c r="A830" s="112">
        <v>41007</v>
      </c>
      <c r="B830" s="1">
        <v>107</v>
      </c>
    </row>
    <row r="831" spans="1:2">
      <c r="A831" s="112">
        <v>41008</v>
      </c>
      <c r="B831" s="1">
        <v>95</v>
      </c>
    </row>
    <row r="832" spans="1:2">
      <c r="A832" s="112">
        <v>41009</v>
      </c>
      <c r="B832" s="1">
        <v>81</v>
      </c>
    </row>
    <row r="833" spans="1:2">
      <c r="A833" s="112">
        <v>41010</v>
      </c>
      <c r="B833" s="1">
        <v>66</v>
      </c>
    </row>
    <row r="834" spans="1:2">
      <c r="A834" s="112">
        <v>41011</v>
      </c>
      <c r="B834" s="1">
        <v>54</v>
      </c>
    </row>
    <row r="835" spans="1:2">
      <c r="A835" s="112">
        <v>41012</v>
      </c>
      <c r="B835" s="1">
        <v>47</v>
      </c>
    </row>
    <row r="836" spans="1:2">
      <c r="A836" s="112">
        <v>41013</v>
      </c>
      <c r="B836" s="1">
        <v>48</v>
      </c>
    </row>
    <row r="837" spans="1:2">
      <c r="A837" s="112">
        <v>41014</v>
      </c>
      <c r="B837" s="1">
        <v>55</v>
      </c>
    </row>
    <row r="838" spans="1:2">
      <c r="A838" s="112">
        <v>41015</v>
      </c>
      <c r="B838" s="1">
        <v>63</v>
      </c>
    </row>
    <row r="839" spans="1:2">
      <c r="A839" s="112">
        <v>41016</v>
      </c>
      <c r="B839" s="1">
        <v>70</v>
      </c>
    </row>
    <row r="840" spans="1:2">
      <c r="A840" s="112">
        <v>41017</v>
      </c>
      <c r="B840" s="1">
        <v>76</v>
      </c>
    </row>
    <row r="841" spans="1:2">
      <c r="A841" s="112">
        <v>41018</v>
      </c>
      <c r="B841" s="1">
        <v>80</v>
      </c>
    </row>
    <row r="842" spans="1:2">
      <c r="A842" s="112">
        <v>41019</v>
      </c>
      <c r="B842" s="1">
        <v>82</v>
      </c>
    </row>
    <row r="843" spans="1:2">
      <c r="A843" s="112">
        <v>41020</v>
      </c>
      <c r="B843" s="1">
        <v>82</v>
      </c>
    </row>
    <row r="844" spans="1:2">
      <c r="A844" s="112">
        <v>41021</v>
      </c>
      <c r="B844" s="1">
        <v>80</v>
      </c>
    </row>
    <row r="845" spans="1:2">
      <c r="A845" s="112">
        <v>41022</v>
      </c>
      <c r="B845" s="1">
        <v>75</v>
      </c>
    </row>
    <row r="846" spans="1:2">
      <c r="A846" s="112">
        <v>41023</v>
      </c>
      <c r="B846" s="1">
        <v>69</v>
      </c>
    </row>
    <row r="847" spans="1:2">
      <c r="A847" s="112">
        <v>41024</v>
      </c>
      <c r="B847" s="1">
        <v>62</v>
      </c>
    </row>
    <row r="848" spans="1:2">
      <c r="A848" s="112">
        <v>41025</v>
      </c>
      <c r="B848" s="1">
        <v>54</v>
      </c>
    </row>
    <row r="849" spans="1:2">
      <c r="A849" s="112">
        <v>41026</v>
      </c>
      <c r="B849" s="1">
        <v>47</v>
      </c>
    </row>
    <row r="850" spans="1:2">
      <c r="A850" s="112">
        <v>41027</v>
      </c>
      <c r="B850" s="1">
        <v>43</v>
      </c>
    </row>
    <row r="851" spans="1:2">
      <c r="A851" s="112">
        <v>41028</v>
      </c>
      <c r="B851" s="1">
        <v>44</v>
      </c>
    </row>
    <row r="852" spans="1:2">
      <c r="A852" s="112">
        <v>41029</v>
      </c>
      <c r="B852" s="1">
        <v>51</v>
      </c>
    </row>
    <row r="853" spans="1:2">
      <c r="A853" s="112">
        <v>41030</v>
      </c>
      <c r="B853" s="1">
        <v>63</v>
      </c>
    </row>
    <row r="854" spans="1:2">
      <c r="A854" s="112">
        <v>41031</v>
      </c>
      <c r="B854" s="1">
        <v>76</v>
      </c>
    </row>
    <row r="855" spans="1:2">
      <c r="A855" s="112">
        <v>41032</v>
      </c>
      <c r="B855" s="1">
        <v>89</v>
      </c>
    </row>
    <row r="856" spans="1:2">
      <c r="A856" s="112">
        <v>41033</v>
      </c>
      <c r="B856" s="1">
        <v>99</v>
      </c>
    </row>
    <row r="857" spans="1:2">
      <c r="A857" s="112">
        <v>41034</v>
      </c>
      <c r="B857" s="1">
        <v>106</v>
      </c>
    </row>
    <row r="858" spans="1:2">
      <c r="A858" s="112">
        <v>41035</v>
      </c>
      <c r="B858" s="1">
        <v>107</v>
      </c>
    </row>
    <row r="859" spans="1:2">
      <c r="A859" s="112">
        <v>41036</v>
      </c>
      <c r="B859" s="1">
        <v>101</v>
      </c>
    </row>
    <row r="860" spans="1:2">
      <c r="A860" s="112">
        <v>41037</v>
      </c>
      <c r="B860" s="1">
        <v>93</v>
      </c>
    </row>
    <row r="861" spans="1:2">
      <c r="A861" s="112">
        <v>41038</v>
      </c>
      <c r="B861" s="1">
        <v>81</v>
      </c>
    </row>
    <row r="862" spans="1:2">
      <c r="A862" s="112">
        <v>41039</v>
      </c>
      <c r="B862" s="1">
        <v>69</v>
      </c>
    </row>
    <row r="863" spans="1:2">
      <c r="A863" s="112">
        <v>41040</v>
      </c>
      <c r="B863" s="1">
        <v>58</v>
      </c>
    </row>
    <row r="864" spans="1:2">
      <c r="A864" s="112">
        <v>41041</v>
      </c>
      <c r="B864" s="1">
        <v>52</v>
      </c>
    </row>
    <row r="865" spans="1:2">
      <c r="A865" s="112">
        <v>41042</v>
      </c>
      <c r="B865" s="1">
        <v>49</v>
      </c>
    </row>
    <row r="866" spans="1:2">
      <c r="A866" s="112">
        <v>41043</v>
      </c>
      <c r="B866" s="1">
        <v>51</v>
      </c>
    </row>
    <row r="867" spans="1:2">
      <c r="A867" s="112">
        <v>41044</v>
      </c>
      <c r="B867" s="1">
        <v>56</v>
      </c>
    </row>
    <row r="868" spans="1:2">
      <c r="A868" s="112">
        <v>41045</v>
      </c>
      <c r="B868" s="1">
        <v>61</v>
      </c>
    </row>
    <row r="869" spans="1:2">
      <c r="A869" s="112">
        <v>41046</v>
      </c>
      <c r="B869" s="1">
        <v>66</v>
      </c>
    </row>
    <row r="870" spans="1:2">
      <c r="A870" s="112">
        <v>41047</v>
      </c>
      <c r="B870" s="1">
        <v>71</v>
      </c>
    </row>
    <row r="871" spans="1:2">
      <c r="A871" s="112">
        <v>41048</v>
      </c>
      <c r="B871" s="1">
        <v>74</v>
      </c>
    </row>
    <row r="872" spans="1:2">
      <c r="A872" s="112">
        <v>41049</v>
      </c>
      <c r="B872" s="1">
        <v>76</v>
      </c>
    </row>
    <row r="873" spans="1:2">
      <c r="A873" s="112">
        <v>41050</v>
      </c>
      <c r="B873" s="1">
        <v>76</v>
      </c>
    </row>
    <row r="874" spans="1:2">
      <c r="A874" s="112">
        <v>41051</v>
      </c>
      <c r="B874" s="1">
        <v>74</v>
      </c>
    </row>
    <row r="875" spans="1:2">
      <c r="A875" s="112">
        <v>41052</v>
      </c>
      <c r="B875" s="1">
        <v>71</v>
      </c>
    </row>
    <row r="876" spans="1:2">
      <c r="A876" s="112">
        <v>41053</v>
      </c>
      <c r="B876" s="1">
        <v>67</v>
      </c>
    </row>
    <row r="877" spans="1:2">
      <c r="A877" s="112">
        <v>41054</v>
      </c>
      <c r="B877" s="1">
        <v>62</v>
      </c>
    </row>
    <row r="878" spans="1:2">
      <c r="A878" s="112">
        <v>41055</v>
      </c>
      <c r="B878" s="1">
        <v>57</v>
      </c>
    </row>
    <row r="879" spans="1:2">
      <c r="A879" s="112">
        <v>41056</v>
      </c>
      <c r="B879" s="1">
        <v>54</v>
      </c>
    </row>
    <row r="880" spans="1:2">
      <c r="A880" s="112">
        <v>41057</v>
      </c>
      <c r="B880" s="1">
        <v>53</v>
      </c>
    </row>
    <row r="881" spans="1:2">
      <c r="A881" s="112">
        <v>41058</v>
      </c>
      <c r="B881" s="1">
        <v>56</v>
      </c>
    </row>
    <row r="882" spans="1:2">
      <c r="A882" s="112">
        <v>41059</v>
      </c>
      <c r="B882" s="1">
        <v>63</v>
      </c>
    </row>
    <row r="883" spans="1:2">
      <c r="A883" s="112">
        <v>41060</v>
      </c>
      <c r="B883" s="1">
        <v>72</v>
      </c>
    </row>
    <row r="884" spans="1:2">
      <c r="A884" s="112">
        <v>41061</v>
      </c>
      <c r="B884" s="1">
        <v>82</v>
      </c>
    </row>
    <row r="885" spans="1:2">
      <c r="A885" s="112">
        <v>41062</v>
      </c>
      <c r="B885" s="1">
        <v>91</v>
      </c>
    </row>
    <row r="886" spans="1:2">
      <c r="A886" s="112">
        <v>41063</v>
      </c>
      <c r="B886" s="1">
        <v>97</v>
      </c>
    </row>
    <row r="887" spans="1:2">
      <c r="A887" s="112">
        <v>41064</v>
      </c>
      <c r="B887" s="1">
        <v>99</v>
      </c>
    </row>
    <row r="888" spans="1:2">
      <c r="A888" s="112">
        <v>41065</v>
      </c>
      <c r="B888" s="1">
        <v>98</v>
      </c>
    </row>
    <row r="889" spans="1:2">
      <c r="A889" s="112">
        <v>41066</v>
      </c>
      <c r="B889" s="1">
        <v>92</v>
      </c>
    </row>
    <row r="890" spans="1:2">
      <c r="A890" s="112">
        <v>41067</v>
      </c>
      <c r="B890" s="1">
        <v>85</v>
      </c>
    </row>
    <row r="891" spans="1:2">
      <c r="A891" s="112">
        <v>41068</v>
      </c>
      <c r="B891" s="1">
        <v>74</v>
      </c>
    </row>
    <row r="892" spans="1:2">
      <c r="A892" s="112">
        <v>41069</v>
      </c>
      <c r="B892" s="1">
        <v>64</v>
      </c>
    </row>
    <row r="893" spans="1:2">
      <c r="A893" s="112">
        <v>41070</v>
      </c>
      <c r="B893" s="1">
        <v>56</v>
      </c>
    </row>
    <row r="894" spans="1:2">
      <c r="A894" s="112">
        <v>41071</v>
      </c>
      <c r="B894" s="1">
        <v>50</v>
      </c>
    </row>
    <row r="895" spans="1:2">
      <c r="A895" s="112">
        <v>41072</v>
      </c>
      <c r="B895" s="1">
        <v>47</v>
      </c>
    </row>
    <row r="896" spans="1:2">
      <c r="A896" s="112">
        <v>41073</v>
      </c>
      <c r="B896" s="1">
        <v>48</v>
      </c>
    </row>
    <row r="897" spans="1:2">
      <c r="A897" s="112">
        <v>41074</v>
      </c>
      <c r="B897" s="1">
        <v>51</v>
      </c>
    </row>
    <row r="898" spans="1:2">
      <c r="A898" s="112">
        <v>41075</v>
      </c>
      <c r="B898" s="1">
        <v>56</v>
      </c>
    </row>
    <row r="899" spans="1:2">
      <c r="A899" s="112">
        <v>41076</v>
      </c>
      <c r="B899" s="1">
        <v>62</v>
      </c>
    </row>
    <row r="900" spans="1:2">
      <c r="A900" s="112">
        <v>41077</v>
      </c>
      <c r="B900" s="1">
        <v>67</v>
      </c>
    </row>
    <row r="901" spans="1:2">
      <c r="A901" s="112">
        <v>41078</v>
      </c>
      <c r="B901" s="1">
        <v>71</v>
      </c>
    </row>
    <row r="902" spans="1:2">
      <c r="A902" s="112">
        <v>41079</v>
      </c>
      <c r="B902" s="1">
        <v>75</v>
      </c>
    </row>
    <row r="903" spans="1:2">
      <c r="A903" s="112">
        <v>41080</v>
      </c>
      <c r="B903" s="1">
        <v>77</v>
      </c>
    </row>
    <row r="904" spans="1:2">
      <c r="A904" s="112">
        <v>41081</v>
      </c>
      <c r="B904" s="1">
        <v>77</v>
      </c>
    </row>
    <row r="905" spans="1:2">
      <c r="A905" s="112">
        <v>41082</v>
      </c>
      <c r="B905" s="1">
        <v>76</v>
      </c>
    </row>
    <row r="906" spans="1:2">
      <c r="A906" s="112">
        <v>41083</v>
      </c>
      <c r="B906" s="1">
        <v>73</v>
      </c>
    </row>
    <row r="907" spans="1:2">
      <c r="A907" s="112">
        <v>41084</v>
      </c>
      <c r="B907" s="1">
        <v>69</v>
      </c>
    </row>
    <row r="908" spans="1:2">
      <c r="A908" s="112">
        <v>41085</v>
      </c>
      <c r="B908" s="1">
        <v>65</v>
      </c>
    </row>
    <row r="909" spans="1:2">
      <c r="A909" s="112">
        <v>41086</v>
      </c>
      <c r="B909" s="1">
        <v>61</v>
      </c>
    </row>
    <row r="910" spans="1:2">
      <c r="A910" s="112">
        <v>41087</v>
      </c>
      <c r="B910" s="1">
        <v>60</v>
      </c>
    </row>
    <row r="911" spans="1:2">
      <c r="A911" s="112">
        <v>41088</v>
      </c>
      <c r="B911" s="1">
        <v>61</v>
      </c>
    </row>
    <row r="912" spans="1:2">
      <c r="A912" s="112">
        <v>41089</v>
      </c>
      <c r="B912" s="1">
        <v>66</v>
      </c>
    </row>
    <row r="913" spans="1:2">
      <c r="A913" s="112">
        <v>41090</v>
      </c>
      <c r="B913" s="1">
        <v>73</v>
      </c>
    </row>
    <row r="914" spans="1:2">
      <c r="A914" s="112">
        <v>41091</v>
      </c>
      <c r="B914" s="1">
        <v>83</v>
      </c>
    </row>
    <row r="915" spans="1:2">
      <c r="A915" s="112">
        <v>41092</v>
      </c>
      <c r="B915" s="1">
        <v>91</v>
      </c>
    </row>
    <row r="916" spans="1:2">
      <c r="A916" s="112">
        <v>41093</v>
      </c>
      <c r="B916" s="1">
        <v>95</v>
      </c>
    </row>
    <row r="917" spans="1:2">
      <c r="A917" s="112">
        <v>41094</v>
      </c>
      <c r="B917" s="1">
        <v>96</v>
      </c>
    </row>
    <row r="918" spans="1:2">
      <c r="A918" s="112">
        <v>41095</v>
      </c>
      <c r="B918" s="1">
        <v>94</v>
      </c>
    </row>
    <row r="919" spans="1:2">
      <c r="A919" s="112">
        <v>41096</v>
      </c>
      <c r="B919" s="1">
        <v>88</v>
      </c>
    </row>
    <row r="920" spans="1:2">
      <c r="A920" s="112">
        <v>41097</v>
      </c>
      <c r="B920" s="1">
        <v>80</v>
      </c>
    </row>
    <row r="921" spans="1:2">
      <c r="A921" s="112">
        <v>41098</v>
      </c>
      <c r="B921" s="1">
        <v>70</v>
      </c>
    </row>
    <row r="922" spans="1:2">
      <c r="A922" s="112">
        <v>41099</v>
      </c>
      <c r="B922" s="1">
        <v>60</v>
      </c>
    </row>
    <row r="923" spans="1:2">
      <c r="A923" s="112">
        <v>41100</v>
      </c>
      <c r="B923" s="1">
        <v>50</v>
      </c>
    </row>
    <row r="924" spans="1:2">
      <c r="A924" s="112">
        <v>41101</v>
      </c>
      <c r="B924" s="1">
        <v>43</v>
      </c>
    </row>
    <row r="925" spans="1:2">
      <c r="A925" s="112">
        <v>41102</v>
      </c>
      <c r="B925" s="1">
        <v>40</v>
      </c>
    </row>
    <row r="926" spans="1:2">
      <c r="A926" s="112">
        <v>41103</v>
      </c>
      <c r="B926" s="1">
        <v>42</v>
      </c>
    </row>
    <row r="927" spans="1:2">
      <c r="A927" s="112">
        <v>41104</v>
      </c>
      <c r="B927" s="1">
        <v>47</v>
      </c>
    </row>
    <row r="928" spans="1:2">
      <c r="A928" s="112">
        <v>41105</v>
      </c>
      <c r="B928" s="1">
        <v>55</v>
      </c>
    </row>
    <row r="929" spans="1:2">
      <c r="A929" s="112">
        <v>41106</v>
      </c>
      <c r="B929" s="1">
        <v>63</v>
      </c>
    </row>
    <row r="930" spans="1:2">
      <c r="A930" s="112">
        <v>41107</v>
      </c>
      <c r="B930" s="1">
        <v>71</v>
      </c>
    </row>
    <row r="931" spans="1:2">
      <c r="A931" s="112">
        <v>41108</v>
      </c>
      <c r="B931" s="1">
        <v>78</v>
      </c>
    </row>
    <row r="932" spans="1:2">
      <c r="A932" s="112">
        <v>41109</v>
      </c>
      <c r="B932" s="1">
        <v>83</v>
      </c>
    </row>
    <row r="933" spans="1:2">
      <c r="A933" s="112">
        <v>41110</v>
      </c>
      <c r="B933" s="1">
        <v>86</v>
      </c>
    </row>
    <row r="934" spans="1:2">
      <c r="A934" s="112">
        <v>41111</v>
      </c>
      <c r="B934" s="1">
        <v>87</v>
      </c>
    </row>
    <row r="935" spans="1:2">
      <c r="A935" s="112">
        <v>41112</v>
      </c>
      <c r="B935" s="1">
        <v>85</v>
      </c>
    </row>
    <row r="936" spans="1:2">
      <c r="A936" s="112">
        <v>41113</v>
      </c>
      <c r="B936" s="1">
        <v>80</v>
      </c>
    </row>
    <row r="937" spans="1:2">
      <c r="A937" s="112">
        <v>41114</v>
      </c>
      <c r="B937" s="1">
        <v>73</v>
      </c>
    </row>
    <row r="938" spans="1:2">
      <c r="A938" s="112">
        <v>41115</v>
      </c>
      <c r="B938" s="1">
        <v>65</v>
      </c>
    </row>
    <row r="939" spans="1:2">
      <c r="A939" s="112">
        <v>41116</v>
      </c>
      <c r="B939" s="1">
        <v>59</v>
      </c>
    </row>
    <row r="940" spans="1:2">
      <c r="A940" s="112">
        <v>41117</v>
      </c>
      <c r="B940" s="1">
        <v>55</v>
      </c>
    </row>
    <row r="941" spans="1:2">
      <c r="A941" s="112">
        <v>41118</v>
      </c>
      <c r="B941" s="1">
        <v>59</v>
      </c>
    </row>
    <row r="942" spans="1:2">
      <c r="A942" s="112">
        <v>41119</v>
      </c>
      <c r="B942" s="1">
        <v>67</v>
      </c>
    </row>
    <row r="943" spans="1:2">
      <c r="A943" s="112">
        <v>41120</v>
      </c>
      <c r="B943" s="1">
        <v>77</v>
      </c>
    </row>
    <row r="944" spans="1:2">
      <c r="A944" s="112">
        <v>41121</v>
      </c>
      <c r="B944" s="1">
        <v>86</v>
      </c>
    </row>
    <row r="945" spans="1:2">
      <c r="A945" s="112">
        <v>41122</v>
      </c>
      <c r="B945" s="1">
        <v>94</v>
      </c>
    </row>
    <row r="946" spans="1:2">
      <c r="A946" s="112">
        <v>41123</v>
      </c>
      <c r="B946" s="1">
        <v>97</v>
      </c>
    </row>
    <row r="947" spans="1:2">
      <c r="A947" s="112">
        <v>41124</v>
      </c>
      <c r="B947" s="1">
        <v>96</v>
      </c>
    </row>
    <row r="948" spans="1:2">
      <c r="A948" s="112">
        <v>41125</v>
      </c>
      <c r="B948" s="1">
        <v>91</v>
      </c>
    </row>
    <row r="949" spans="1:2">
      <c r="A949" s="112">
        <v>41126</v>
      </c>
      <c r="B949" s="1">
        <v>83</v>
      </c>
    </row>
    <row r="950" spans="1:2">
      <c r="A950" s="112">
        <v>41127</v>
      </c>
      <c r="B950" s="1">
        <v>73</v>
      </c>
    </row>
    <row r="951" spans="1:2">
      <c r="A951" s="112">
        <v>41128</v>
      </c>
      <c r="B951" s="1">
        <v>62</v>
      </c>
    </row>
    <row r="952" spans="1:2">
      <c r="A952" s="112">
        <v>41129</v>
      </c>
      <c r="B952" s="1">
        <v>51</v>
      </c>
    </row>
    <row r="953" spans="1:2">
      <c r="A953" s="112">
        <v>41130</v>
      </c>
      <c r="B953" s="1">
        <v>41</v>
      </c>
    </row>
    <row r="954" spans="1:2">
      <c r="A954" s="112">
        <v>41131</v>
      </c>
      <c r="B954" s="1">
        <v>35</v>
      </c>
    </row>
    <row r="955" spans="1:2">
      <c r="A955" s="112">
        <v>41132</v>
      </c>
      <c r="B955" s="1">
        <v>35</v>
      </c>
    </row>
    <row r="956" spans="1:2">
      <c r="A956" s="112">
        <v>41133</v>
      </c>
      <c r="B956" s="1">
        <v>41</v>
      </c>
    </row>
    <row r="957" spans="1:2">
      <c r="A957" s="112">
        <v>41134</v>
      </c>
      <c r="B957" s="1">
        <v>51</v>
      </c>
    </row>
    <row r="958" spans="1:2">
      <c r="A958" s="112">
        <v>41135</v>
      </c>
      <c r="B958" s="1">
        <v>63</v>
      </c>
    </row>
    <row r="959" spans="1:2">
      <c r="A959" s="112">
        <v>41136</v>
      </c>
      <c r="B959" s="1">
        <v>74</v>
      </c>
    </row>
    <row r="960" spans="1:2">
      <c r="A960" s="112">
        <v>41137</v>
      </c>
      <c r="B960" s="1">
        <v>84</v>
      </c>
    </row>
    <row r="961" spans="1:2">
      <c r="A961" s="112">
        <v>41138</v>
      </c>
      <c r="B961" s="1">
        <v>92</v>
      </c>
    </row>
    <row r="962" spans="1:2">
      <c r="A962" s="112">
        <v>41139</v>
      </c>
      <c r="B962" s="1">
        <v>97</v>
      </c>
    </row>
    <row r="963" spans="1:2">
      <c r="A963" s="112">
        <v>41140</v>
      </c>
      <c r="B963" s="1">
        <v>98</v>
      </c>
    </row>
    <row r="964" spans="1:2">
      <c r="A964" s="112">
        <v>41141</v>
      </c>
      <c r="B964" s="1">
        <v>95</v>
      </c>
    </row>
    <row r="965" spans="1:2">
      <c r="A965" s="112">
        <v>41142</v>
      </c>
      <c r="B965" s="1">
        <v>88</v>
      </c>
    </row>
    <row r="966" spans="1:2">
      <c r="A966" s="112">
        <v>41143</v>
      </c>
      <c r="B966" s="1">
        <v>77</v>
      </c>
    </row>
    <row r="967" spans="1:2">
      <c r="A967" s="112">
        <v>41144</v>
      </c>
      <c r="B967" s="1">
        <v>65</v>
      </c>
    </row>
    <row r="968" spans="1:2">
      <c r="A968" s="112">
        <v>41145</v>
      </c>
      <c r="B968" s="1">
        <v>54</v>
      </c>
    </row>
    <row r="969" spans="1:2">
      <c r="A969" s="112">
        <v>41146</v>
      </c>
      <c r="B969" s="1">
        <v>51</v>
      </c>
    </row>
    <row r="970" spans="1:2">
      <c r="A970" s="112">
        <v>41147</v>
      </c>
      <c r="B970" s="1">
        <v>54</v>
      </c>
    </row>
    <row r="971" spans="1:2">
      <c r="A971" s="112">
        <v>41148</v>
      </c>
      <c r="B971" s="1">
        <v>64</v>
      </c>
    </row>
    <row r="972" spans="1:2">
      <c r="A972" s="112">
        <v>41149</v>
      </c>
      <c r="B972" s="1">
        <v>75</v>
      </c>
    </row>
    <row r="973" spans="1:2">
      <c r="A973" s="112">
        <v>41150</v>
      </c>
      <c r="B973" s="1">
        <v>86</v>
      </c>
    </row>
    <row r="974" spans="1:2">
      <c r="A974" s="112">
        <v>41151</v>
      </c>
      <c r="B974" s="1">
        <v>93</v>
      </c>
    </row>
    <row r="975" spans="1:2">
      <c r="A975" s="112">
        <v>41152</v>
      </c>
      <c r="B975" s="1">
        <v>96</v>
      </c>
    </row>
    <row r="976" spans="1:2">
      <c r="A976" s="112">
        <v>41153</v>
      </c>
      <c r="B976" s="1">
        <v>95</v>
      </c>
    </row>
    <row r="977" spans="1:2">
      <c r="A977" s="112">
        <v>41154</v>
      </c>
      <c r="B977" s="1">
        <v>91</v>
      </c>
    </row>
    <row r="978" spans="1:2">
      <c r="A978" s="112">
        <v>41155</v>
      </c>
      <c r="B978" s="1">
        <v>84</v>
      </c>
    </row>
    <row r="979" spans="1:2">
      <c r="A979" s="112">
        <v>41156</v>
      </c>
      <c r="B979" s="1">
        <v>74</v>
      </c>
    </row>
    <row r="980" spans="1:2">
      <c r="A980" s="112">
        <v>41157</v>
      </c>
      <c r="B980" s="1">
        <v>63</v>
      </c>
    </row>
    <row r="981" spans="1:2">
      <c r="A981" s="112">
        <v>41158</v>
      </c>
      <c r="B981" s="1">
        <v>52</v>
      </c>
    </row>
    <row r="982" spans="1:2">
      <c r="A982" s="112">
        <v>41159</v>
      </c>
      <c r="B982" s="1">
        <v>41</v>
      </c>
    </row>
    <row r="983" spans="1:2">
      <c r="A983" s="112">
        <v>41160</v>
      </c>
      <c r="B983" s="1">
        <v>33</v>
      </c>
    </row>
    <row r="984" spans="1:2">
      <c r="A984" s="112">
        <v>41161</v>
      </c>
      <c r="B984" s="1">
        <v>32</v>
      </c>
    </row>
    <row r="985" spans="1:2">
      <c r="A985" s="112">
        <v>41162</v>
      </c>
      <c r="B985" s="1">
        <v>39</v>
      </c>
    </row>
    <row r="986" spans="1:2">
      <c r="A986" s="112">
        <v>41163</v>
      </c>
      <c r="B986" s="1">
        <v>50</v>
      </c>
    </row>
    <row r="987" spans="1:2">
      <c r="A987" s="112">
        <v>41164</v>
      </c>
      <c r="B987" s="1">
        <v>64</v>
      </c>
    </row>
    <row r="988" spans="1:2">
      <c r="A988" s="112">
        <v>41165</v>
      </c>
      <c r="B988" s="1">
        <v>78</v>
      </c>
    </row>
    <row r="989" spans="1:2">
      <c r="A989" s="112">
        <v>41166</v>
      </c>
      <c r="B989" s="1">
        <v>90</v>
      </c>
    </row>
    <row r="990" spans="1:2">
      <c r="A990" s="112">
        <v>41167</v>
      </c>
      <c r="B990" s="1">
        <v>100</v>
      </c>
    </row>
    <row r="991" spans="1:2">
      <c r="A991" s="112">
        <v>41168</v>
      </c>
      <c r="B991" s="1">
        <v>105</v>
      </c>
    </row>
    <row r="992" spans="1:2">
      <c r="A992" s="112">
        <v>41169</v>
      </c>
      <c r="B992" s="1">
        <v>106</v>
      </c>
    </row>
    <row r="993" spans="1:2">
      <c r="A993" s="112">
        <v>41170</v>
      </c>
      <c r="B993" s="1">
        <v>100</v>
      </c>
    </row>
    <row r="994" spans="1:2">
      <c r="A994" s="112">
        <v>41171</v>
      </c>
      <c r="B994" s="1">
        <v>90</v>
      </c>
    </row>
    <row r="995" spans="1:2">
      <c r="A995" s="112">
        <v>41172</v>
      </c>
      <c r="B995" s="1">
        <v>77</v>
      </c>
    </row>
    <row r="996" spans="1:2">
      <c r="A996" s="112">
        <v>41173</v>
      </c>
      <c r="B996" s="1">
        <v>63</v>
      </c>
    </row>
    <row r="997" spans="1:2">
      <c r="A997" s="112">
        <v>41174</v>
      </c>
      <c r="B997" s="1">
        <v>51</v>
      </c>
    </row>
    <row r="998" spans="1:2">
      <c r="A998" s="112">
        <v>41175</v>
      </c>
      <c r="B998" s="1">
        <v>48</v>
      </c>
    </row>
    <row r="999" spans="1:2">
      <c r="A999" s="112">
        <v>41176</v>
      </c>
      <c r="B999" s="1">
        <v>53</v>
      </c>
    </row>
    <row r="1000" spans="1:2">
      <c r="A1000" s="112">
        <v>41177</v>
      </c>
      <c r="B1000" s="1">
        <v>63</v>
      </c>
    </row>
    <row r="1001" spans="1:2">
      <c r="A1001" s="112">
        <v>41178</v>
      </c>
      <c r="B1001" s="1">
        <v>74</v>
      </c>
    </row>
    <row r="1002" spans="1:2">
      <c r="A1002" s="112">
        <v>41179</v>
      </c>
      <c r="B1002" s="1">
        <v>83</v>
      </c>
    </row>
    <row r="1003" spans="1:2">
      <c r="A1003" s="112">
        <v>41180</v>
      </c>
      <c r="B1003" s="1">
        <v>89</v>
      </c>
    </row>
    <row r="1004" spans="1:2">
      <c r="A1004" s="112">
        <v>41181</v>
      </c>
      <c r="B1004" s="1">
        <v>92</v>
      </c>
    </row>
    <row r="1005" spans="1:2">
      <c r="A1005" s="112">
        <v>41182</v>
      </c>
      <c r="B1005" s="1">
        <v>91</v>
      </c>
    </row>
    <row r="1006" spans="1:2">
      <c r="A1006" s="112">
        <v>41183</v>
      </c>
      <c r="B1006" s="1">
        <v>88</v>
      </c>
    </row>
    <row r="1007" spans="1:2">
      <c r="A1007" s="112">
        <v>41184</v>
      </c>
      <c r="B1007" s="1">
        <v>82</v>
      </c>
    </row>
    <row r="1008" spans="1:2">
      <c r="A1008" s="112">
        <v>41185</v>
      </c>
      <c r="B1008" s="1">
        <v>74</v>
      </c>
    </row>
    <row r="1009" spans="1:2">
      <c r="A1009" s="112">
        <v>41186</v>
      </c>
      <c r="B1009" s="1">
        <v>64</v>
      </c>
    </row>
    <row r="1010" spans="1:2">
      <c r="A1010" s="112">
        <v>41187</v>
      </c>
      <c r="B1010" s="1">
        <v>54</v>
      </c>
    </row>
    <row r="1011" spans="1:2">
      <c r="A1011" s="112">
        <v>41188</v>
      </c>
      <c r="B1011" s="1">
        <v>44</v>
      </c>
    </row>
    <row r="1012" spans="1:2">
      <c r="A1012" s="112">
        <v>41189</v>
      </c>
      <c r="B1012" s="1">
        <v>36</v>
      </c>
    </row>
    <row r="1013" spans="1:2">
      <c r="A1013" s="112">
        <v>41190</v>
      </c>
      <c r="B1013" s="1">
        <v>34</v>
      </c>
    </row>
    <row r="1014" spans="1:2">
      <c r="A1014" s="112">
        <v>41191</v>
      </c>
      <c r="B1014" s="1">
        <v>40</v>
      </c>
    </row>
    <row r="1015" spans="1:2">
      <c r="A1015" s="112">
        <v>41192</v>
      </c>
      <c r="B1015" s="1">
        <v>51</v>
      </c>
    </row>
    <row r="1016" spans="1:2">
      <c r="A1016" s="112">
        <v>41193</v>
      </c>
      <c r="B1016" s="1">
        <v>65</v>
      </c>
    </row>
    <row r="1017" spans="1:2">
      <c r="A1017" s="112">
        <v>41194</v>
      </c>
      <c r="B1017" s="1">
        <v>80</v>
      </c>
    </row>
    <row r="1018" spans="1:2">
      <c r="A1018" s="112">
        <v>41195</v>
      </c>
      <c r="B1018" s="1">
        <v>93</v>
      </c>
    </row>
    <row r="1019" spans="1:2">
      <c r="A1019" s="112">
        <v>41196</v>
      </c>
      <c r="B1019" s="1">
        <v>103</v>
      </c>
    </row>
    <row r="1020" spans="1:2">
      <c r="A1020" s="112">
        <v>41197</v>
      </c>
      <c r="B1020" s="1">
        <v>108</v>
      </c>
    </row>
    <row r="1021" spans="1:2">
      <c r="A1021" s="112">
        <v>41198</v>
      </c>
      <c r="B1021" s="1">
        <v>108</v>
      </c>
    </row>
    <row r="1022" spans="1:2">
      <c r="A1022" s="112">
        <v>41199</v>
      </c>
      <c r="B1022" s="1">
        <v>102</v>
      </c>
    </row>
    <row r="1023" spans="1:2">
      <c r="A1023" s="112">
        <v>41200</v>
      </c>
      <c r="B1023" s="1">
        <v>92</v>
      </c>
    </row>
    <row r="1024" spans="1:2">
      <c r="A1024" s="112">
        <v>41201</v>
      </c>
      <c r="B1024" s="1">
        <v>78</v>
      </c>
    </row>
    <row r="1025" spans="1:2">
      <c r="A1025" s="112">
        <v>41202</v>
      </c>
      <c r="B1025" s="1">
        <v>63</v>
      </c>
    </row>
    <row r="1026" spans="1:2">
      <c r="A1026" s="112">
        <v>41203</v>
      </c>
      <c r="B1026" s="1">
        <v>54</v>
      </c>
    </row>
    <row r="1027" spans="1:2">
      <c r="A1027" s="112">
        <v>41204</v>
      </c>
      <c r="B1027" s="1">
        <v>49</v>
      </c>
    </row>
    <row r="1028" spans="1:2">
      <c r="A1028" s="112">
        <v>41205</v>
      </c>
      <c r="B1028" s="1">
        <v>53</v>
      </c>
    </row>
    <row r="1029" spans="1:2">
      <c r="A1029" s="112">
        <v>41206</v>
      </c>
      <c r="B1029" s="1">
        <v>60</v>
      </c>
    </row>
    <row r="1030" spans="1:2">
      <c r="A1030" s="112">
        <v>41207</v>
      </c>
      <c r="B1030" s="1">
        <v>69</v>
      </c>
    </row>
    <row r="1031" spans="1:2">
      <c r="A1031" s="112">
        <v>41208</v>
      </c>
      <c r="B1031" s="1">
        <v>75</v>
      </c>
    </row>
    <row r="1032" spans="1:2">
      <c r="A1032" s="112">
        <v>41209</v>
      </c>
      <c r="B1032" s="1">
        <v>81</v>
      </c>
    </row>
    <row r="1033" spans="1:2">
      <c r="A1033" s="112">
        <v>41210</v>
      </c>
      <c r="B1033" s="1">
        <v>84</v>
      </c>
    </row>
    <row r="1034" spans="1:2">
      <c r="A1034" s="112">
        <v>41211</v>
      </c>
      <c r="B1034" s="1">
        <v>84</v>
      </c>
    </row>
    <row r="1035" spans="1:2">
      <c r="A1035" s="112">
        <v>41212</v>
      </c>
      <c r="B1035" s="1">
        <v>83</v>
      </c>
    </row>
    <row r="1036" spans="1:2">
      <c r="A1036" s="112">
        <v>41213</v>
      </c>
      <c r="B1036" s="1">
        <v>79</v>
      </c>
    </row>
    <row r="1037" spans="1:2">
      <c r="A1037" s="112">
        <v>41214</v>
      </c>
      <c r="B1037" s="1">
        <v>73</v>
      </c>
    </row>
    <row r="1038" spans="1:2">
      <c r="A1038" s="112">
        <v>41215</v>
      </c>
      <c r="B1038" s="1">
        <v>66</v>
      </c>
    </row>
    <row r="1039" spans="1:2">
      <c r="A1039" s="112">
        <v>41216</v>
      </c>
      <c r="B1039" s="1">
        <v>58</v>
      </c>
    </row>
    <row r="1040" spans="1:2">
      <c r="A1040" s="112">
        <v>41217</v>
      </c>
      <c r="B1040" s="1">
        <v>50</v>
      </c>
    </row>
    <row r="1041" spans="1:2">
      <c r="A1041" s="112">
        <v>41218</v>
      </c>
      <c r="B1041" s="1">
        <v>43</v>
      </c>
    </row>
    <row r="1042" spans="1:2">
      <c r="A1042" s="112">
        <v>41219</v>
      </c>
      <c r="B1042" s="1">
        <v>41</v>
      </c>
    </row>
    <row r="1043" spans="1:2">
      <c r="A1043" s="112">
        <v>41220</v>
      </c>
      <c r="B1043" s="1">
        <v>44</v>
      </c>
    </row>
    <row r="1044" spans="1:2">
      <c r="A1044" s="112">
        <v>41221</v>
      </c>
      <c r="B1044" s="1">
        <v>52</v>
      </c>
    </row>
    <row r="1045" spans="1:2">
      <c r="A1045" s="112">
        <v>41222</v>
      </c>
      <c r="B1045" s="1">
        <v>64</v>
      </c>
    </row>
    <row r="1046" spans="1:2">
      <c r="A1046" s="112">
        <v>41223</v>
      </c>
      <c r="B1046" s="1">
        <v>77</v>
      </c>
    </row>
    <row r="1047" spans="1:2">
      <c r="A1047" s="112">
        <v>41224</v>
      </c>
      <c r="B1047" s="1">
        <v>90</v>
      </c>
    </row>
    <row r="1048" spans="1:2">
      <c r="A1048" s="112">
        <v>41225</v>
      </c>
      <c r="B1048" s="1">
        <v>100</v>
      </c>
    </row>
    <row r="1049" spans="1:2">
      <c r="A1049" s="112">
        <v>41226</v>
      </c>
      <c r="B1049" s="1">
        <v>106</v>
      </c>
    </row>
    <row r="1050" spans="1:2">
      <c r="A1050" s="112">
        <v>41227</v>
      </c>
      <c r="B1050" s="1">
        <v>106</v>
      </c>
    </row>
    <row r="1051" spans="1:2">
      <c r="A1051" s="112">
        <v>41228</v>
      </c>
      <c r="B1051" s="1">
        <v>102</v>
      </c>
    </row>
    <row r="1052" spans="1:2">
      <c r="A1052" s="112">
        <v>41229</v>
      </c>
      <c r="B1052" s="1">
        <v>93</v>
      </c>
    </row>
    <row r="1053" spans="1:2">
      <c r="A1053" s="112">
        <v>41230</v>
      </c>
      <c r="B1053" s="1">
        <v>81</v>
      </c>
    </row>
    <row r="1054" spans="1:2">
      <c r="A1054" s="112">
        <v>41231</v>
      </c>
      <c r="B1054" s="1">
        <v>68</v>
      </c>
    </row>
    <row r="1055" spans="1:2">
      <c r="A1055" s="112">
        <v>41232</v>
      </c>
      <c r="B1055" s="1">
        <v>59</v>
      </c>
    </row>
    <row r="1056" spans="1:2">
      <c r="A1056" s="112">
        <v>41233</v>
      </c>
      <c r="B1056" s="1">
        <v>52</v>
      </c>
    </row>
    <row r="1057" spans="1:2">
      <c r="A1057" s="112">
        <v>41234</v>
      </c>
      <c r="B1057" s="1">
        <v>51</v>
      </c>
    </row>
    <row r="1058" spans="1:2">
      <c r="A1058" s="112">
        <v>41235</v>
      </c>
      <c r="B1058" s="1">
        <v>54</v>
      </c>
    </row>
    <row r="1059" spans="1:2">
      <c r="A1059" s="112">
        <v>41236</v>
      </c>
      <c r="B1059" s="1">
        <v>59</v>
      </c>
    </row>
    <row r="1060" spans="1:2">
      <c r="A1060" s="112">
        <v>41237</v>
      </c>
      <c r="B1060" s="1">
        <v>64</v>
      </c>
    </row>
    <row r="1061" spans="1:2">
      <c r="A1061" s="112">
        <v>41238</v>
      </c>
      <c r="B1061" s="1">
        <v>69</v>
      </c>
    </row>
    <row r="1062" spans="1:2">
      <c r="A1062" s="112">
        <v>41239</v>
      </c>
      <c r="B1062" s="1">
        <v>74</v>
      </c>
    </row>
    <row r="1063" spans="1:2">
      <c r="A1063" s="112">
        <v>41240</v>
      </c>
      <c r="B1063" s="1">
        <v>76</v>
      </c>
    </row>
    <row r="1064" spans="1:2">
      <c r="A1064" s="112">
        <v>41241</v>
      </c>
      <c r="B1064" s="1">
        <v>77</v>
      </c>
    </row>
    <row r="1065" spans="1:2">
      <c r="A1065" s="112">
        <v>41242</v>
      </c>
      <c r="B1065" s="1">
        <v>77</v>
      </c>
    </row>
    <row r="1066" spans="1:2">
      <c r="A1066" s="112">
        <v>41243</v>
      </c>
      <c r="B1066" s="1">
        <v>75</v>
      </c>
    </row>
    <row r="1067" spans="1:2">
      <c r="A1067" s="112">
        <v>41244</v>
      </c>
      <c r="B1067" s="1">
        <v>71</v>
      </c>
    </row>
    <row r="1068" spans="1:2">
      <c r="A1068" s="112">
        <v>41245</v>
      </c>
      <c r="B1068" s="1">
        <v>66</v>
      </c>
    </row>
    <row r="1069" spans="1:2">
      <c r="A1069" s="112">
        <v>41246</v>
      </c>
      <c r="B1069" s="1">
        <v>60</v>
      </c>
    </row>
    <row r="1070" spans="1:2">
      <c r="A1070" s="112">
        <v>41247</v>
      </c>
      <c r="B1070" s="1">
        <v>55</v>
      </c>
    </row>
    <row r="1071" spans="1:2">
      <c r="A1071" s="112">
        <v>41248</v>
      </c>
      <c r="B1071" s="1">
        <v>51</v>
      </c>
    </row>
    <row r="1072" spans="1:2">
      <c r="A1072" s="112">
        <v>41249</v>
      </c>
      <c r="B1072" s="1">
        <v>50</v>
      </c>
    </row>
    <row r="1073" spans="1:2">
      <c r="A1073" s="112">
        <v>41250</v>
      </c>
      <c r="B1073" s="1">
        <v>53</v>
      </c>
    </row>
    <row r="1074" spans="1:2">
      <c r="A1074" s="112">
        <v>41251</v>
      </c>
      <c r="B1074" s="1">
        <v>60</v>
      </c>
    </row>
    <row r="1075" spans="1:2">
      <c r="A1075" s="112">
        <v>41252</v>
      </c>
      <c r="B1075" s="1">
        <v>71</v>
      </c>
    </row>
    <row r="1076" spans="1:2">
      <c r="A1076" s="112">
        <v>41253</v>
      </c>
      <c r="B1076" s="1">
        <v>82</v>
      </c>
    </row>
    <row r="1077" spans="1:2">
      <c r="A1077" s="112">
        <v>41254</v>
      </c>
      <c r="B1077" s="1">
        <v>92</v>
      </c>
    </row>
    <row r="1078" spans="1:2">
      <c r="A1078" s="112">
        <v>41255</v>
      </c>
      <c r="B1078" s="1">
        <v>100</v>
      </c>
    </row>
    <row r="1079" spans="1:2">
      <c r="A1079" s="112">
        <v>41256</v>
      </c>
      <c r="B1079" s="1">
        <v>104</v>
      </c>
    </row>
    <row r="1080" spans="1:2">
      <c r="A1080" s="112">
        <v>41257</v>
      </c>
      <c r="B1080" s="1">
        <v>102</v>
      </c>
    </row>
    <row r="1081" spans="1:2">
      <c r="A1081" s="112">
        <v>41258</v>
      </c>
      <c r="B1081" s="1">
        <v>96</v>
      </c>
    </row>
    <row r="1082" spans="1:2">
      <c r="A1082" s="112">
        <v>41259</v>
      </c>
      <c r="B1082" s="1">
        <v>88</v>
      </c>
    </row>
    <row r="1083" spans="1:2">
      <c r="A1083" s="112">
        <v>41260</v>
      </c>
      <c r="B1083" s="1">
        <v>77</v>
      </c>
    </row>
    <row r="1084" spans="1:2">
      <c r="A1084" s="112">
        <v>41261</v>
      </c>
      <c r="B1084" s="1">
        <v>66</v>
      </c>
    </row>
    <row r="1085" spans="1:2">
      <c r="A1085" s="112">
        <v>41262</v>
      </c>
      <c r="B1085" s="1">
        <v>56</v>
      </c>
    </row>
    <row r="1086" spans="1:2">
      <c r="A1086" s="112">
        <v>41263</v>
      </c>
      <c r="B1086" s="1">
        <v>49</v>
      </c>
    </row>
    <row r="1087" spans="1:2">
      <c r="A1087" s="112">
        <v>41264</v>
      </c>
      <c r="B1087" s="1">
        <v>46</v>
      </c>
    </row>
    <row r="1088" spans="1:2">
      <c r="A1088" s="112">
        <v>41265</v>
      </c>
      <c r="B1088" s="1">
        <v>47</v>
      </c>
    </row>
    <row r="1089" spans="1:2">
      <c r="A1089" s="112">
        <v>41266</v>
      </c>
      <c r="B1089" s="1">
        <v>51</v>
      </c>
    </row>
    <row r="1090" spans="1:2">
      <c r="A1090" s="112">
        <v>41267</v>
      </c>
      <c r="B1090" s="1">
        <v>57</v>
      </c>
    </row>
    <row r="1091" spans="1:2">
      <c r="A1091" s="112">
        <v>41268</v>
      </c>
      <c r="B1091" s="1">
        <v>64</v>
      </c>
    </row>
    <row r="1092" spans="1:2">
      <c r="A1092" s="112">
        <v>41269</v>
      </c>
      <c r="B1092" s="1">
        <v>69</v>
      </c>
    </row>
    <row r="1093" spans="1:2">
      <c r="A1093" s="112">
        <v>41270</v>
      </c>
      <c r="B1093" s="1">
        <v>74</v>
      </c>
    </row>
    <row r="1094" spans="1:2">
      <c r="A1094" s="112">
        <v>41271</v>
      </c>
      <c r="B1094" s="1">
        <v>77</v>
      </c>
    </row>
    <row r="1095" spans="1:2">
      <c r="A1095" s="112">
        <v>41272</v>
      </c>
      <c r="B1095" s="1">
        <v>79</v>
      </c>
    </row>
    <row r="1096" spans="1:2">
      <c r="A1096" s="112">
        <v>41273</v>
      </c>
      <c r="B1096" s="1">
        <v>79</v>
      </c>
    </row>
    <row r="1097" spans="1:2">
      <c r="A1097" s="112">
        <v>41274</v>
      </c>
      <c r="B1097" s="1">
        <v>77</v>
      </c>
    </row>
    <row r="1098" spans="1:2">
      <c r="A1098" s="112">
        <v>41275</v>
      </c>
      <c r="B1098" s="1">
        <v>73</v>
      </c>
    </row>
    <row r="1099" spans="1:2">
      <c r="A1099" s="112">
        <v>41276</v>
      </c>
      <c r="B1099" s="1">
        <v>68</v>
      </c>
    </row>
    <row r="1100" spans="1:2">
      <c r="A1100" s="112">
        <v>41277</v>
      </c>
      <c r="B1100" s="1">
        <v>63</v>
      </c>
    </row>
    <row r="1101" spans="1:2">
      <c r="A1101" s="112">
        <v>41278</v>
      </c>
      <c r="B1101" s="1">
        <v>57</v>
      </c>
    </row>
    <row r="1102" spans="1:2">
      <c r="A1102" s="112">
        <v>41279</v>
      </c>
      <c r="B1102" s="1">
        <v>54</v>
      </c>
    </row>
    <row r="1103" spans="1:2">
      <c r="A1103" s="112">
        <v>41280</v>
      </c>
      <c r="B1103" s="1">
        <v>56</v>
      </c>
    </row>
    <row r="1104" spans="1:2">
      <c r="A1104" s="112">
        <v>41281</v>
      </c>
      <c r="B1104" s="1">
        <v>61</v>
      </c>
    </row>
    <row r="1105" spans="1:2">
      <c r="A1105" s="112">
        <v>41282</v>
      </c>
      <c r="B1105" s="1">
        <v>73</v>
      </c>
    </row>
    <row r="1106" spans="1:2">
      <c r="A1106" s="112">
        <v>41283</v>
      </c>
      <c r="B1106" s="1">
        <v>84</v>
      </c>
    </row>
    <row r="1107" spans="1:2">
      <c r="A1107" s="112">
        <v>41284</v>
      </c>
      <c r="B1107" s="1">
        <v>95</v>
      </c>
    </row>
    <row r="1108" spans="1:2">
      <c r="A1108" s="112">
        <v>41285</v>
      </c>
      <c r="B1108" s="1">
        <v>101</v>
      </c>
    </row>
    <row r="1109" spans="1:2">
      <c r="A1109" s="112">
        <v>41286</v>
      </c>
      <c r="B1109" s="1">
        <v>105</v>
      </c>
    </row>
    <row r="1110" spans="1:2">
      <c r="A1110" s="112">
        <v>41287</v>
      </c>
      <c r="B1110" s="1">
        <v>101</v>
      </c>
    </row>
    <row r="1111" spans="1:2">
      <c r="A1111" s="112">
        <v>41288</v>
      </c>
      <c r="B1111" s="1">
        <v>95</v>
      </c>
    </row>
    <row r="1112" spans="1:2">
      <c r="A1112" s="112">
        <v>41289</v>
      </c>
      <c r="B1112" s="1">
        <v>85</v>
      </c>
    </row>
    <row r="1113" spans="1:2">
      <c r="A1113" s="112">
        <v>41290</v>
      </c>
      <c r="B1113" s="1">
        <v>73</v>
      </c>
    </row>
    <row r="1114" spans="1:2">
      <c r="A1114" s="112">
        <v>41291</v>
      </c>
      <c r="B1114" s="1">
        <v>60</v>
      </c>
    </row>
    <row r="1115" spans="1:2">
      <c r="A1115" s="112">
        <v>41292</v>
      </c>
      <c r="B1115" s="1">
        <v>49</v>
      </c>
    </row>
    <row r="1116" spans="1:2">
      <c r="A1116" s="112">
        <v>41293</v>
      </c>
      <c r="B1116" s="1">
        <v>40</v>
      </c>
    </row>
    <row r="1117" spans="1:2">
      <c r="A1117" s="112">
        <v>41294</v>
      </c>
      <c r="B1117" s="1">
        <v>37</v>
      </c>
    </row>
    <row r="1118" spans="1:2">
      <c r="A1118" s="112">
        <v>41295</v>
      </c>
      <c r="B1118" s="1">
        <v>40</v>
      </c>
    </row>
    <row r="1119" spans="1:2">
      <c r="A1119" s="112">
        <v>41296</v>
      </c>
      <c r="B1119" s="1">
        <v>47</v>
      </c>
    </row>
    <row r="1120" spans="1:2">
      <c r="A1120" s="112">
        <v>41297</v>
      </c>
      <c r="B1120" s="1">
        <v>56</v>
      </c>
    </row>
    <row r="1121" spans="1:2">
      <c r="A1121" s="112">
        <v>41298</v>
      </c>
      <c r="B1121" s="1">
        <v>65</v>
      </c>
    </row>
    <row r="1122" spans="1:2">
      <c r="A1122" s="112">
        <v>41299</v>
      </c>
      <c r="B1122" s="1">
        <v>74</v>
      </c>
    </row>
    <row r="1123" spans="1:2">
      <c r="A1123" s="112">
        <v>41300</v>
      </c>
      <c r="B1123" s="1">
        <v>81</v>
      </c>
    </row>
    <row r="1124" spans="1:2">
      <c r="A1124" s="112">
        <v>41301</v>
      </c>
      <c r="B1124" s="1">
        <v>86</v>
      </c>
    </row>
    <row r="1125" spans="1:2">
      <c r="A1125" s="112">
        <v>41302</v>
      </c>
      <c r="B1125" s="1">
        <v>89</v>
      </c>
    </row>
    <row r="1126" spans="1:2">
      <c r="A1126" s="112">
        <v>41303</v>
      </c>
      <c r="B1126" s="1">
        <v>89</v>
      </c>
    </row>
    <row r="1127" spans="1:2">
      <c r="A1127" s="112">
        <v>41304</v>
      </c>
      <c r="B1127" s="1">
        <v>86</v>
      </c>
    </row>
    <row r="1128" spans="1:2">
      <c r="A1128" s="112">
        <v>41305</v>
      </c>
      <c r="B1128" s="1">
        <v>80</v>
      </c>
    </row>
    <row r="1129" spans="1:2">
      <c r="A1129" s="112">
        <v>41306</v>
      </c>
      <c r="B1129" s="1">
        <v>73</v>
      </c>
    </row>
    <row r="1130" spans="1:2">
      <c r="A1130" s="112">
        <v>41307</v>
      </c>
      <c r="B1130" s="1">
        <v>63</v>
      </c>
    </row>
    <row r="1131" spans="1:2">
      <c r="A1131" s="112">
        <v>41308</v>
      </c>
      <c r="B1131" s="1">
        <v>54</v>
      </c>
    </row>
    <row r="1132" spans="1:2">
      <c r="A1132" s="112">
        <v>41309</v>
      </c>
      <c r="B1132" s="1">
        <v>50</v>
      </c>
    </row>
    <row r="1133" spans="1:2">
      <c r="A1133" s="112">
        <v>41310</v>
      </c>
      <c r="B1133" s="1">
        <v>54</v>
      </c>
    </row>
    <row r="1134" spans="1:2">
      <c r="A1134" s="112">
        <v>41311</v>
      </c>
      <c r="B1134" s="1">
        <v>66</v>
      </c>
    </row>
    <row r="1135" spans="1:2">
      <c r="A1135" s="112">
        <v>41312</v>
      </c>
      <c r="B1135" s="1">
        <v>78</v>
      </c>
    </row>
    <row r="1136" spans="1:2">
      <c r="A1136" s="112">
        <v>41313</v>
      </c>
      <c r="B1136" s="1">
        <v>90</v>
      </c>
    </row>
    <row r="1137" spans="1:2">
      <c r="A1137" s="112">
        <v>41314</v>
      </c>
      <c r="B1137" s="1">
        <v>101</v>
      </c>
    </row>
    <row r="1138" spans="1:2">
      <c r="A1138" s="112">
        <v>41315</v>
      </c>
      <c r="B1138" s="1">
        <v>105</v>
      </c>
    </row>
    <row r="1139" spans="1:2">
      <c r="A1139" s="112">
        <v>41316</v>
      </c>
      <c r="B1139" s="1">
        <v>103</v>
      </c>
    </row>
    <row r="1140" spans="1:2">
      <c r="A1140" s="112">
        <v>41317</v>
      </c>
      <c r="B1140" s="1">
        <v>98</v>
      </c>
    </row>
    <row r="1141" spans="1:2">
      <c r="A1141" s="112">
        <v>41318</v>
      </c>
      <c r="B1141" s="1">
        <v>88</v>
      </c>
    </row>
    <row r="1142" spans="1:2">
      <c r="A1142" s="112">
        <v>41319</v>
      </c>
      <c r="B1142" s="1">
        <v>77</v>
      </c>
    </row>
    <row r="1143" spans="1:2">
      <c r="A1143" s="112">
        <v>41320</v>
      </c>
      <c r="B1143" s="1">
        <v>63</v>
      </c>
    </row>
    <row r="1144" spans="1:2">
      <c r="A1144" s="112">
        <v>41321</v>
      </c>
      <c r="B1144" s="1">
        <v>50</v>
      </c>
    </row>
    <row r="1145" spans="1:2">
      <c r="A1145" s="112">
        <v>41322</v>
      </c>
      <c r="B1145" s="1">
        <v>39</v>
      </c>
    </row>
    <row r="1146" spans="1:2">
      <c r="A1146" s="112">
        <v>41323</v>
      </c>
      <c r="B1146" s="1">
        <v>32</v>
      </c>
    </row>
    <row r="1147" spans="1:2">
      <c r="A1147" s="112">
        <v>41324</v>
      </c>
      <c r="B1147" s="1">
        <v>33</v>
      </c>
    </row>
    <row r="1148" spans="1:2">
      <c r="A1148" s="112">
        <v>41325</v>
      </c>
      <c r="B1148" s="1">
        <v>41</v>
      </c>
    </row>
    <row r="1149" spans="1:2">
      <c r="A1149" s="112">
        <v>41326</v>
      </c>
      <c r="B1149" s="1">
        <v>51</v>
      </c>
    </row>
    <row r="1150" spans="1:2">
      <c r="A1150" s="112">
        <v>41327</v>
      </c>
      <c r="B1150" s="1">
        <v>63</v>
      </c>
    </row>
    <row r="1151" spans="1:2">
      <c r="A1151" s="112">
        <v>41328</v>
      </c>
      <c r="B1151" s="1">
        <v>75</v>
      </c>
    </row>
    <row r="1152" spans="1:2">
      <c r="A1152" s="112">
        <v>41329</v>
      </c>
      <c r="B1152" s="1">
        <v>85</v>
      </c>
    </row>
    <row r="1153" spans="1:2">
      <c r="A1153" s="112">
        <v>41330</v>
      </c>
      <c r="B1153" s="1">
        <v>93</v>
      </c>
    </row>
    <row r="1154" spans="1:2">
      <c r="A1154" s="112">
        <v>41331</v>
      </c>
      <c r="B1154" s="1">
        <v>98</v>
      </c>
    </row>
    <row r="1155" spans="1:2">
      <c r="A1155" s="112">
        <v>41332</v>
      </c>
      <c r="B1155" s="1">
        <v>99</v>
      </c>
    </row>
    <row r="1156" spans="1:2">
      <c r="A1156" s="112">
        <v>41333</v>
      </c>
      <c r="B1156" s="1">
        <v>96</v>
      </c>
    </row>
    <row r="1157" spans="1:2">
      <c r="A1157" s="112">
        <v>41334</v>
      </c>
      <c r="B1157" s="1">
        <v>88</v>
      </c>
    </row>
    <row r="1158" spans="1:2">
      <c r="A1158" s="112">
        <v>41335</v>
      </c>
      <c r="B1158" s="1">
        <v>77</v>
      </c>
    </row>
    <row r="1159" spans="1:2">
      <c r="A1159" s="112">
        <v>41336</v>
      </c>
      <c r="B1159" s="1">
        <v>65</v>
      </c>
    </row>
    <row r="1160" spans="1:2">
      <c r="A1160" s="112">
        <v>41337</v>
      </c>
      <c r="B1160" s="1">
        <v>54</v>
      </c>
    </row>
    <row r="1161" spans="1:2">
      <c r="A1161" s="112">
        <v>41338</v>
      </c>
      <c r="B1161" s="1">
        <v>48</v>
      </c>
    </row>
    <row r="1162" spans="1:2">
      <c r="A1162" s="112">
        <v>41339</v>
      </c>
      <c r="B1162" s="1">
        <v>52</v>
      </c>
    </row>
    <row r="1163" spans="1:2">
      <c r="A1163" s="112">
        <v>41340</v>
      </c>
      <c r="B1163" s="1">
        <v>64</v>
      </c>
    </row>
    <row r="1164" spans="1:2">
      <c r="A1164" s="112">
        <v>41341</v>
      </c>
      <c r="B1164" s="1">
        <v>77</v>
      </c>
    </row>
    <row r="1165" spans="1:2">
      <c r="A1165" s="112">
        <v>41342</v>
      </c>
      <c r="B1165" s="1">
        <v>88</v>
      </c>
    </row>
    <row r="1166" spans="1:2">
      <c r="A1166" s="112">
        <v>41343</v>
      </c>
      <c r="B1166" s="1">
        <v>96</v>
      </c>
    </row>
    <row r="1167" spans="1:2">
      <c r="A1167" s="112">
        <v>41344</v>
      </c>
      <c r="B1167" s="1">
        <v>101</v>
      </c>
    </row>
    <row r="1168" spans="1:2">
      <c r="A1168" s="112">
        <v>41345</v>
      </c>
      <c r="B1168" s="1">
        <v>100</v>
      </c>
    </row>
    <row r="1169" spans="1:2">
      <c r="A1169" s="112">
        <v>41346</v>
      </c>
      <c r="B1169" s="1">
        <v>95</v>
      </c>
    </row>
    <row r="1170" spans="1:2">
      <c r="A1170" s="112">
        <v>41347</v>
      </c>
      <c r="B1170" s="1">
        <v>87</v>
      </c>
    </row>
    <row r="1171" spans="1:2">
      <c r="A1171" s="112">
        <v>41348</v>
      </c>
      <c r="B1171" s="1">
        <v>77</v>
      </c>
    </row>
    <row r="1172" spans="1:2">
      <c r="A1172" s="112">
        <v>41349</v>
      </c>
      <c r="B1172" s="1">
        <v>65</v>
      </c>
    </row>
    <row r="1173" spans="1:2">
      <c r="A1173" s="112">
        <v>41350</v>
      </c>
      <c r="B1173" s="1">
        <v>52</v>
      </c>
    </row>
    <row r="1174" spans="1:2">
      <c r="A1174" s="112">
        <v>41351</v>
      </c>
      <c r="B1174" s="1">
        <v>41</v>
      </c>
    </row>
    <row r="1175" spans="1:2">
      <c r="A1175" s="112">
        <v>41352</v>
      </c>
      <c r="B1175" s="1">
        <v>33</v>
      </c>
    </row>
    <row r="1176" spans="1:2">
      <c r="A1176" s="112">
        <v>41353</v>
      </c>
      <c r="B1176" s="1">
        <v>32</v>
      </c>
    </row>
    <row r="1177" spans="1:2">
      <c r="A1177" s="112">
        <v>41354</v>
      </c>
      <c r="B1177" s="1">
        <v>38</v>
      </c>
    </row>
    <row r="1178" spans="1:2">
      <c r="A1178" s="112">
        <v>41355</v>
      </c>
      <c r="B1178" s="1">
        <v>50</v>
      </c>
    </row>
    <row r="1179" spans="1:2">
      <c r="A1179" s="112">
        <v>41356</v>
      </c>
      <c r="B1179" s="1">
        <v>63</v>
      </c>
    </row>
    <row r="1180" spans="1:2">
      <c r="A1180" s="112">
        <v>41357</v>
      </c>
      <c r="B1180" s="1">
        <v>76</v>
      </c>
    </row>
    <row r="1181" spans="1:2">
      <c r="A1181" s="112">
        <v>41358</v>
      </c>
      <c r="B1181" s="1">
        <v>88</v>
      </c>
    </row>
    <row r="1182" spans="1:2">
      <c r="A1182" s="112">
        <v>41359</v>
      </c>
      <c r="B1182" s="1">
        <v>97</v>
      </c>
    </row>
    <row r="1183" spans="1:2">
      <c r="A1183" s="112">
        <v>41360</v>
      </c>
      <c r="B1183" s="1">
        <v>103</v>
      </c>
    </row>
    <row r="1184" spans="1:2">
      <c r="A1184" s="112">
        <v>41361</v>
      </c>
      <c r="B1184" s="1">
        <v>104</v>
      </c>
    </row>
    <row r="1185" spans="1:2">
      <c r="A1185" s="112">
        <v>41362</v>
      </c>
      <c r="B1185" s="1">
        <v>100</v>
      </c>
    </row>
    <row r="1186" spans="1:2">
      <c r="A1186" s="112">
        <v>41363</v>
      </c>
      <c r="B1186" s="1">
        <v>91</v>
      </c>
    </row>
    <row r="1187" spans="1:2">
      <c r="A1187" s="112">
        <v>41364</v>
      </c>
      <c r="B1187" s="1">
        <v>79</v>
      </c>
    </row>
    <row r="1188" spans="1:2">
      <c r="A1188" s="112">
        <v>41365</v>
      </c>
      <c r="B1188" s="1">
        <v>65</v>
      </c>
    </row>
    <row r="1189" spans="1:2">
      <c r="A1189" s="112">
        <v>41366</v>
      </c>
      <c r="B1189" s="1">
        <v>54</v>
      </c>
    </row>
    <row r="1190" spans="1:2">
      <c r="A1190" s="112">
        <v>41367</v>
      </c>
      <c r="B1190" s="1">
        <v>51</v>
      </c>
    </row>
    <row r="1191" spans="1:2">
      <c r="A1191" s="112">
        <v>41368</v>
      </c>
      <c r="B1191" s="1">
        <v>54</v>
      </c>
    </row>
    <row r="1192" spans="1:2">
      <c r="A1192" s="112">
        <v>41369</v>
      </c>
      <c r="B1192" s="1">
        <v>63</v>
      </c>
    </row>
    <row r="1193" spans="1:2">
      <c r="A1193" s="112">
        <v>41370</v>
      </c>
      <c r="B1193" s="1">
        <v>74</v>
      </c>
    </row>
    <row r="1194" spans="1:2">
      <c r="A1194" s="112">
        <v>41371</v>
      </c>
      <c r="B1194" s="1">
        <v>83</v>
      </c>
    </row>
    <row r="1195" spans="1:2">
      <c r="A1195" s="112">
        <v>41372</v>
      </c>
      <c r="B1195" s="1">
        <v>89</v>
      </c>
    </row>
    <row r="1196" spans="1:2">
      <c r="A1196" s="112">
        <v>41373</v>
      </c>
      <c r="B1196" s="1">
        <v>92</v>
      </c>
    </row>
    <row r="1197" spans="1:2">
      <c r="A1197" s="112">
        <v>41374</v>
      </c>
      <c r="B1197" s="1">
        <v>92</v>
      </c>
    </row>
    <row r="1198" spans="1:2">
      <c r="A1198" s="112">
        <v>41375</v>
      </c>
      <c r="B1198" s="1">
        <v>89</v>
      </c>
    </row>
    <row r="1199" spans="1:2">
      <c r="A1199" s="112">
        <v>41376</v>
      </c>
      <c r="B1199" s="1">
        <v>82</v>
      </c>
    </row>
    <row r="1200" spans="1:2">
      <c r="A1200" s="112">
        <v>41377</v>
      </c>
      <c r="B1200" s="1">
        <v>74</v>
      </c>
    </row>
    <row r="1201" spans="1:2">
      <c r="A1201" s="112">
        <v>41378</v>
      </c>
      <c r="B1201" s="1">
        <v>65</v>
      </c>
    </row>
    <row r="1202" spans="1:2">
      <c r="A1202" s="112">
        <v>41379</v>
      </c>
      <c r="B1202" s="1">
        <v>55</v>
      </c>
    </row>
    <row r="1203" spans="1:2">
      <c r="A1203" s="112">
        <v>41380</v>
      </c>
      <c r="B1203" s="1">
        <v>45</v>
      </c>
    </row>
    <row r="1204" spans="1:2">
      <c r="A1204" s="112">
        <v>41381</v>
      </c>
      <c r="B1204" s="1">
        <v>38</v>
      </c>
    </row>
    <row r="1205" spans="1:2">
      <c r="A1205" s="112">
        <v>41382</v>
      </c>
      <c r="B1205" s="1">
        <v>36</v>
      </c>
    </row>
    <row r="1206" spans="1:2">
      <c r="A1206" s="112">
        <v>41383</v>
      </c>
      <c r="B1206" s="1">
        <v>40</v>
      </c>
    </row>
    <row r="1207" spans="1:2">
      <c r="A1207" s="112">
        <v>41384</v>
      </c>
      <c r="B1207" s="1">
        <v>50</v>
      </c>
    </row>
    <row r="1208" spans="1:2">
      <c r="A1208" s="112">
        <v>41385</v>
      </c>
      <c r="B1208" s="1">
        <v>62</v>
      </c>
    </row>
    <row r="1209" spans="1:2">
      <c r="A1209" s="112">
        <v>41386</v>
      </c>
      <c r="B1209" s="1">
        <v>75</v>
      </c>
    </row>
    <row r="1210" spans="1:2">
      <c r="A1210" s="112">
        <v>41387</v>
      </c>
      <c r="B1210" s="1">
        <v>87</v>
      </c>
    </row>
    <row r="1211" spans="1:2">
      <c r="A1211" s="112">
        <v>41388</v>
      </c>
      <c r="B1211" s="1">
        <v>97</v>
      </c>
    </row>
    <row r="1212" spans="1:2">
      <c r="A1212" s="112">
        <v>41389</v>
      </c>
      <c r="B1212" s="1">
        <v>102</v>
      </c>
    </row>
    <row r="1213" spans="1:2">
      <c r="A1213" s="112">
        <v>41390</v>
      </c>
      <c r="B1213" s="1">
        <v>104</v>
      </c>
    </row>
    <row r="1214" spans="1:2">
      <c r="A1214" s="112">
        <v>41391</v>
      </c>
      <c r="B1214" s="1">
        <v>101</v>
      </c>
    </row>
    <row r="1215" spans="1:2">
      <c r="A1215" s="112">
        <v>41392</v>
      </c>
      <c r="B1215" s="1">
        <v>92</v>
      </c>
    </row>
    <row r="1216" spans="1:2">
      <c r="A1216" s="112">
        <v>41393</v>
      </c>
      <c r="B1216" s="1">
        <v>80</v>
      </c>
    </row>
    <row r="1217" spans="1:2">
      <c r="A1217" s="112">
        <v>41394</v>
      </c>
      <c r="B1217" s="1">
        <v>68</v>
      </c>
    </row>
    <row r="1218" spans="1:2">
      <c r="A1218" s="112">
        <v>41395</v>
      </c>
      <c r="B1218" s="1">
        <v>60</v>
      </c>
    </row>
    <row r="1219" spans="1:2">
      <c r="A1219" s="112">
        <v>41396</v>
      </c>
      <c r="B1219" s="1">
        <v>55</v>
      </c>
    </row>
    <row r="1220" spans="1:2">
      <c r="A1220" s="112">
        <v>41397</v>
      </c>
      <c r="B1220" s="1">
        <v>56</v>
      </c>
    </row>
    <row r="1221" spans="1:2">
      <c r="A1221" s="112">
        <v>41398</v>
      </c>
      <c r="B1221" s="1">
        <v>61</v>
      </c>
    </row>
    <row r="1222" spans="1:2">
      <c r="A1222" s="112">
        <v>41399</v>
      </c>
      <c r="B1222" s="1">
        <v>68</v>
      </c>
    </row>
    <row r="1223" spans="1:2">
      <c r="A1223" s="112">
        <v>41400</v>
      </c>
      <c r="B1223" s="1">
        <v>74</v>
      </c>
    </row>
    <row r="1224" spans="1:2">
      <c r="A1224" s="112">
        <v>41401</v>
      </c>
      <c r="B1224" s="1">
        <v>79</v>
      </c>
    </row>
    <row r="1225" spans="1:2">
      <c r="A1225" s="112">
        <v>41402</v>
      </c>
      <c r="B1225" s="1">
        <v>82</v>
      </c>
    </row>
    <row r="1226" spans="1:2">
      <c r="A1226" s="112">
        <v>41403</v>
      </c>
      <c r="B1226" s="1">
        <v>82</v>
      </c>
    </row>
    <row r="1227" spans="1:2">
      <c r="A1227" s="112">
        <v>41404</v>
      </c>
      <c r="B1227" s="1">
        <v>81</v>
      </c>
    </row>
    <row r="1228" spans="1:2">
      <c r="A1228" s="112">
        <v>41405</v>
      </c>
      <c r="B1228" s="1">
        <v>77</v>
      </c>
    </row>
    <row r="1229" spans="1:2">
      <c r="A1229" s="112">
        <v>41406</v>
      </c>
      <c r="B1229" s="1">
        <v>72</v>
      </c>
    </row>
    <row r="1230" spans="1:2">
      <c r="A1230" s="112">
        <v>41407</v>
      </c>
      <c r="B1230" s="1">
        <v>66</v>
      </c>
    </row>
    <row r="1231" spans="1:2">
      <c r="A1231" s="112">
        <v>41408</v>
      </c>
      <c r="B1231" s="1">
        <v>59</v>
      </c>
    </row>
    <row r="1232" spans="1:2">
      <c r="A1232" s="112">
        <v>41409</v>
      </c>
      <c r="B1232" s="1">
        <v>52</v>
      </c>
    </row>
    <row r="1233" spans="1:2">
      <c r="A1233" s="112">
        <v>41410</v>
      </c>
      <c r="B1233" s="1">
        <v>46</v>
      </c>
    </row>
    <row r="1234" spans="1:2">
      <c r="A1234" s="112">
        <v>41411</v>
      </c>
      <c r="B1234" s="1">
        <v>44</v>
      </c>
    </row>
    <row r="1235" spans="1:2">
      <c r="A1235" s="112">
        <v>41412</v>
      </c>
      <c r="B1235" s="1">
        <v>45</v>
      </c>
    </row>
    <row r="1236" spans="1:2">
      <c r="A1236" s="112">
        <v>41413</v>
      </c>
      <c r="B1236" s="1">
        <v>51</v>
      </c>
    </row>
    <row r="1237" spans="1:2">
      <c r="A1237" s="112">
        <v>41414</v>
      </c>
      <c r="B1237" s="1">
        <v>61</v>
      </c>
    </row>
    <row r="1238" spans="1:2">
      <c r="A1238" s="112">
        <v>41415</v>
      </c>
      <c r="B1238" s="1">
        <v>72</v>
      </c>
    </row>
    <row r="1239" spans="1:2">
      <c r="A1239" s="112">
        <v>41416</v>
      </c>
      <c r="B1239" s="1">
        <v>83</v>
      </c>
    </row>
    <row r="1240" spans="1:2">
      <c r="A1240" s="112">
        <v>41417</v>
      </c>
      <c r="B1240" s="1">
        <v>92</v>
      </c>
    </row>
    <row r="1241" spans="1:2">
      <c r="A1241" s="112">
        <v>41418</v>
      </c>
      <c r="B1241" s="1">
        <v>100</v>
      </c>
    </row>
    <row r="1242" spans="1:2">
      <c r="A1242" s="112">
        <v>41419</v>
      </c>
      <c r="B1242" s="1">
        <v>101</v>
      </c>
    </row>
    <row r="1243" spans="1:2">
      <c r="A1243" s="112">
        <v>41420</v>
      </c>
      <c r="B1243" s="1">
        <v>99</v>
      </c>
    </row>
    <row r="1244" spans="1:2">
      <c r="A1244" s="112">
        <v>41421</v>
      </c>
      <c r="B1244" s="1">
        <v>95</v>
      </c>
    </row>
    <row r="1245" spans="1:2">
      <c r="A1245" s="112">
        <v>41422</v>
      </c>
      <c r="B1245" s="1">
        <v>86</v>
      </c>
    </row>
    <row r="1246" spans="1:2">
      <c r="A1246" s="112">
        <v>41423</v>
      </c>
      <c r="B1246" s="1">
        <v>76</v>
      </c>
    </row>
    <row r="1247" spans="1:2">
      <c r="A1247" s="112">
        <v>41424</v>
      </c>
      <c r="B1247" s="1">
        <v>65</v>
      </c>
    </row>
    <row r="1248" spans="1:2">
      <c r="A1248" s="112">
        <v>41425</v>
      </c>
      <c r="B1248" s="1">
        <v>59</v>
      </c>
    </row>
    <row r="1249" spans="1:2">
      <c r="A1249" s="112">
        <v>41426</v>
      </c>
      <c r="B1249" s="1">
        <v>56</v>
      </c>
    </row>
    <row r="1250" spans="1:2">
      <c r="A1250" s="112">
        <v>41427</v>
      </c>
      <c r="B1250" s="1">
        <v>56</v>
      </c>
    </row>
    <row r="1251" spans="1:2">
      <c r="A1251" s="112">
        <v>41428</v>
      </c>
      <c r="B1251" s="1">
        <v>59</v>
      </c>
    </row>
    <row r="1252" spans="1:2">
      <c r="A1252" s="112">
        <v>41429</v>
      </c>
      <c r="B1252" s="1">
        <v>63</v>
      </c>
    </row>
    <row r="1253" spans="1:2">
      <c r="A1253" s="112">
        <v>41430</v>
      </c>
      <c r="B1253" s="1">
        <v>67</v>
      </c>
    </row>
    <row r="1254" spans="1:2">
      <c r="A1254" s="112">
        <v>41431</v>
      </c>
      <c r="B1254" s="1">
        <v>71</v>
      </c>
    </row>
    <row r="1255" spans="1:2">
      <c r="A1255" s="112">
        <v>41432</v>
      </c>
      <c r="B1255" s="1">
        <v>74</v>
      </c>
    </row>
    <row r="1256" spans="1:2">
      <c r="A1256" s="112">
        <v>41433</v>
      </c>
      <c r="B1256" s="1">
        <v>75</v>
      </c>
    </row>
    <row r="1257" spans="1:2">
      <c r="A1257" s="112">
        <v>41434</v>
      </c>
      <c r="B1257" s="1">
        <v>75</v>
      </c>
    </row>
    <row r="1258" spans="1:2">
      <c r="A1258" s="112">
        <v>41435</v>
      </c>
      <c r="B1258" s="1">
        <v>73</v>
      </c>
    </row>
    <row r="1259" spans="1:2">
      <c r="A1259" s="112">
        <v>41436</v>
      </c>
      <c r="B1259" s="1">
        <v>70</v>
      </c>
    </row>
    <row r="1260" spans="1:2">
      <c r="A1260" s="112">
        <v>41437</v>
      </c>
      <c r="B1260" s="1">
        <v>66</v>
      </c>
    </row>
    <row r="1261" spans="1:2">
      <c r="A1261" s="112">
        <v>41438</v>
      </c>
      <c r="B1261" s="1">
        <v>61</v>
      </c>
    </row>
    <row r="1262" spans="1:2">
      <c r="A1262" s="112">
        <v>41439</v>
      </c>
      <c r="B1262" s="1">
        <v>57</v>
      </c>
    </row>
    <row r="1263" spans="1:2">
      <c r="A1263" s="112">
        <v>41440</v>
      </c>
      <c r="B1263" s="1">
        <v>53</v>
      </c>
    </row>
    <row r="1264" spans="1:2">
      <c r="A1264" s="112">
        <v>41441</v>
      </c>
      <c r="B1264" s="1">
        <v>51</v>
      </c>
    </row>
    <row r="1265" spans="1:2">
      <c r="A1265" s="112">
        <v>41442</v>
      </c>
      <c r="B1265" s="1">
        <v>53</v>
      </c>
    </row>
    <row r="1266" spans="1:2">
      <c r="A1266" s="112">
        <v>41443</v>
      </c>
      <c r="B1266" s="1">
        <v>59</v>
      </c>
    </row>
    <row r="1267" spans="1:2">
      <c r="A1267" s="112">
        <v>41444</v>
      </c>
      <c r="B1267" s="1">
        <v>67</v>
      </c>
    </row>
    <row r="1268" spans="1:2">
      <c r="A1268" s="112">
        <v>41445</v>
      </c>
      <c r="B1268" s="1">
        <v>77</v>
      </c>
    </row>
    <row r="1269" spans="1:2">
      <c r="A1269" s="112">
        <v>41446</v>
      </c>
      <c r="B1269" s="1">
        <v>87</v>
      </c>
    </row>
    <row r="1270" spans="1:2">
      <c r="A1270" s="112">
        <v>41447</v>
      </c>
      <c r="B1270" s="1">
        <v>96</v>
      </c>
    </row>
    <row r="1271" spans="1:2">
      <c r="A1271" s="112">
        <v>41448</v>
      </c>
      <c r="B1271" s="1">
        <v>100</v>
      </c>
    </row>
    <row r="1272" spans="1:2">
      <c r="A1272" s="112">
        <v>41449</v>
      </c>
      <c r="B1272" s="1">
        <v>103</v>
      </c>
    </row>
    <row r="1273" spans="1:2">
      <c r="A1273" s="112">
        <v>41450</v>
      </c>
      <c r="B1273" s="1">
        <v>99</v>
      </c>
    </row>
    <row r="1274" spans="1:2">
      <c r="A1274" s="112">
        <v>41451</v>
      </c>
      <c r="B1274" s="1">
        <v>92</v>
      </c>
    </row>
    <row r="1275" spans="1:2">
      <c r="A1275" s="112">
        <v>41452</v>
      </c>
      <c r="B1275" s="1">
        <v>82</v>
      </c>
    </row>
    <row r="1276" spans="1:2">
      <c r="A1276" s="112">
        <v>41453</v>
      </c>
      <c r="B1276" s="1">
        <v>71</v>
      </c>
    </row>
    <row r="1277" spans="1:2">
      <c r="A1277" s="112">
        <v>41454</v>
      </c>
      <c r="B1277" s="1">
        <v>61</v>
      </c>
    </row>
    <row r="1278" spans="1:2">
      <c r="A1278" s="112">
        <v>41455</v>
      </c>
      <c r="B1278" s="1">
        <v>53</v>
      </c>
    </row>
    <row r="1279" spans="1:2">
      <c r="A1279" s="112">
        <v>41456</v>
      </c>
      <c r="B1279" s="1">
        <v>49</v>
      </c>
    </row>
    <row r="1280" spans="1:2">
      <c r="A1280" s="112">
        <v>41457</v>
      </c>
      <c r="B1280" s="1">
        <v>49</v>
      </c>
    </row>
    <row r="1281" spans="1:2">
      <c r="A1281" s="112">
        <v>41458</v>
      </c>
      <c r="B1281" s="1">
        <v>52</v>
      </c>
    </row>
    <row r="1282" spans="1:2">
      <c r="A1282" s="112">
        <v>41459</v>
      </c>
      <c r="B1282" s="1">
        <v>58</v>
      </c>
    </row>
    <row r="1283" spans="1:2">
      <c r="A1283" s="112">
        <v>41460</v>
      </c>
      <c r="B1283" s="1">
        <v>63</v>
      </c>
    </row>
    <row r="1284" spans="1:2">
      <c r="A1284" s="112">
        <v>41461</v>
      </c>
      <c r="B1284" s="1">
        <v>69</v>
      </c>
    </row>
    <row r="1285" spans="1:2">
      <c r="A1285" s="112">
        <v>41462</v>
      </c>
      <c r="B1285" s="1">
        <v>73</v>
      </c>
    </row>
    <row r="1286" spans="1:2">
      <c r="A1286" s="112">
        <v>41463</v>
      </c>
      <c r="B1286" s="1">
        <v>76</v>
      </c>
    </row>
    <row r="1287" spans="1:2">
      <c r="A1287" s="112">
        <v>41464</v>
      </c>
      <c r="B1287" s="1">
        <v>77</v>
      </c>
    </row>
    <row r="1288" spans="1:2">
      <c r="A1288" s="112">
        <v>41465</v>
      </c>
      <c r="B1288" s="1">
        <v>77</v>
      </c>
    </row>
    <row r="1289" spans="1:2">
      <c r="A1289" s="112">
        <v>41466</v>
      </c>
      <c r="B1289" s="1">
        <v>75</v>
      </c>
    </row>
    <row r="1290" spans="1:2">
      <c r="A1290" s="112">
        <v>41467</v>
      </c>
      <c r="B1290" s="1">
        <v>72</v>
      </c>
    </row>
    <row r="1291" spans="1:2">
      <c r="A1291" s="112">
        <v>41468</v>
      </c>
      <c r="B1291" s="1">
        <v>67</v>
      </c>
    </row>
    <row r="1292" spans="1:2">
      <c r="A1292" s="112">
        <v>41469</v>
      </c>
      <c r="B1292" s="1">
        <v>62</v>
      </c>
    </row>
    <row r="1293" spans="1:2">
      <c r="A1293" s="112">
        <v>41470</v>
      </c>
      <c r="B1293" s="1">
        <v>57</v>
      </c>
    </row>
    <row r="1294" spans="1:2">
      <c r="A1294" s="112">
        <v>41471</v>
      </c>
      <c r="B1294" s="1">
        <v>54</v>
      </c>
    </row>
    <row r="1295" spans="1:2">
      <c r="A1295" s="112">
        <v>41472</v>
      </c>
      <c r="B1295" s="1">
        <v>55</v>
      </c>
    </row>
    <row r="1296" spans="1:2">
      <c r="A1296" s="112">
        <v>41473</v>
      </c>
      <c r="B1296" s="1">
        <v>61</v>
      </c>
    </row>
    <row r="1297" spans="1:2">
      <c r="A1297" s="112">
        <v>41474</v>
      </c>
      <c r="B1297" s="1">
        <v>72</v>
      </c>
    </row>
    <row r="1298" spans="1:2">
      <c r="A1298" s="112">
        <v>41475</v>
      </c>
      <c r="B1298" s="1">
        <v>83</v>
      </c>
    </row>
    <row r="1299" spans="1:2">
      <c r="A1299" s="112">
        <v>41476</v>
      </c>
      <c r="B1299" s="1">
        <v>95</v>
      </c>
    </row>
    <row r="1300" spans="1:2">
      <c r="A1300" s="112">
        <v>41477</v>
      </c>
      <c r="B1300" s="1">
        <v>103</v>
      </c>
    </row>
    <row r="1301" spans="1:2">
      <c r="A1301" s="112">
        <v>41478</v>
      </c>
      <c r="B1301" s="1">
        <v>106</v>
      </c>
    </row>
    <row r="1302" spans="1:2">
      <c r="A1302" s="112">
        <v>41479</v>
      </c>
      <c r="B1302" s="1">
        <v>103</v>
      </c>
    </row>
    <row r="1303" spans="1:2">
      <c r="A1303" s="112">
        <v>41480</v>
      </c>
      <c r="B1303" s="1">
        <v>97</v>
      </c>
    </row>
    <row r="1304" spans="1:2">
      <c r="A1304" s="112">
        <v>41481</v>
      </c>
      <c r="B1304" s="1">
        <v>86</v>
      </c>
    </row>
    <row r="1305" spans="1:2">
      <c r="A1305" s="112">
        <v>41482</v>
      </c>
      <c r="B1305" s="1">
        <v>73</v>
      </c>
    </row>
    <row r="1306" spans="1:2">
      <c r="A1306" s="112">
        <v>41483</v>
      </c>
      <c r="B1306" s="1">
        <v>61</v>
      </c>
    </row>
    <row r="1307" spans="1:2">
      <c r="A1307" s="112">
        <v>41484</v>
      </c>
      <c r="B1307" s="1">
        <v>49</v>
      </c>
    </row>
    <row r="1308" spans="1:2">
      <c r="A1308" s="112">
        <v>41485</v>
      </c>
      <c r="B1308" s="1">
        <v>42</v>
      </c>
    </row>
    <row r="1309" spans="1:2">
      <c r="A1309" s="112">
        <v>41486</v>
      </c>
      <c r="B1309" s="1">
        <v>40</v>
      </c>
    </row>
    <row r="1310" spans="1:2">
      <c r="A1310" s="112">
        <v>41487</v>
      </c>
      <c r="B1310" s="1">
        <v>44</v>
      </c>
    </row>
    <row r="1311" spans="1:2">
      <c r="A1311" s="112">
        <v>41488</v>
      </c>
      <c r="B1311" s="1">
        <v>51</v>
      </c>
    </row>
    <row r="1312" spans="1:2">
      <c r="A1312" s="112">
        <v>41489</v>
      </c>
      <c r="B1312" s="1">
        <v>59</v>
      </c>
    </row>
    <row r="1313" spans="1:2">
      <c r="A1313" s="112">
        <v>41490</v>
      </c>
      <c r="B1313" s="1">
        <v>67</v>
      </c>
    </row>
    <row r="1314" spans="1:2">
      <c r="A1314" s="112">
        <v>41491</v>
      </c>
      <c r="B1314" s="1">
        <v>74</v>
      </c>
    </row>
    <row r="1315" spans="1:2">
      <c r="A1315" s="112">
        <v>41492</v>
      </c>
      <c r="B1315" s="1">
        <v>80</v>
      </c>
    </row>
    <row r="1316" spans="1:2">
      <c r="A1316" s="112">
        <v>41493</v>
      </c>
      <c r="B1316" s="1">
        <v>84</v>
      </c>
    </row>
    <row r="1317" spans="1:2">
      <c r="A1317" s="112">
        <v>41494</v>
      </c>
      <c r="B1317" s="1">
        <v>86</v>
      </c>
    </row>
    <row r="1318" spans="1:2">
      <c r="A1318" s="112">
        <v>41495</v>
      </c>
      <c r="B1318" s="1">
        <v>85</v>
      </c>
    </row>
    <row r="1319" spans="1:2">
      <c r="A1319" s="112">
        <v>41496</v>
      </c>
      <c r="B1319" s="1">
        <v>81</v>
      </c>
    </row>
    <row r="1320" spans="1:2">
      <c r="A1320" s="112">
        <v>41497</v>
      </c>
      <c r="B1320" s="1">
        <v>76</v>
      </c>
    </row>
    <row r="1321" spans="1:2">
      <c r="A1321" s="112">
        <v>41498</v>
      </c>
      <c r="B1321" s="1">
        <v>68</v>
      </c>
    </row>
    <row r="1322" spans="1:2">
      <c r="A1322" s="112">
        <v>41499</v>
      </c>
      <c r="B1322" s="1">
        <v>60</v>
      </c>
    </row>
    <row r="1323" spans="1:2">
      <c r="A1323" s="112">
        <v>41500</v>
      </c>
      <c r="B1323" s="1">
        <v>53</v>
      </c>
    </row>
    <row r="1324" spans="1:2">
      <c r="A1324" s="112">
        <v>41501</v>
      </c>
      <c r="B1324" s="1">
        <v>52</v>
      </c>
    </row>
    <row r="1325" spans="1:2">
      <c r="A1325" s="112">
        <v>41502</v>
      </c>
      <c r="B1325" s="1">
        <v>58</v>
      </c>
    </row>
    <row r="1326" spans="1:2">
      <c r="A1326" s="112">
        <v>41503</v>
      </c>
      <c r="B1326" s="1">
        <v>70</v>
      </c>
    </row>
    <row r="1327" spans="1:2">
      <c r="A1327" s="112">
        <v>41504</v>
      </c>
      <c r="B1327" s="1">
        <v>83</v>
      </c>
    </row>
    <row r="1328" spans="1:2">
      <c r="A1328" s="112">
        <v>41505</v>
      </c>
      <c r="B1328" s="1">
        <v>96</v>
      </c>
    </row>
    <row r="1329" spans="1:2">
      <c r="A1329" s="112">
        <v>41506</v>
      </c>
      <c r="B1329" s="1">
        <v>104</v>
      </c>
    </row>
    <row r="1330" spans="1:2">
      <c r="A1330" s="112">
        <v>41507</v>
      </c>
      <c r="B1330" s="1">
        <v>108</v>
      </c>
    </row>
    <row r="1331" spans="1:2">
      <c r="A1331" s="112">
        <v>41508</v>
      </c>
      <c r="B1331" s="1">
        <v>105</v>
      </c>
    </row>
    <row r="1332" spans="1:2">
      <c r="A1332" s="112">
        <v>41509</v>
      </c>
      <c r="B1332" s="1">
        <v>98</v>
      </c>
    </row>
    <row r="1333" spans="1:2">
      <c r="A1333" s="112">
        <v>41510</v>
      </c>
      <c r="B1333" s="1">
        <v>87</v>
      </c>
    </row>
    <row r="1334" spans="1:2">
      <c r="A1334" s="112">
        <v>41511</v>
      </c>
      <c r="B1334" s="1">
        <v>73</v>
      </c>
    </row>
    <row r="1335" spans="1:2">
      <c r="A1335" s="112">
        <v>41512</v>
      </c>
      <c r="B1335" s="1">
        <v>60</v>
      </c>
    </row>
    <row r="1336" spans="1:2">
      <c r="A1336" s="112">
        <v>41513</v>
      </c>
      <c r="B1336" s="1">
        <v>47</v>
      </c>
    </row>
    <row r="1337" spans="1:2">
      <c r="A1337" s="112">
        <v>41514</v>
      </c>
      <c r="B1337" s="1">
        <v>37</v>
      </c>
    </row>
    <row r="1338" spans="1:2">
      <c r="A1338" s="112">
        <v>41515</v>
      </c>
      <c r="B1338" s="1">
        <v>34</v>
      </c>
    </row>
    <row r="1339" spans="1:2">
      <c r="A1339" s="112">
        <v>41516</v>
      </c>
      <c r="B1339" s="1">
        <v>38</v>
      </c>
    </row>
    <row r="1340" spans="1:2">
      <c r="A1340" s="112">
        <v>41517</v>
      </c>
      <c r="B1340" s="1">
        <v>47</v>
      </c>
    </row>
    <row r="1341" spans="1:2">
      <c r="A1341" s="112">
        <v>41518</v>
      </c>
      <c r="B1341" s="1">
        <v>57</v>
      </c>
    </row>
    <row r="1342" spans="1:2">
      <c r="A1342" s="112">
        <v>41519</v>
      </c>
      <c r="B1342" s="1">
        <v>68</v>
      </c>
    </row>
    <row r="1343" spans="1:2">
      <c r="A1343" s="112">
        <v>41520</v>
      </c>
      <c r="B1343" s="1">
        <v>77</v>
      </c>
    </row>
    <row r="1344" spans="1:2">
      <c r="A1344" s="112">
        <v>41521</v>
      </c>
      <c r="B1344" s="1">
        <v>85</v>
      </c>
    </row>
    <row r="1345" spans="1:2">
      <c r="A1345" s="112">
        <v>41522</v>
      </c>
      <c r="B1345" s="1">
        <v>91</v>
      </c>
    </row>
    <row r="1346" spans="1:2">
      <c r="A1346" s="112">
        <v>41523</v>
      </c>
      <c r="B1346" s="1">
        <v>94</v>
      </c>
    </row>
    <row r="1347" spans="1:2">
      <c r="A1347" s="112">
        <v>41524</v>
      </c>
      <c r="B1347" s="1">
        <v>93</v>
      </c>
    </row>
    <row r="1348" spans="1:2">
      <c r="A1348" s="112">
        <v>41525</v>
      </c>
      <c r="B1348" s="1">
        <v>89</v>
      </c>
    </row>
    <row r="1349" spans="1:2">
      <c r="A1349" s="112">
        <v>41526</v>
      </c>
      <c r="B1349" s="1">
        <v>82</v>
      </c>
    </row>
    <row r="1350" spans="1:2">
      <c r="A1350" s="112">
        <v>41527</v>
      </c>
      <c r="B1350" s="1">
        <v>71</v>
      </c>
    </row>
    <row r="1351" spans="1:2">
      <c r="A1351" s="112">
        <v>41528</v>
      </c>
      <c r="B1351" s="1">
        <v>61</v>
      </c>
    </row>
    <row r="1352" spans="1:2">
      <c r="A1352" s="112">
        <v>41529</v>
      </c>
      <c r="B1352" s="1">
        <v>52</v>
      </c>
    </row>
    <row r="1353" spans="1:2">
      <c r="A1353" s="112">
        <v>41530</v>
      </c>
      <c r="B1353" s="1">
        <v>50</v>
      </c>
    </row>
    <row r="1354" spans="1:2">
      <c r="A1354" s="112">
        <v>41531</v>
      </c>
      <c r="B1354" s="1">
        <v>58</v>
      </c>
    </row>
    <row r="1355" spans="1:2">
      <c r="A1355" s="112">
        <v>41532</v>
      </c>
      <c r="B1355" s="1">
        <v>70</v>
      </c>
    </row>
    <row r="1356" spans="1:2">
      <c r="A1356" s="112">
        <v>41533</v>
      </c>
      <c r="B1356" s="1">
        <v>83</v>
      </c>
    </row>
    <row r="1357" spans="1:2">
      <c r="A1357" s="112">
        <v>41534</v>
      </c>
      <c r="B1357" s="1">
        <v>95</v>
      </c>
    </row>
    <row r="1358" spans="1:2">
      <c r="A1358" s="112">
        <v>41535</v>
      </c>
      <c r="B1358" s="1">
        <v>102</v>
      </c>
    </row>
    <row r="1359" spans="1:2">
      <c r="A1359" s="112">
        <v>41536</v>
      </c>
      <c r="B1359" s="1">
        <v>104</v>
      </c>
    </row>
    <row r="1360" spans="1:2">
      <c r="A1360" s="112">
        <v>41537</v>
      </c>
      <c r="B1360" s="1">
        <v>102</v>
      </c>
    </row>
    <row r="1361" spans="1:2">
      <c r="A1361" s="112">
        <v>41538</v>
      </c>
      <c r="B1361" s="1">
        <v>95</v>
      </c>
    </row>
    <row r="1362" spans="1:2">
      <c r="A1362" s="112">
        <v>41539</v>
      </c>
      <c r="B1362" s="1">
        <v>85</v>
      </c>
    </row>
    <row r="1363" spans="1:2">
      <c r="A1363" s="112">
        <v>41540</v>
      </c>
      <c r="B1363" s="1">
        <v>72</v>
      </c>
    </row>
    <row r="1364" spans="1:2">
      <c r="A1364" s="112">
        <v>41541</v>
      </c>
      <c r="B1364" s="1">
        <v>59</v>
      </c>
    </row>
    <row r="1365" spans="1:2">
      <c r="A1365" s="112">
        <v>41542</v>
      </c>
      <c r="B1365" s="1">
        <v>47</v>
      </c>
    </row>
    <row r="1366" spans="1:2">
      <c r="A1366" s="112">
        <v>41543</v>
      </c>
      <c r="B1366" s="1">
        <v>37</v>
      </c>
    </row>
    <row r="1367" spans="1:2">
      <c r="A1367" s="112">
        <v>41544</v>
      </c>
      <c r="B1367" s="1">
        <v>32</v>
      </c>
    </row>
    <row r="1368" spans="1:2">
      <c r="A1368" s="112">
        <v>41545</v>
      </c>
      <c r="B1368" s="1">
        <v>35</v>
      </c>
    </row>
    <row r="1369" spans="1:2">
      <c r="A1369" s="112">
        <v>41546</v>
      </c>
      <c r="B1369" s="1">
        <v>44</v>
      </c>
    </row>
    <row r="1370" spans="1:2">
      <c r="A1370" s="112">
        <v>41547</v>
      </c>
      <c r="B1370" s="1">
        <v>56</v>
      </c>
    </row>
    <row r="1371" spans="1:2">
      <c r="A1371" s="112">
        <v>41548</v>
      </c>
      <c r="B1371" s="1">
        <v>68</v>
      </c>
    </row>
    <row r="1372" spans="1:2">
      <c r="A1372" s="112">
        <v>41549</v>
      </c>
      <c r="B1372" s="1">
        <v>79</v>
      </c>
    </row>
    <row r="1373" spans="1:2">
      <c r="A1373" s="112">
        <v>41550</v>
      </c>
      <c r="B1373" s="1">
        <v>89</v>
      </c>
    </row>
    <row r="1374" spans="1:2">
      <c r="A1374" s="112">
        <v>41551</v>
      </c>
      <c r="B1374" s="1">
        <v>95</v>
      </c>
    </row>
    <row r="1375" spans="1:2">
      <c r="A1375" s="112">
        <v>41552</v>
      </c>
      <c r="B1375" s="1">
        <v>99</v>
      </c>
    </row>
    <row r="1376" spans="1:2">
      <c r="A1376" s="112">
        <v>41553</v>
      </c>
      <c r="B1376" s="1">
        <v>99</v>
      </c>
    </row>
    <row r="1377" spans="1:2">
      <c r="A1377" s="112">
        <v>41554</v>
      </c>
      <c r="B1377" s="1">
        <v>93</v>
      </c>
    </row>
    <row r="1378" spans="1:2">
      <c r="A1378" s="112">
        <v>41555</v>
      </c>
      <c r="B1378" s="1">
        <v>84</v>
      </c>
    </row>
    <row r="1379" spans="1:2">
      <c r="A1379" s="112">
        <v>41556</v>
      </c>
      <c r="B1379" s="1">
        <v>74</v>
      </c>
    </row>
    <row r="1380" spans="1:2">
      <c r="A1380" s="112">
        <v>41557</v>
      </c>
      <c r="B1380" s="1">
        <v>62</v>
      </c>
    </row>
    <row r="1381" spans="1:2">
      <c r="A1381" s="112">
        <v>41558</v>
      </c>
      <c r="B1381" s="1">
        <v>54</v>
      </c>
    </row>
    <row r="1382" spans="1:2">
      <c r="A1382" s="112">
        <v>41559</v>
      </c>
      <c r="B1382" s="1">
        <v>51</v>
      </c>
    </row>
    <row r="1383" spans="1:2">
      <c r="A1383" s="112">
        <v>41560</v>
      </c>
      <c r="B1383" s="1">
        <v>58</v>
      </c>
    </row>
    <row r="1384" spans="1:2">
      <c r="A1384" s="112">
        <v>41561</v>
      </c>
      <c r="B1384" s="1">
        <v>70</v>
      </c>
    </row>
    <row r="1385" spans="1:2">
      <c r="A1385" s="112">
        <v>41562</v>
      </c>
      <c r="B1385" s="1">
        <v>80</v>
      </c>
    </row>
    <row r="1386" spans="1:2">
      <c r="A1386" s="112">
        <v>41563</v>
      </c>
      <c r="B1386" s="1">
        <v>89</v>
      </c>
    </row>
    <row r="1387" spans="1:2">
      <c r="A1387" s="112">
        <v>41564</v>
      </c>
      <c r="B1387" s="1">
        <v>95</v>
      </c>
    </row>
    <row r="1388" spans="1:2">
      <c r="A1388" s="112">
        <v>41565</v>
      </c>
      <c r="B1388" s="1">
        <v>97</v>
      </c>
    </row>
    <row r="1389" spans="1:2">
      <c r="A1389" s="112">
        <v>41566</v>
      </c>
      <c r="B1389" s="1">
        <v>95</v>
      </c>
    </row>
    <row r="1390" spans="1:2">
      <c r="A1390" s="112">
        <v>41567</v>
      </c>
      <c r="B1390" s="1">
        <v>89</v>
      </c>
    </row>
    <row r="1391" spans="1:2">
      <c r="A1391" s="112">
        <v>41568</v>
      </c>
      <c r="B1391" s="1">
        <v>81</v>
      </c>
    </row>
    <row r="1392" spans="1:2">
      <c r="A1392" s="112">
        <v>41569</v>
      </c>
      <c r="B1392" s="1">
        <v>71</v>
      </c>
    </row>
    <row r="1393" spans="1:2">
      <c r="A1393" s="112">
        <v>41570</v>
      </c>
      <c r="B1393" s="1">
        <v>61</v>
      </c>
    </row>
    <row r="1394" spans="1:2">
      <c r="A1394" s="112">
        <v>41571</v>
      </c>
      <c r="B1394" s="1">
        <v>50</v>
      </c>
    </row>
    <row r="1395" spans="1:2">
      <c r="A1395" s="112">
        <v>41572</v>
      </c>
      <c r="B1395" s="1">
        <v>41</v>
      </c>
    </row>
    <row r="1396" spans="1:2">
      <c r="A1396" s="112">
        <v>41573</v>
      </c>
      <c r="B1396" s="1">
        <v>35</v>
      </c>
    </row>
    <row r="1397" spans="1:2">
      <c r="A1397" s="112">
        <v>41574</v>
      </c>
      <c r="B1397" s="1">
        <v>36</v>
      </c>
    </row>
    <row r="1398" spans="1:2">
      <c r="A1398" s="112">
        <v>41575</v>
      </c>
      <c r="B1398" s="1">
        <v>43</v>
      </c>
    </row>
    <row r="1399" spans="1:2">
      <c r="A1399" s="112">
        <v>41576</v>
      </c>
      <c r="B1399" s="1">
        <v>54</v>
      </c>
    </row>
    <row r="1400" spans="1:2">
      <c r="A1400" s="112">
        <v>41577</v>
      </c>
      <c r="B1400" s="1">
        <v>65</v>
      </c>
    </row>
    <row r="1401" spans="1:2">
      <c r="A1401" s="112">
        <v>41578</v>
      </c>
      <c r="B1401" s="1">
        <v>77</v>
      </c>
    </row>
    <row r="1402" spans="1:2">
      <c r="A1402" s="112">
        <v>41579</v>
      </c>
      <c r="B1402" s="1">
        <v>88</v>
      </c>
    </row>
    <row r="1403" spans="1:2">
      <c r="A1403" s="112">
        <v>41580</v>
      </c>
      <c r="B1403" s="1">
        <v>96</v>
      </c>
    </row>
    <row r="1404" spans="1:2">
      <c r="A1404" s="112">
        <v>41581</v>
      </c>
      <c r="B1404" s="1">
        <v>100</v>
      </c>
    </row>
    <row r="1405" spans="1:2">
      <c r="A1405" s="112">
        <v>41582</v>
      </c>
      <c r="B1405" s="1">
        <v>100</v>
      </c>
    </row>
    <row r="1406" spans="1:2">
      <c r="A1406" s="112">
        <v>41583</v>
      </c>
      <c r="B1406" s="1">
        <v>96</v>
      </c>
    </row>
    <row r="1407" spans="1:2">
      <c r="A1407" s="112">
        <v>41584</v>
      </c>
      <c r="B1407" s="1">
        <v>88</v>
      </c>
    </row>
    <row r="1408" spans="1:2">
      <c r="A1408" s="112">
        <v>41585</v>
      </c>
      <c r="B1408" s="1">
        <v>77</v>
      </c>
    </row>
    <row r="1409" spans="1:2">
      <c r="A1409" s="112">
        <v>41586</v>
      </c>
      <c r="B1409" s="1">
        <v>67</v>
      </c>
    </row>
    <row r="1410" spans="1:2">
      <c r="A1410" s="112">
        <v>41587</v>
      </c>
      <c r="B1410" s="1">
        <v>59</v>
      </c>
    </row>
    <row r="1411" spans="1:2">
      <c r="A1411" s="112">
        <v>41588</v>
      </c>
      <c r="B1411" s="1">
        <v>56</v>
      </c>
    </row>
    <row r="1412" spans="1:2">
      <c r="A1412" s="112">
        <v>41589</v>
      </c>
      <c r="B1412" s="1">
        <v>58</v>
      </c>
    </row>
    <row r="1413" spans="1:2">
      <c r="A1413" s="112">
        <v>41590</v>
      </c>
      <c r="B1413" s="1">
        <v>65</v>
      </c>
    </row>
    <row r="1414" spans="1:2">
      <c r="A1414" s="112">
        <v>41591</v>
      </c>
      <c r="B1414" s="1">
        <v>72</v>
      </c>
    </row>
    <row r="1415" spans="1:2">
      <c r="A1415" s="112">
        <v>41592</v>
      </c>
      <c r="B1415" s="1">
        <v>79</v>
      </c>
    </row>
    <row r="1416" spans="1:2">
      <c r="A1416" s="112">
        <v>41593</v>
      </c>
      <c r="B1416" s="1">
        <v>83</v>
      </c>
    </row>
    <row r="1417" spans="1:2">
      <c r="A1417" s="112">
        <v>41594</v>
      </c>
      <c r="B1417" s="1">
        <v>86</v>
      </c>
    </row>
    <row r="1418" spans="1:2">
      <c r="A1418" s="112">
        <v>41595</v>
      </c>
      <c r="B1418" s="1">
        <v>86</v>
      </c>
    </row>
    <row r="1419" spans="1:2">
      <c r="A1419" s="112">
        <v>41596</v>
      </c>
      <c r="B1419" s="1">
        <v>83</v>
      </c>
    </row>
    <row r="1420" spans="1:2">
      <c r="A1420" s="112">
        <v>41597</v>
      </c>
      <c r="B1420" s="1">
        <v>78</v>
      </c>
    </row>
    <row r="1421" spans="1:2">
      <c r="A1421" s="112">
        <v>41598</v>
      </c>
      <c r="B1421" s="1">
        <v>72</v>
      </c>
    </row>
    <row r="1422" spans="1:2">
      <c r="A1422" s="112">
        <v>41599</v>
      </c>
      <c r="B1422" s="1">
        <v>65</v>
      </c>
    </row>
    <row r="1423" spans="1:2">
      <c r="A1423" s="112">
        <v>41600</v>
      </c>
      <c r="B1423" s="1">
        <v>57</v>
      </c>
    </row>
    <row r="1424" spans="1:2">
      <c r="A1424" s="112">
        <v>41601</v>
      </c>
      <c r="B1424" s="1">
        <v>49</v>
      </c>
    </row>
    <row r="1425" spans="1:2">
      <c r="A1425" s="112">
        <v>41602</v>
      </c>
      <c r="B1425" s="1">
        <v>44</v>
      </c>
    </row>
    <row r="1426" spans="1:2">
      <c r="A1426" s="112">
        <v>41603</v>
      </c>
      <c r="B1426" s="1">
        <v>41</v>
      </c>
    </row>
    <row r="1427" spans="1:2">
      <c r="A1427" s="112">
        <v>41604</v>
      </c>
      <c r="B1427" s="1">
        <v>43</v>
      </c>
    </row>
    <row r="1428" spans="1:2">
      <c r="A1428" s="112">
        <v>41605</v>
      </c>
      <c r="B1428" s="1">
        <v>51</v>
      </c>
    </row>
    <row r="1429" spans="1:2">
      <c r="A1429" s="112">
        <v>41606</v>
      </c>
      <c r="B1429" s="1">
        <v>60</v>
      </c>
    </row>
    <row r="1430" spans="1:2">
      <c r="A1430" s="112">
        <v>41607</v>
      </c>
      <c r="B1430" s="1">
        <v>72</v>
      </c>
    </row>
    <row r="1431" spans="1:2">
      <c r="A1431" s="112">
        <v>41608</v>
      </c>
      <c r="B1431" s="1">
        <v>83</v>
      </c>
    </row>
    <row r="1432" spans="1:2">
      <c r="A1432" s="112">
        <v>41609</v>
      </c>
      <c r="B1432" s="1">
        <v>93</v>
      </c>
    </row>
    <row r="1433" spans="1:2">
      <c r="A1433" s="112">
        <v>41610</v>
      </c>
      <c r="B1433" s="1">
        <v>100</v>
      </c>
    </row>
    <row r="1434" spans="1:2">
      <c r="A1434" s="112">
        <v>41611</v>
      </c>
      <c r="B1434" s="1">
        <v>101</v>
      </c>
    </row>
    <row r="1435" spans="1:2">
      <c r="A1435" s="112">
        <v>41612</v>
      </c>
      <c r="B1435" s="1">
        <v>100</v>
      </c>
    </row>
    <row r="1436" spans="1:2">
      <c r="A1436" s="112">
        <v>41613</v>
      </c>
      <c r="B1436" s="1">
        <v>94</v>
      </c>
    </row>
    <row r="1437" spans="1:2">
      <c r="A1437" s="112">
        <v>41614</v>
      </c>
      <c r="B1437" s="1">
        <v>85</v>
      </c>
    </row>
    <row r="1438" spans="1:2">
      <c r="A1438" s="112">
        <v>41615</v>
      </c>
      <c r="B1438" s="1">
        <v>76</v>
      </c>
    </row>
    <row r="1439" spans="1:2">
      <c r="A1439" s="112">
        <v>41616</v>
      </c>
      <c r="B1439" s="1">
        <v>66</v>
      </c>
    </row>
    <row r="1440" spans="1:2">
      <c r="A1440" s="112">
        <v>41617</v>
      </c>
      <c r="B1440" s="1">
        <v>58</v>
      </c>
    </row>
    <row r="1441" spans="1:2">
      <c r="A1441" s="112">
        <v>41618</v>
      </c>
      <c r="B1441" s="1">
        <v>55</v>
      </c>
    </row>
    <row r="1442" spans="1:2">
      <c r="A1442" s="112">
        <v>41619</v>
      </c>
      <c r="B1442" s="1">
        <v>56</v>
      </c>
    </row>
    <row r="1443" spans="1:2">
      <c r="A1443" s="112">
        <v>41620</v>
      </c>
      <c r="B1443" s="1">
        <v>60</v>
      </c>
    </row>
    <row r="1444" spans="1:2">
      <c r="A1444" s="112">
        <v>41621</v>
      </c>
      <c r="B1444" s="1">
        <v>65</v>
      </c>
    </row>
    <row r="1445" spans="1:2">
      <c r="A1445" s="112">
        <v>41622</v>
      </c>
      <c r="B1445" s="1">
        <v>70</v>
      </c>
    </row>
    <row r="1446" spans="1:2">
      <c r="A1446" s="112">
        <v>41623</v>
      </c>
      <c r="B1446" s="1">
        <v>75</v>
      </c>
    </row>
    <row r="1447" spans="1:2">
      <c r="A1447" s="112">
        <v>41624</v>
      </c>
      <c r="B1447" s="1">
        <v>77</v>
      </c>
    </row>
    <row r="1448" spans="1:2">
      <c r="A1448" s="112">
        <v>41625</v>
      </c>
      <c r="B1448" s="1">
        <v>78</v>
      </c>
    </row>
    <row r="1449" spans="1:2">
      <c r="A1449" s="112">
        <v>41626</v>
      </c>
      <c r="B1449" s="1">
        <v>78</v>
      </c>
    </row>
    <row r="1450" spans="1:2">
      <c r="A1450" s="112">
        <v>41627</v>
      </c>
      <c r="B1450" s="1">
        <v>75</v>
      </c>
    </row>
    <row r="1451" spans="1:2">
      <c r="A1451" s="112">
        <v>41628</v>
      </c>
      <c r="B1451" s="1">
        <v>71</v>
      </c>
    </row>
    <row r="1452" spans="1:2">
      <c r="A1452" s="112">
        <v>41629</v>
      </c>
      <c r="B1452" s="1">
        <v>66</v>
      </c>
    </row>
    <row r="1453" spans="1:2">
      <c r="A1453" s="112">
        <v>41630</v>
      </c>
      <c r="B1453" s="1">
        <v>61</v>
      </c>
    </row>
    <row r="1454" spans="1:2">
      <c r="A1454" s="112">
        <v>41631</v>
      </c>
      <c r="B1454" s="1">
        <v>55</v>
      </c>
    </row>
    <row r="1455" spans="1:2">
      <c r="A1455" s="112">
        <v>41632</v>
      </c>
      <c r="B1455" s="1">
        <v>50</v>
      </c>
    </row>
    <row r="1456" spans="1:2">
      <c r="A1456" s="112">
        <v>41633</v>
      </c>
      <c r="B1456" s="1">
        <v>47</v>
      </c>
    </row>
    <row r="1457" spans="1:2">
      <c r="A1457" s="112">
        <v>41634</v>
      </c>
      <c r="B1457" s="1">
        <v>49</v>
      </c>
    </row>
    <row r="1458" spans="1:2">
      <c r="A1458" s="112">
        <v>41635</v>
      </c>
      <c r="B1458" s="1">
        <v>55</v>
      </c>
    </row>
    <row r="1459" spans="1:2">
      <c r="A1459" s="112">
        <v>41636</v>
      </c>
      <c r="B1459" s="1">
        <v>63</v>
      </c>
    </row>
    <row r="1460" spans="1:2">
      <c r="A1460" s="112">
        <v>41637</v>
      </c>
      <c r="B1460" s="1">
        <v>75</v>
      </c>
    </row>
    <row r="1461" spans="1:2">
      <c r="A1461" s="112">
        <v>41638</v>
      </c>
      <c r="B1461" s="1">
        <v>87</v>
      </c>
    </row>
    <row r="1462" spans="1:2">
      <c r="A1462" s="112">
        <v>41639</v>
      </c>
      <c r="B1462" s="1">
        <v>97</v>
      </c>
    </row>
    <row r="1463" spans="1:2">
      <c r="A1463" s="112">
        <v>41640</v>
      </c>
      <c r="B1463" s="1">
        <v>103</v>
      </c>
    </row>
    <row r="1464" spans="1:2">
      <c r="A1464" s="112">
        <v>41641</v>
      </c>
      <c r="B1464" s="1">
        <v>106</v>
      </c>
    </row>
    <row r="1465" spans="1:2">
      <c r="A1465" s="112">
        <v>41642</v>
      </c>
      <c r="B1465" s="1">
        <v>103</v>
      </c>
    </row>
    <row r="1466" spans="1:2">
      <c r="A1466" s="112">
        <v>41643</v>
      </c>
      <c r="B1466" s="1">
        <v>96</v>
      </c>
    </row>
    <row r="1467" spans="1:2">
      <c r="A1467" s="112">
        <v>41644</v>
      </c>
      <c r="B1467" s="1">
        <v>85</v>
      </c>
    </row>
    <row r="1468" spans="1:2">
      <c r="A1468" s="112">
        <v>41645</v>
      </c>
      <c r="B1468" s="1">
        <v>72</v>
      </c>
    </row>
    <row r="1469" spans="1:2">
      <c r="A1469" s="112">
        <v>41646</v>
      </c>
      <c r="B1469" s="1">
        <v>60</v>
      </c>
    </row>
    <row r="1470" spans="1:2">
      <c r="A1470" s="112">
        <v>41647</v>
      </c>
      <c r="B1470" s="1">
        <v>51</v>
      </c>
    </row>
    <row r="1471" spans="1:2">
      <c r="A1471" s="112">
        <v>41648</v>
      </c>
      <c r="B1471" s="1">
        <v>47</v>
      </c>
    </row>
    <row r="1472" spans="1:2">
      <c r="A1472" s="112">
        <v>41649</v>
      </c>
      <c r="B1472" s="1">
        <v>48</v>
      </c>
    </row>
    <row r="1473" spans="1:2">
      <c r="A1473" s="112">
        <v>41650</v>
      </c>
      <c r="B1473" s="1">
        <v>53</v>
      </c>
    </row>
    <row r="1474" spans="1:2">
      <c r="A1474" s="112">
        <v>41651</v>
      </c>
      <c r="B1474" s="1">
        <v>59</v>
      </c>
    </row>
    <row r="1475" spans="1:2">
      <c r="A1475" s="112">
        <v>41652</v>
      </c>
      <c r="B1475" s="1">
        <v>66</v>
      </c>
    </row>
    <row r="1476" spans="1:2">
      <c r="A1476" s="112">
        <v>41653</v>
      </c>
      <c r="B1476" s="1">
        <v>72</v>
      </c>
    </row>
    <row r="1477" spans="1:2">
      <c r="A1477" s="112">
        <v>41654</v>
      </c>
      <c r="B1477" s="1">
        <v>77</v>
      </c>
    </row>
    <row r="1478" spans="1:2">
      <c r="A1478" s="112">
        <v>41655</v>
      </c>
      <c r="B1478" s="1">
        <v>80</v>
      </c>
    </row>
    <row r="1479" spans="1:2">
      <c r="A1479" s="112">
        <v>41656</v>
      </c>
      <c r="B1479" s="1">
        <v>81</v>
      </c>
    </row>
    <row r="1480" spans="1:2">
      <c r="A1480" s="112">
        <v>41657</v>
      </c>
      <c r="B1480" s="1">
        <v>80</v>
      </c>
    </row>
    <row r="1481" spans="1:2">
      <c r="A1481" s="112">
        <v>41658</v>
      </c>
      <c r="B1481" s="1">
        <v>77</v>
      </c>
    </row>
    <row r="1482" spans="1:2">
      <c r="A1482" s="112">
        <v>41659</v>
      </c>
      <c r="B1482" s="1">
        <v>72</v>
      </c>
    </row>
    <row r="1483" spans="1:2">
      <c r="A1483" s="112">
        <v>41660</v>
      </c>
      <c r="B1483" s="1">
        <v>66</v>
      </c>
    </row>
    <row r="1484" spans="1:2">
      <c r="A1484" s="112">
        <v>41661</v>
      </c>
      <c r="B1484" s="1">
        <v>60</v>
      </c>
    </row>
    <row r="1485" spans="1:2">
      <c r="A1485" s="112">
        <v>41662</v>
      </c>
      <c r="B1485" s="1">
        <v>53</v>
      </c>
    </row>
    <row r="1486" spans="1:2">
      <c r="A1486" s="112">
        <v>41663</v>
      </c>
      <c r="B1486" s="1">
        <v>48</v>
      </c>
    </row>
    <row r="1487" spans="1:2">
      <c r="A1487" s="112">
        <v>41664</v>
      </c>
      <c r="B1487" s="1">
        <v>50</v>
      </c>
    </row>
    <row r="1488" spans="1:2">
      <c r="A1488" s="112">
        <v>41665</v>
      </c>
      <c r="B1488" s="1">
        <v>57</v>
      </c>
    </row>
    <row r="1489" spans="1:2">
      <c r="A1489" s="112">
        <v>41666</v>
      </c>
      <c r="B1489" s="1">
        <v>69</v>
      </c>
    </row>
    <row r="1490" spans="1:2">
      <c r="A1490" s="112">
        <v>41667</v>
      </c>
      <c r="B1490" s="1">
        <v>83</v>
      </c>
    </row>
    <row r="1491" spans="1:2">
      <c r="A1491" s="112">
        <v>41668</v>
      </c>
      <c r="B1491" s="1">
        <v>96</v>
      </c>
    </row>
    <row r="1492" spans="1:2">
      <c r="A1492" s="112">
        <v>41669</v>
      </c>
      <c r="B1492" s="1">
        <v>108</v>
      </c>
    </row>
    <row r="1493" spans="1:2">
      <c r="A1493" s="112">
        <v>41670</v>
      </c>
      <c r="B1493" s="1">
        <v>111</v>
      </c>
    </row>
    <row r="1494" spans="1:2">
      <c r="A1494" s="112">
        <v>41671</v>
      </c>
      <c r="B1494" s="1">
        <v>110</v>
      </c>
    </row>
    <row r="1495" spans="1:2">
      <c r="A1495" s="112">
        <v>41672</v>
      </c>
      <c r="B1495" s="1">
        <v>103</v>
      </c>
    </row>
    <row r="1496" spans="1:2">
      <c r="A1496" s="112">
        <v>41673</v>
      </c>
      <c r="B1496" s="1">
        <v>91</v>
      </c>
    </row>
    <row r="1497" spans="1:2">
      <c r="A1497" s="112">
        <v>41674</v>
      </c>
      <c r="B1497" s="1">
        <v>76</v>
      </c>
    </row>
    <row r="1498" spans="1:2">
      <c r="A1498" s="112">
        <v>41675</v>
      </c>
      <c r="B1498" s="1">
        <v>62</v>
      </c>
    </row>
    <row r="1499" spans="1:2">
      <c r="A1499" s="112">
        <v>41676</v>
      </c>
      <c r="B1499" s="1">
        <v>48</v>
      </c>
    </row>
    <row r="1500" spans="1:2">
      <c r="A1500" s="112">
        <v>41677</v>
      </c>
      <c r="B1500" s="1">
        <v>40</v>
      </c>
    </row>
    <row r="1501" spans="1:2">
      <c r="A1501" s="112">
        <v>41678</v>
      </c>
      <c r="B1501" s="1">
        <v>38</v>
      </c>
    </row>
    <row r="1502" spans="1:2">
      <c r="A1502" s="112">
        <v>41679</v>
      </c>
      <c r="B1502" s="1">
        <v>43</v>
      </c>
    </row>
    <row r="1503" spans="1:2">
      <c r="A1503" s="112">
        <v>41680</v>
      </c>
      <c r="B1503" s="1">
        <v>52</v>
      </c>
    </row>
    <row r="1504" spans="1:2">
      <c r="A1504" s="112">
        <v>41681</v>
      </c>
      <c r="B1504" s="1">
        <v>61</v>
      </c>
    </row>
    <row r="1505" spans="1:2">
      <c r="A1505" s="112">
        <v>41682</v>
      </c>
      <c r="B1505" s="1">
        <v>70</v>
      </c>
    </row>
    <row r="1506" spans="1:2">
      <c r="A1506" s="112">
        <v>41683</v>
      </c>
      <c r="B1506" s="1">
        <v>77</v>
      </c>
    </row>
    <row r="1507" spans="1:2">
      <c r="A1507" s="112">
        <v>41684</v>
      </c>
      <c r="B1507" s="1">
        <v>83</v>
      </c>
    </row>
    <row r="1508" spans="1:2">
      <c r="A1508" s="112">
        <v>41685</v>
      </c>
      <c r="B1508" s="1">
        <v>87</v>
      </c>
    </row>
    <row r="1509" spans="1:2">
      <c r="A1509" s="112">
        <v>41686</v>
      </c>
      <c r="B1509" s="1">
        <v>88</v>
      </c>
    </row>
    <row r="1510" spans="1:2">
      <c r="A1510" s="112">
        <v>41687</v>
      </c>
      <c r="B1510" s="1">
        <v>86</v>
      </c>
    </row>
    <row r="1511" spans="1:2">
      <c r="A1511" s="112">
        <v>41688</v>
      </c>
      <c r="B1511" s="1">
        <v>82</v>
      </c>
    </row>
    <row r="1512" spans="1:2">
      <c r="A1512" s="112">
        <v>41689</v>
      </c>
      <c r="B1512" s="1">
        <v>75</v>
      </c>
    </row>
    <row r="1513" spans="1:2">
      <c r="A1513" s="112">
        <v>41690</v>
      </c>
      <c r="B1513" s="1">
        <v>67</v>
      </c>
    </row>
    <row r="1514" spans="1:2">
      <c r="A1514" s="112">
        <v>41691</v>
      </c>
      <c r="B1514" s="1">
        <v>57</v>
      </c>
    </row>
    <row r="1515" spans="1:2">
      <c r="A1515" s="112">
        <v>41692</v>
      </c>
      <c r="B1515" s="1">
        <v>50</v>
      </c>
    </row>
    <row r="1516" spans="1:2">
      <c r="A1516" s="112">
        <v>41693</v>
      </c>
      <c r="B1516" s="1">
        <v>47</v>
      </c>
    </row>
    <row r="1517" spans="1:2">
      <c r="A1517" s="112">
        <v>41694</v>
      </c>
      <c r="B1517" s="1">
        <v>53</v>
      </c>
    </row>
    <row r="1518" spans="1:2">
      <c r="A1518" s="112">
        <v>41695</v>
      </c>
      <c r="B1518" s="1">
        <v>67</v>
      </c>
    </row>
    <row r="1519" spans="1:2">
      <c r="A1519" s="112">
        <v>41696</v>
      </c>
      <c r="B1519" s="1">
        <v>83</v>
      </c>
    </row>
    <row r="1520" spans="1:2">
      <c r="A1520" s="112">
        <v>41697</v>
      </c>
      <c r="B1520" s="1">
        <v>98</v>
      </c>
    </row>
    <row r="1521" spans="1:2">
      <c r="A1521" s="112">
        <v>41698</v>
      </c>
      <c r="B1521" s="1">
        <v>107</v>
      </c>
    </row>
    <row r="1522" spans="1:2">
      <c r="A1522" s="112">
        <v>41699</v>
      </c>
      <c r="B1522" s="1">
        <v>112</v>
      </c>
    </row>
    <row r="1523" spans="1:2">
      <c r="A1523" s="112">
        <v>41700</v>
      </c>
      <c r="B1523" s="1">
        <v>111</v>
      </c>
    </row>
    <row r="1524" spans="1:2">
      <c r="A1524" s="112">
        <v>41701</v>
      </c>
      <c r="B1524" s="1">
        <v>103</v>
      </c>
    </row>
    <row r="1525" spans="1:2">
      <c r="A1525" s="112">
        <v>41702</v>
      </c>
      <c r="B1525" s="1">
        <v>92</v>
      </c>
    </row>
    <row r="1526" spans="1:2">
      <c r="A1526" s="112">
        <v>41703</v>
      </c>
      <c r="B1526" s="1">
        <v>77</v>
      </c>
    </row>
    <row r="1527" spans="1:2">
      <c r="A1527" s="112">
        <v>41704</v>
      </c>
      <c r="B1527" s="1">
        <v>62</v>
      </c>
    </row>
    <row r="1528" spans="1:2">
      <c r="A1528" s="112">
        <v>41705</v>
      </c>
      <c r="B1528" s="1">
        <v>47</v>
      </c>
    </row>
    <row r="1529" spans="1:2">
      <c r="A1529" s="112">
        <v>41706</v>
      </c>
      <c r="B1529" s="1">
        <v>37</v>
      </c>
    </row>
    <row r="1530" spans="1:2">
      <c r="A1530" s="112">
        <v>41707</v>
      </c>
      <c r="B1530" s="1">
        <v>33</v>
      </c>
    </row>
    <row r="1531" spans="1:2">
      <c r="A1531" s="112">
        <v>41708</v>
      </c>
      <c r="B1531" s="1">
        <v>38</v>
      </c>
    </row>
    <row r="1532" spans="1:2">
      <c r="A1532" s="112">
        <v>41709</v>
      </c>
      <c r="B1532" s="1">
        <v>47</v>
      </c>
    </row>
    <row r="1533" spans="1:2">
      <c r="A1533" s="112">
        <v>41710</v>
      </c>
      <c r="B1533" s="1">
        <v>58</v>
      </c>
    </row>
    <row r="1534" spans="1:2">
      <c r="A1534" s="112">
        <v>41711</v>
      </c>
      <c r="B1534" s="1">
        <v>68</v>
      </c>
    </row>
    <row r="1535" spans="1:2">
      <c r="A1535" s="112">
        <v>41712</v>
      </c>
      <c r="B1535" s="1">
        <v>78</v>
      </c>
    </row>
    <row r="1536" spans="1:2">
      <c r="A1536" s="112">
        <v>41713</v>
      </c>
      <c r="B1536" s="1">
        <v>85</v>
      </c>
    </row>
    <row r="1537" spans="1:2">
      <c r="A1537" s="112">
        <v>41714</v>
      </c>
      <c r="B1537" s="1">
        <v>90</v>
      </c>
    </row>
    <row r="1538" spans="1:2">
      <c r="A1538" s="112">
        <v>41715</v>
      </c>
      <c r="B1538" s="1">
        <v>93</v>
      </c>
    </row>
    <row r="1539" spans="1:2">
      <c r="A1539" s="112">
        <v>41716</v>
      </c>
      <c r="B1539" s="1">
        <v>92</v>
      </c>
    </row>
    <row r="1540" spans="1:2">
      <c r="A1540" s="112">
        <v>41717</v>
      </c>
      <c r="B1540" s="1">
        <v>88</v>
      </c>
    </row>
    <row r="1541" spans="1:2">
      <c r="A1541" s="112">
        <v>41718</v>
      </c>
      <c r="B1541" s="1">
        <v>81</v>
      </c>
    </row>
    <row r="1542" spans="1:2">
      <c r="A1542" s="112">
        <v>41719</v>
      </c>
      <c r="B1542" s="1">
        <v>71</v>
      </c>
    </row>
    <row r="1543" spans="1:2">
      <c r="A1543" s="112">
        <v>41720</v>
      </c>
      <c r="B1543" s="1">
        <v>60</v>
      </c>
    </row>
    <row r="1544" spans="1:2">
      <c r="A1544" s="112">
        <v>41721</v>
      </c>
      <c r="B1544" s="1">
        <v>52</v>
      </c>
    </row>
    <row r="1545" spans="1:2">
      <c r="A1545" s="112">
        <v>41722</v>
      </c>
      <c r="B1545" s="1">
        <v>49</v>
      </c>
    </row>
    <row r="1546" spans="1:2">
      <c r="A1546" s="112">
        <v>41723</v>
      </c>
      <c r="B1546" s="1">
        <v>55</v>
      </c>
    </row>
    <row r="1547" spans="1:2">
      <c r="A1547" s="112">
        <v>41724</v>
      </c>
      <c r="B1547" s="1">
        <v>69</v>
      </c>
    </row>
    <row r="1548" spans="1:2">
      <c r="A1548" s="112">
        <v>41725</v>
      </c>
      <c r="B1548" s="1">
        <v>82</v>
      </c>
    </row>
    <row r="1549" spans="1:2">
      <c r="A1549" s="112">
        <v>41726</v>
      </c>
      <c r="B1549" s="1">
        <v>95</v>
      </c>
    </row>
    <row r="1550" spans="1:2">
      <c r="A1550" s="112">
        <v>41727</v>
      </c>
      <c r="B1550" s="1">
        <v>103</v>
      </c>
    </row>
    <row r="1551" spans="1:2">
      <c r="A1551" s="112">
        <v>41728</v>
      </c>
      <c r="B1551" s="1">
        <v>107</v>
      </c>
    </row>
    <row r="1552" spans="1:2">
      <c r="A1552" s="112">
        <v>41729</v>
      </c>
      <c r="B1552" s="1">
        <v>105</v>
      </c>
    </row>
    <row r="1553" spans="1:2">
      <c r="A1553" s="112">
        <v>41730</v>
      </c>
      <c r="B1553" s="1">
        <v>98</v>
      </c>
    </row>
    <row r="1554" spans="1:2">
      <c r="A1554" s="112">
        <v>41731</v>
      </c>
      <c r="B1554" s="1">
        <v>88</v>
      </c>
    </row>
    <row r="1555" spans="1:2">
      <c r="A1555" s="112">
        <v>41732</v>
      </c>
      <c r="B1555" s="1">
        <v>75</v>
      </c>
    </row>
    <row r="1556" spans="1:2">
      <c r="A1556" s="112">
        <v>41733</v>
      </c>
      <c r="B1556" s="1">
        <v>61</v>
      </c>
    </row>
    <row r="1557" spans="1:2">
      <c r="A1557" s="112">
        <v>41734</v>
      </c>
      <c r="B1557" s="1">
        <v>49</v>
      </c>
    </row>
    <row r="1558" spans="1:2">
      <c r="A1558" s="112">
        <v>41735</v>
      </c>
      <c r="B1558" s="1">
        <v>39</v>
      </c>
    </row>
    <row r="1559" spans="1:2">
      <c r="A1559" s="112">
        <v>41736</v>
      </c>
      <c r="B1559" s="1">
        <v>34</v>
      </c>
    </row>
    <row r="1560" spans="1:2">
      <c r="A1560" s="112">
        <v>41737</v>
      </c>
      <c r="B1560" s="1">
        <v>37</v>
      </c>
    </row>
    <row r="1561" spans="1:2">
      <c r="A1561" s="112">
        <v>41738</v>
      </c>
      <c r="B1561" s="1">
        <v>45</v>
      </c>
    </row>
    <row r="1562" spans="1:2">
      <c r="A1562" s="112">
        <v>41739</v>
      </c>
      <c r="B1562" s="1">
        <v>55</v>
      </c>
    </row>
    <row r="1563" spans="1:2">
      <c r="A1563" s="112">
        <v>41740</v>
      </c>
      <c r="B1563" s="1">
        <v>66</v>
      </c>
    </row>
    <row r="1564" spans="1:2">
      <c r="A1564" s="112">
        <v>41741</v>
      </c>
      <c r="B1564" s="1">
        <v>76</v>
      </c>
    </row>
    <row r="1565" spans="1:2">
      <c r="A1565" s="112">
        <v>41742</v>
      </c>
      <c r="B1565" s="1">
        <v>85</v>
      </c>
    </row>
    <row r="1566" spans="1:2">
      <c r="A1566" s="112">
        <v>41743</v>
      </c>
      <c r="B1566" s="1">
        <v>91</v>
      </c>
    </row>
    <row r="1567" spans="1:2">
      <c r="A1567" s="112">
        <v>41744</v>
      </c>
      <c r="B1567" s="1">
        <v>95</v>
      </c>
    </row>
    <row r="1568" spans="1:2">
      <c r="A1568" s="112">
        <v>41745</v>
      </c>
      <c r="B1568" s="1">
        <v>95</v>
      </c>
    </row>
    <row r="1569" spans="1:2">
      <c r="A1569" s="112">
        <v>41746</v>
      </c>
      <c r="B1569" s="1">
        <v>91</v>
      </c>
    </row>
    <row r="1570" spans="1:2">
      <c r="A1570" s="112">
        <v>41747</v>
      </c>
      <c r="B1570" s="1">
        <v>84</v>
      </c>
    </row>
    <row r="1571" spans="1:2">
      <c r="A1571" s="112">
        <v>41748</v>
      </c>
      <c r="B1571" s="1">
        <v>75</v>
      </c>
    </row>
    <row r="1572" spans="1:2">
      <c r="A1572" s="112">
        <v>41749</v>
      </c>
      <c r="B1572" s="1">
        <v>65</v>
      </c>
    </row>
    <row r="1573" spans="1:2">
      <c r="A1573" s="112">
        <v>41750</v>
      </c>
      <c r="B1573" s="1">
        <v>57</v>
      </c>
    </row>
    <row r="1574" spans="1:2">
      <c r="A1574" s="112">
        <v>41751</v>
      </c>
      <c r="B1574" s="1">
        <v>54</v>
      </c>
    </row>
    <row r="1575" spans="1:2">
      <c r="A1575" s="112">
        <v>41752</v>
      </c>
      <c r="B1575" s="1">
        <v>59</v>
      </c>
    </row>
    <row r="1576" spans="1:2">
      <c r="A1576" s="112">
        <v>41753</v>
      </c>
      <c r="B1576" s="1">
        <v>69</v>
      </c>
    </row>
    <row r="1577" spans="1:2">
      <c r="A1577" s="112">
        <v>41754</v>
      </c>
      <c r="B1577" s="1">
        <v>79</v>
      </c>
    </row>
    <row r="1578" spans="1:2">
      <c r="A1578" s="112">
        <v>41755</v>
      </c>
      <c r="B1578" s="1">
        <v>88</v>
      </c>
    </row>
    <row r="1579" spans="1:2">
      <c r="A1579" s="112">
        <v>41756</v>
      </c>
      <c r="B1579" s="1">
        <v>94</v>
      </c>
    </row>
    <row r="1580" spans="1:2">
      <c r="A1580" s="112">
        <v>41757</v>
      </c>
      <c r="B1580" s="1">
        <v>96</v>
      </c>
    </row>
    <row r="1581" spans="1:2">
      <c r="A1581" s="112">
        <v>41758</v>
      </c>
      <c r="B1581" s="1">
        <v>94</v>
      </c>
    </row>
    <row r="1582" spans="1:2">
      <c r="A1582" s="112">
        <v>41759</v>
      </c>
      <c r="B1582" s="1">
        <v>89</v>
      </c>
    </row>
    <row r="1583" spans="1:2">
      <c r="A1583" s="112">
        <v>41760</v>
      </c>
      <c r="B1583" s="1">
        <v>82</v>
      </c>
    </row>
    <row r="1584" spans="1:2">
      <c r="A1584" s="112">
        <v>41761</v>
      </c>
      <c r="B1584" s="1">
        <v>73</v>
      </c>
    </row>
    <row r="1585" spans="1:2">
      <c r="A1585" s="112">
        <v>41762</v>
      </c>
      <c r="B1585" s="1">
        <v>62</v>
      </c>
    </row>
    <row r="1586" spans="1:2">
      <c r="A1586" s="112">
        <v>41763</v>
      </c>
      <c r="B1586" s="1">
        <v>52</v>
      </c>
    </row>
    <row r="1587" spans="1:2">
      <c r="A1587" s="112">
        <v>41764</v>
      </c>
      <c r="B1587" s="1">
        <v>44</v>
      </c>
    </row>
    <row r="1588" spans="1:2">
      <c r="A1588" s="112">
        <v>41765</v>
      </c>
      <c r="B1588" s="1">
        <v>39</v>
      </c>
    </row>
    <row r="1589" spans="1:2">
      <c r="A1589" s="112">
        <v>41766</v>
      </c>
      <c r="B1589" s="1">
        <v>39</v>
      </c>
    </row>
    <row r="1590" spans="1:2">
      <c r="A1590" s="112">
        <v>41767</v>
      </c>
      <c r="B1590" s="1">
        <v>44</v>
      </c>
    </row>
    <row r="1591" spans="1:2">
      <c r="A1591" s="112">
        <v>41768</v>
      </c>
      <c r="B1591" s="1">
        <v>52</v>
      </c>
    </row>
    <row r="1592" spans="1:2">
      <c r="A1592" s="112">
        <v>41769</v>
      </c>
      <c r="B1592" s="1">
        <v>62</v>
      </c>
    </row>
    <row r="1593" spans="1:2">
      <c r="A1593" s="112">
        <v>41770</v>
      </c>
      <c r="B1593" s="1">
        <v>72</v>
      </c>
    </row>
    <row r="1594" spans="1:2">
      <c r="A1594" s="112">
        <v>41771</v>
      </c>
      <c r="B1594" s="1">
        <v>82</v>
      </c>
    </row>
    <row r="1595" spans="1:2">
      <c r="A1595" s="112">
        <v>41772</v>
      </c>
      <c r="B1595" s="1">
        <v>89</v>
      </c>
    </row>
    <row r="1596" spans="1:2">
      <c r="A1596" s="112">
        <v>41773</v>
      </c>
      <c r="B1596" s="1">
        <v>94</v>
      </c>
    </row>
    <row r="1597" spans="1:2">
      <c r="A1597" s="112">
        <v>41774</v>
      </c>
      <c r="B1597" s="1">
        <v>96</v>
      </c>
    </row>
    <row r="1598" spans="1:2">
      <c r="A1598" s="112">
        <v>41775</v>
      </c>
      <c r="B1598" s="1">
        <v>93</v>
      </c>
    </row>
    <row r="1599" spans="1:2">
      <c r="A1599" s="112">
        <v>41776</v>
      </c>
      <c r="B1599" s="1">
        <v>88</v>
      </c>
    </row>
    <row r="1600" spans="1:2">
      <c r="A1600" s="112">
        <v>41777</v>
      </c>
      <c r="B1600" s="1">
        <v>79</v>
      </c>
    </row>
    <row r="1601" spans="1:2">
      <c r="A1601" s="112">
        <v>41778</v>
      </c>
      <c r="B1601" s="1">
        <v>71</v>
      </c>
    </row>
    <row r="1602" spans="1:2">
      <c r="A1602" s="112">
        <v>41779</v>
      </c>
      <c r="B1602" s="1">
        <v>64</v>
      </c>
    </row>
    <row r="1603" spans="1:2">
      <c r="A1603" s="112">
        <v>41780</v>
      </c>
      <c r="B1603" s="1">
        <v>60</v>
      </c>
    </row>
    <row r="1604" spans="1:2">
      <c r="A1604" s="112">
        <v>41781</v>
      </c>
      <c r="B1604" s="1">
        <v>61</v>
      </c>
    </row>
    <row r="1605" spans="1:2">
      <c r="A1605" s="112">
        <v>41782</v>
      </c>
      <c r="B1605" s="1">
        <v>66</v>
      </c>
    </row>
    <row r="1606" spans="1:2">
      <c r="A1606" s="112">
        <v>41783</v>
      </c>
      <c r="B1606" s="1">
        <v>72</v>
      </c>
    </row>
    <row r="1607" spans="1:2">
      <c r="A1607" s="112">
        <v>41784</v>
      </c>
      <c r="B1607" s="1">
        <v>77</v>
      </c>
    </row>
    <row r="1608" spans="1:2">
      <c r="A1608" s="112">
        <v>41785</v>
      </c>
      <c r="B1608" s="1">
        <v>82</v>
      </c>
    </row>
    <row r="1609" spans="1:2">
      <c r="A1609" s="112">
        <v>41786</v>
      </c>
      <c r="B1609" s="1">
        <v>84</v>
      </c>
    </row>
    <row r="1610" spans="1:2">
      <c r="A1610" s="112">
        <v>41787</v>
      </c>
      <c r="B1610" s="1">
        <v>84</v>
      </c>
    </row>
    <row r="1611" spans="1:2">
      <c r="A1611" s="112">
        <v>41788</v>
      </c>
      <c r="B1611" s="1">
        <v>82</v>
      </c>
    </row>
    <row r="1612" spans="1:2">
      <c r="A1612" s="112">
        <v>41789</v>
      </c>
      <c r="B1612" s="1">
        <v>78</v>
      </c>
    </row>
    <row r="1613" spans="1:2">
      <c r="A1613" s="112">
        <v>41790</v>
      </c>
      <c r="B1613" s="1">
        <v>72</v>
      </c>
    </row>
    <row r="1614" spans="1:2">
      <c r="A1614" s="112">
        <v>41791</v>
      </c>
      <c r="B1614" s="1">
        <v>66</v>
      </c>
    </row>
    <row r="1615" spans="1:2">
      <c r="A1615" s="112">
        <v>41792</v>
      </c>
      <c r="B1615" s="1">
        <v>59</v>
      </c>
    </row>
    <row r="1616" spans="1:2">
      <c r="A1616" s="112">
        <v>41793</v>
      </c>
      <c r="B1616" s="1">
        <v>52</v>
      </c>
    </row>
    <row r="1617" spans="1:2">
      <c r="A1617" s="112">
        <v>41794</v>
      </c>
      <c r="B1617" s="1">
        <v>47</v>
      </c>
    </row>
    <row r="1618" spans="1:2">
      <c r="A1618" s="112">
        <v>41795</v>
      </c>
      <c r="B1618" s="1">
        <v>44</v>
      </c>
    </row>
    <row r="1619" spans="1:2">
      <c r="A1619" s="112">
        <v>41796</v>
      </c>
      <c r="B1619" s="1">
        <v>45</v>
      </c>
    </row>
    <row r="1620" spans="1:2">
      <c r="A1620" s="112">
        <v>41797</v>
      </c>
      <c r="B1620" s="1">
        <v>50</v>
      </c>
    </row>
    <row r="1621" spans="1:2">
      <c r="A1621" s="112">
        <v>41798</v>
      </c>
      <c r="B1621" s="1">
        <v>58</v>
      </c>
    </row>
    <row r="1622" spans="1:2">
      <c r="A1622" s="112">
        <v>41799</v>
      </c>
      <c r="B1622" s="1">
        <v>67</v>
      </c>
    </row>
    <row r="1623" spans="1:2">
      <c r="A1623" s="112">
        <v>41800</v>
      </c>
      <c r="B1623" s="1">
        <v>77</v>
      </c>
    </row>
    <row r="1624" spans="1:2">
      <c r="A1624" s="112">
        <v>41801</v>
      </c>
      <c r="B1624" s="1">
        <v>85</v>
      </c>
    </row>
    <row r="1625" spans="1:2">
      <c r="A1625" s="112">
        <v>41802</v>
      </c>
      <c r="B1625" s="1">
        <v>92</v>
      </c>
    </row>
    <row r="1626" spans="1:2">
      <c r="A1626" s="112">
        <v>41803</v>
      </c>
      <c r="B1626" s="1">
        <v>98</v>
      </c>
    </row>
    <row r="1627" spans="1:2">
      <c r="A1627" s="112">
        <v>41804</v>
      </c>
      <c r="B1627" s="1">
        <v>98</v>
      </c>
    </row>
    <row r="1628" spans="1:2">
      <c r="A1628" s="112">
        <v>41805</v>
      </c>
      <c r="B1628" s="1">
        <v>94</v>
      </c>
    </row>
    <row r="1629" spans="1:2">
      <c r="A1629" s="112">
        <v>41806</v>
      </c>
      <c r="B1629" s="1">
        <v>88</v>
      </c>
    </row>
    <row r="1630" spans="1:2">
      <c r="A1630" s="112">
        <v>41807</v>
      </c>
      <c r="B1630" s="1">
        <v>80</v>
      </c>
    </row>
    <row r="1631" spans="1:2">
      <c r="A1631" s="112">
        <v>41808</v>
      </c>
      <c r="B1631" s="1">
        <v>71</v>
      </c>
    </row>
    <row r="1632" spans="1:2">
      <c r="A1632" s="112">
        <v>41809</v>
      </c>
      <c r="B1632" s="1">
        <v>64</v>
      </c>
    </row>
    <row r="1633" spans="1:2">
      <c r="A1633" s="112">
        <v>41810</v>
      </c>
      <c r="B1633" s="1">
        <v>59</v>
      </c>
    </row>
    <row r="1634" spans="1:2">
      <c r="A1634" s="112">
        <v>41811</v>
      </c>
      <c r="B1634" s="1">
        <v>59</v>
      </c>
    </row>
    <row r="1635" spans="1:2">
      <c r="A1635" s="112">
        <v>41812</v>
      </c>
      <c r="B1635" s="1">
        <v>61</v>
      </c>
    </row>
    <row r="1636" spans="1:2">
      <c r="A1636" s="112">
        <v>41813</v>
      </c>
      <c r="B1636" s="1">
        <v>66</v>
      </c>
    </row>
    <row r="1637" spans="1:2">
      <c r="A1637" s="112">
        <v>41814</v>
      </c>
      <c r="B1637" s="1">
        <v>70</v>
      </c>
    </row>
    <row r="1638" spans="1:2">
      <c r="A1638" s="112">
        <v>41815</v>
      </c>
      <c r="B1638" s="1">
        <v>74</v>
      </c>
    </row>
    <row r="1639" spans="1:2">
      <c r="A1639" s="112">
        <v>41816</v>
      </c>
      <c r="B1639" s="1">
        <v>77</v>
      </c>
    </row>
    <row r="1640" spans="1:2">
      <c r="A1640" s="112">
        <v>41817</v>
      </c>
      <c r="B1640" s="1">
        <v>78</v>
      </c>
    </row>
    <row r="1641" spans="1:2">
      <c r="A1641" s="112">
        <v>41818</v>
      </c>
      <c r="B1641" s="1">
        <v>77</v>
      </c>
    </row>
    <row r="1642" spans="1:2">
      <c r="A1642" s="112">
        <v>41819</v>
      </c>
      <c r="B1642" s="1">
        <v>75</v>
      </c>
    </row>
    <row r="1643" spans="1:2">
      <c r="A1643" s="112">
        <v>41820</v>
      </c>
      <c r="B1643" s="1">
        <v>71</v>
      </c>
    </row>
    <row r="1644" spans="1:2">
      <c r="A1644" s="112">
        <v>41821</v>
      </c>
      <c r="B1644" s="1">
        <v>66</v>
      </c>
    </row>
    <row r="1645" spans="1:2">
      <c r="A1645" s="112">
        <v>41822</v>
      </c>
      <c r="B1645" s="1">
        <v>61</v>
      </c>
    </row>
    <row r="1646" spans="1:2">
      <c r="A1646" s="112">
        <v>41823</v>
      </c>
      <c r="B1646" s="1">
        <v>55</v>
      </c>
    </row>
    <row r="1647" spans="1:2">
      <c r="A1647" s="112">
        <v>41824</v>
      </c>
      <c r="B1647" s="1">
        <v>51</v>
      </c>
    </row>
    <row r="1648" spans="1:2">
      <c r="A1648" s="112">
        <v>41825</v>
      </c>
      <c r="B1648" s="1">
        <v>48</v>
      </c>
    </row>
    <row r="1649" spans="1:2">
      <c r="A1649" s="112">
        <v>41826</v>
      </c>
      <c r="B1649" s="1">
        <v>49</v>
      </c>
    </row>
    <row r="1650" spans="1:2">
      <c r="A1650" s="112">
        <v>41827</v>
      </c>
      <c r="B1650" s="1">
        <v>54</v>
      </c>
    </row>
    <row r="1651" spans="1:2">
      <c r="A1651" s="112">
        <v>41828</v>
      </c>
      <c r="B1651" s="1">
        <v>62</v>
      </c>
    </row>
    <row r="1652" spans="1:2">
      <c r="A1652" s="112">
        <v>41829</v>
      </c>
      <c r="B1652" s="1">
        <v>72</v>
      </c>
    </row>
    <row r="1653" spans="1:2">
      <c r="A1653" s="112">
        <v>41830</v>
      </c>
      <c r="B1653" s="1">
        <v>84</v>
      </c>
    </row>
    <row r="1654" spans="1:2">
      <c r="A1654" s="112">
        <v>41831</v>
      </c>
      <c r="B1654" s="1">
        <v>95</v>
      </c>
    </row>
    <row r="1655" spans="1:2">
      <c r="A1655" s="112">
        <v>41832</v>
      </c>
      <c r="B1655" s="1">
        <v>102</v>
      </c>
    </row>
    <row r="1656" spans="1:2">
      <c r="A1656" s="112">
        <v>41833</v>
      </c>
      <c r="B1656" s="1">
        <v>105</v>
      </c>
    </row>
    <row r="1657" spans="1:2">
      <c r="A1657" s="112">
        <v>41834</v>
      </c>
      <c r="B1657" s="1">
        <v>103</v>
      </c>
    </row>
    <row r="1658" spans="1:2">
      <c r="A1658" s="112">
        <v>41835</v>
      </c>
      <c r="B1658" s="1">
        <v>96</v>
      </c>
    </row>
    <row r="1659" spans="1:2">
      <c r="A1659" s="112">
        <v>41836</v>
      </c>
      <c r="B1659" s="1">
        <v>87</v>
      </c>
    </row>
    <row r="1660" spans="1:2">
      <c r="A1660" s="112">
        <v>41837</v>
      </c>
      <c r="B1660" s="1">
        <v>75</v>
      </c>
    </row>
    <row r="1661" spans="1:2">
      <c r="A1661" s="112">
        <v>41838</v>
      </c>
      <c r="B1661" s="1">
        <v>63</v>
      </c>
    </row>
    <row r="1662" spans="1:2">
      <c r="A1662" s="112">
        <v>41839</v>
      </c>
      <c r="B1662" s="1">
        <v>54</v>
      </c>
    </row>
    <row r="1663" spans="1:2">
      <c r="A1663" s="112">
        <v>41840</v>
      </c>
      <c r="B1663" s="1">
        <v>50</v>
      </c>
    </row>
    <row r="1664" spans="1:2">
      <c r="A1664" s="112">
        <v>41841</v>
      </c>
      <c r="B1664" s="1">
        <v>51</v>
      </c>
    </row>
    <row r="1665" spans="1:2">
      <c r="A1665" s="112">
        <v>41842</v>
      </c>
      <c r="B1665" s="1">
        <v>56</v>
      </c>
    </row>
    <row r="1666" spans="1:2">
      <c r="A1666" s="112">
        <v>41843</v>
      </c>
      <c r="B1666" s="1">
        <v>62</v>
      </c>
    </row>
    <row r="1667" spans="1:2">
      <c r="A1667" s="112">
        <v>41844</v>
      </c>
      <c r="B1667" s="1">
        <v>68</v>
      </c>
    </row>
    <row r="1668" spans="1:2">
      <c r="A1668" s="112">
        <v>41845</v>
      </c>
      <c r="B1668" s="1">
        <v>73</v>
      </c>
    </row>
    <row r="1669" spans="1:2">
      <c r="A1669" s="112">
        <v>41846</v>
      </c>
      <c r="B1669" s="1">
        <v>77</v>
      </c>
    </row>
    <row r="1670" spans="1:2">
      <c r="A1670" s="112">
        <v>41847</v>
      </c>
      <c r="B1670" s="1">
        <v>79</v>
      </c>
    </row>
    <row r="1671" spans="1:2">
      <c r="A1671" s="112">
        <v>41848</v>
      </c>
      <c r="B1671" s="1">
        <v>80</v>
      </c>
    </row>
    <row r="1672" spans="1:2">
      <c r="A1672" s="112">
        <v>41849</v>
      </c>
      <c r="B1672" s="1">
        <v>78</v>
      </c>
    </row>
    <row r="1673" spans="1:2">
      <c r="A1673" s="112">
        <v>41850</v>
      </c>
      <c r="B1673" s="1">
        <v>75</v>
      </c>
    </row>
    <row r="1674" spans="1:2">
      <c r="A1674" s="112">
        <v>41851</v>
      </c>
      <c r="B1674" s="1">
        <v>70</v>
      </c>
    </row>
    <row r="1675" spans="1:2">
      <c r="A1675" s="112">
        <v>41852</v>
      </c>
      <c r="B1675" s="1">
        <v>63</v>
      </c>
    </row>
    <row r="1676" spans="1:2">
      <c r="A1676" s="112">
        <v>41853</v>
      </c>
      <c r="B1676" s="1">
        <v>57</v>
      </c>
    </row>
    <row r="1677" spans="1:2">
      <c r="A1677" s="112">
        <v>41854</v>
      </c>
      <c r="B1677" s="1">
        <v>51</v>
      </c>
    </row>
    <row r="1678" spans="1:2">
      <c r="A1678" s="112">
        <v>41855</v>
      </c>
      <c r="B1678" s="1">
        <v>48</v>
      </c>
    </row>
    <row r="1679" spans="1:2">
      <c r="A1679" s="112">
        <v>41856</v>
      </c>
      <c r="B1679" s="1">
        <v>50</v>
      </c>
    </row>
    <row r="1680" spans="1:2">
      <c r="A1680" s="112">
        <v>41857</v>
      </c>
      <c r="B1680" s="1">
        <v>57</v>
      </c>
    </row>
    <row r="1681" spans="1:2">
      <c r="A1681" s="112">
        <v>41858</v>
      </c>
      <c r="B1681" s="1">
        <v>71</v>
      </c>
    </row>
    <row r="1682" spans="1:2">
      <c r="A1682" s="112">
        <v>41859</v>
      </c>
      <c r="B1682" s="1">
        <v>85</v>
      </c>
    </row>
    <row r="1683" spans="1:2">
      <c r="A1683" s="112">
        <v>41860</v>
      </c>
      <c r="B1683" s="1">
        <v>98</v>
      </c>
    </row>
    <row r="1684" spans="1:2">
      <c r="A1684" s="112">
        <v>41861</v>
      </c>
      <c r="B1684" s="1">
        <v>108</v>
      </c>
    </row>
    <row r="1685" spans="1:2">
      <c r="A1685" s="112">
        <v>41862</v>
      </c>
      <c r="B1685" s="1">
        <v>111</v>
      </c>
    </row>
    <row r="1686" spans="1:2">
      <c r="A1686" s="112">
        <v>41863</v>
      </c>
      <c r="B1686" s="1">
        <v>110</v>
      </c>
    </row>
    <row r="1687" spans="1:2">
      <c r="A1687" s="112">
        <v>41864</v>
      </c>
      <c r="B1687" s="1">
        <v>102</v>
      </c>
    </row>
    <row r="1688" spans="1:2">
      <c r="A1688" s="112">
        <v>41865</v>
      </c>
      <c r="B1688" s="1">
        <v>90</v>
      </c>
    </row>
    <row r="1689" spans="1:2">
      <c r="A1689" s="112">
        <v>41866</v>
      </c>
      <c r="B1689" s="1">
        <v>75</v>
      </c>
    </row>
    <row r="1690" spans="1:2">
      <c r="A1690" s="112">
        <v>41867</v>
      </c>
      <c r="B1690" s="1">
        <v>60</v>
      </c>
    </row>
    <row r="1691" spans="1:2">
      <c r="A1691" s="112">
        <v>41868</v>
      </c>
      <c r="B1691" s="1">
        <v>49</v>
      </c>
    </row>
    <row r="1692" spans="1:2">
      <c r="A1692" s="112">
        <v>41869</v>
      </c>
      <c r="B1692" s="1">
        <v>42</v>
      </c>
    </row>
    <row r="1693" spans="1:2">
      <c r="A1693" s="112">
        <v>41870</v>
      </c>
      <c r="B1693" s="1">
        <v>43</v>
      </c>
    </row>
    <row r="1694" spans="1:2">
      <c r="A1694" s="112">
        <v>41871</v>
      </c>
      <c r="B1694" s="1">
        <v>49</v>
      </c>
    </row>
    <row r="1695" spans="1:2">
      <c r="A1695" s="112">
        <v>41872</v>
      </c>
      <c r="B1695" s="1">
        <v>57</v>
      </c>
    </row>
    <row r="1696" spans="1:2">
      <c r="A1696" s="112">
        <v>41873</v>
      </c>
      <c r="B1696" s="1">
        <v>65</v>
      </c>
    </row>
    <row r="1697" spans="1:2">
      <c r="A1697" s="112">
        <v>41874</v>
      </c>
      <c r="B1697" s="1">
        <v>73</v>
      </c>
    </row>
    <row r="1698" spans="1:2">
      <c r="A1698" s="112">
        <v>41875</v>
      </c>
      <c r="B1698" s="1">
        <v>79</v>
      </c>
    </row>
    <row r="1699" spans="1:2">
      <c r="A1699" s="112">
        <v>41876</v>
      </c>
      <c r="B1699" s="1">
        <v>83</v>
      </c>
    </row>
    <row r="1700" spans="1:2">
      <c r="A1700" s="112">
        <v>41877</v>
      </c>
      <c r="B1700" s="1">
        <v>85</v>
      </c>
    </row>
    <row r="1701" spans="1:2">
      <c r="A1701" s="112">
        <v>41878</v>
      </c>
      <c r="B1701" s="1">
        <v>85</v>
      </c>
    </row>
    <row r="1702" spans="1:2">
      <c r="A1702" s="112">
        <v>41879</v>
      </c>
      <c r="B1702" s="1">
        <v>82</v>
      </c>
    </row>
    <row r="1703" spans="1:2">
      <c r="A1703" s="112">
        <v>41880</v>
      </c>
      <c r="B1703" s="1">
        <v>77</v>
      </c>
    </row>
    <row r="1704" spans="1:2">
      <c r="A1704" s="112">
        <v>41881</v>
      </c>
      <c r="B1704" s="1">
        <v>70</v>
      </c>
    </row>
    <row r="1705" spans="1:2">
      <c r="A1705" s="112">
        <v>41882</v>
      </c>
      <c r="B1705" s="1">
        <v>61</v>
      </c>
    </row>
    <row r="1706" spans="1:2">
      <c r="A1706" s="112">
        <v>41883</v>
      </c>
      <c r="B1706" s="1">
        <v>53</v>
      </c>
    </row>
    <row r="1707" spans="1:2">
      <c r="A1707" s="112">
        <v>41884</v>
      </c>
      <c r="B1707" s="1">
        <v>47</v>
      </c>
    </row>
    <row r="1708" spans="1:2">
      <c r="A1708" s="112">
        <v>41885</v>
      </c>
      <c r="B1708" s="1">
        <v>48</v>
      </c>
    </row>
    <row r="1709" spans="1:2">
      <c r="A1709" s="112">
        <v>41886</v>
      </c>
      <c r="B1709" s="1">
        <v>57</v>
      </c>
    </row>
    <row r="1710" spans="1:2">
      <c r="A1710" s="112">
        <v>41887</v>
      </c>
      <c r="B1710" s="1">
        <v>71</v>
      </c>
    </row>
    <row r="1711" spans="1:2">
      <c r="A1711" s="112">
        <v>41888</v>
      </c>
      <c r="B1711" s="1">
        <v>87</v>
      </c>
    </row>
    <row r="1712" spans="1:2">
      <c r="A1712" s="112">
        <v>41889</v>
      </c>
      <c r="B1712" s="1">
        <v>101</v>
      </c>
    </row>
    <row r="1713" spans="1:2">
      <c r="A1713" s="112">
        <v>41890</v>
      </c>
      <c r="B1713" s="1">
        <v>111</v>
      </c>
    </row>
    <row r="1714" spans="1:2">
      <c r="A1714" s="112">
        <v>41891</v>
      </c>
      <c r="B1714" s="1">
        <v>114</v>
      </c>
    </row>
    <row r="1715" spans="1:2">
      <c r="A1715" s="112">
        <v>41892</v>
      </c>
      <c r="B1715" s="1">
        <v>111</v>
      </c>
    </row>
    <row r="1716" spans="1:2">
      <c r="A1716" s="112">
        <v>41893</v>
      </c>
      <c r="B1716" s="1">
        <v>102</v>
      </c>
    </row>
    <row r="1717" spans="1:2">
      <c r="A1717" s="112">
        <v>41894</v>
      </c>
      <c r="B1717" s="1">
        <v>89</v>
      </c>
    </row>
    <row r="1718" spans="1:2">
      <c r="A1718" s="112">
        <v>41895</v>
      </c>
      <c r="B1718" s="1">
        <v>73</v>
      </c>
    </row>
    <row r="1719" spans="1:2">
      <c r="A1719" s="112">
        <v>41896</v>
      </c>
      <c r="B1719" s="1">
        <v>58</v>
      </c>
    </row>
    <row r="1720" spans="1:2">
      <c r="A1720" s="112">
        <v>41897</v>
      </c>
      <c r="B1720" s="1">
        <v>45</v>
      </c>
    </row>
    <row r="1721" spans="1:2">
      <c r="A1721" s="112">
        <v>41898</v>
      </c>
      <c r="B1721" s="1">
        <v>37</v>
      </c>
    </row>
    <row r="1722" spans="1:2">
      <c r="A1722" s="112">
        <v>41899</v>
      </c>
      <c r="B1722" s="1">
        <v>38</v>
      </c>
    </row>
    <row r="1723" spans="1:2">
      <c r="A1723" s="112">
        <v>41900</v>
      </c>
      <c r="B1723" s="1">
        <v>44</v>
      </c>
    </row>
    <row r="1724" spans="1:2">
      <c r="A1724" s="112">
        <v>41901</v>
      </c>
      <c r="B1724" s="1">
        <v>54</v>
      </c>
    </row>
    <row r="1725" spans="1:2">
      <c r="A1725" s="112">
        <v>41902</v>
      </c>
      <c r="B1725" s="1">
        <v>64</v>
      </c>
    </row>
    <row r="1726" spans="1:2">
      <c r="A1726" s="112">
        <v>41903</v>
      </c>
      <c r="B1726" s="1">
        <v>73</v>
      </c>
    </row>
    <row r="1727" spans="1:2">
      <c r="A1727" s="112">
        <v>41904</v>
      </c>
      <c r="B1727" s="1">
        <v>80</v>
      </c>
    </row>
    <row r="1728" spans="1:2">
      <c r="A1728" s="112">
        <v>41905</v>
      </c>
      <c r="B1728" s="1">
        <v>86</v>
      </c>
    </row>
    <row r="1729" spans="1:2">
      <c r="A1729" s="112">
        <v>41906</v>
      </c>
      <c r="B1729" s="1">
        <v>89</v>
      </c>
    </row>
    <row r="1730" spans="1:2">
      <c r="A1730" s="112">
        <v>41907</v>
      </c>
      <c r="B1730" s="1">
        <v>89</v>
      </c>
    </row>
    <row r="1731" spans="1:2">
      <c r="A1731" s="112">
        <v>41908</v>
      </c>
      <c r="B1731" s="1">
        <v>87</v>
      </c>
    </row>
    <row r="1732" spans="1:2">
      <c r="A1732" s="112">
        <v>41909</v>
      </c>
      <c r="B1732" s="1">
        <v>82</v>
      </c>
    </row>
    <row r="1733" spans="1:2">
      <c r="A1733" s="112">
        <v>41910</v>
      </c>
      <c r="B1733" s="1">
        <v>74</v>
      </c>
    </row>
    <row r="1734" spans="1:2">
      <c r="A1734" s="112">
        <v>41911</v>
      </c>
      <c r="B1734" s="1">
        <v>65</v>
      </c>
    </row>
    <row r="1735" spans="1:2">
      <c r="A1735" s="112">
        <v>41912</v>
      </c>
      <c r="B1735" s="1">
        <v>54</v>
      </c>
    </row>
    <row r="1736" spans="1:2">
      <c r="A1736" s="112">
        <v>41913</v>
      </c>
      <c r="B1736" s="1">
        <v>49</v>
      </c>
    </row>
    <row r="1737" spans="1:2">
      <c r="A1737" s="112">
        <v>41914</v>
      </c>
      <c r="B1737" s="1">
        <v>50</v>
      </c>
    </row>
    <row r="1738" spans="1:2">
      <c r="A1738" s="112">
        <v>41915</v>
      </c>
      <c r="B1738" s="1">
        <v>59</v>
      </c>
    </row>
    <row r="1739" spans="1:2">
      <c r="A1739" s="112">
        <v>41916</v>
      </c>
      <c r="B1739" s="1">
        <v>73</v>
      </c>
    </row>
    <row r="1740" spans="1:2">
      <c r="A1740" s="112">
        <v>41917</v>
      </c>
      <c r="B1740" s="1">
        <v>88</v>
      </c>
    </row>
    <row r="1741" spans="1:2">
      <c r="A1741" s="112">
        <v>41918</v>
      </c>
      <c r="B1741" s="1">
        <v>100</v>
      </c>
    </row>
    <row r="1742" spans="1:2">
      <c r="A1742" s="112">
        <v>41919</v>
      </c>
      <c r="B1742" s="1">
        <v>108</v>
      </c>
    </row>
    <row r="1743" spans="1:2">
      <c r="A1743" s="112">
        <v>41920</v>
      </c>
      <c r="B1743" s="1">
        <v>110</v>
      </c>
    </row>
    <row r="1744" spans="1:2">
      <c r="A1744" s="112">
        <v>41921</v>
      </c>
      <c r="B1744" s="1">
        <v>106</v>
      </c>
    </row>
    <row r="1745" spans="1:2">
      <c r="A1745" s="112">
        <v>41922</v>
      </c>
      <c r="B1745" s="1">
        <v>97</v>
      </c>
    </row>
    <row r="1746" spans="1:2">
      <c r="A1746" s="112">
        <v>41923</v>
      </c>
      <c r="B1746" s="1">
        <v>85</v>
      </c>
    </row>
    <row r="1747" spans="1:2">
      <c r="A1747" s="112">
        <v>41924</v>
      </c>
      <c r="B1747" s="1">
        <v>71</v>
      </c>
    </row>
    <row r="1748" spans="1:2">
      <c r="A1748" s="112">
        <v>41925</v>
      </c>
      <c r="B1748" s="1">
        <v>57</v>
      </c>
    </row>
    <row r="1749" spans="1:2">
      <c r="A1749" s="112">
        <v>41926</v>
      </c>
      <c r="B1749" s="1">
        <v>45</v>
      </c>
    </row>
    <row r="1750" spans="1:2">
      <c r="A1750" s="112">
        <v>41927</v>
      </c>
      <c r="B1750" s="1">
        <v>37</v>
      </c>
    </row>
    <row r="1751" spans="1:2">
      <c r="A1751" s="112">
        <v>41928</v>
      </c>
      <c r="B1751" s="1">
        <v>36</v>
      </c>
    </row>
    <row r="1752" spans="1:2">
      <c r="A1752" s="112">
        <v>41929</v>
      </c>
      <c r="B1752" s="1">
        <v>41</v>
      </c>
    </row>
    <row r="1753" spans="1:2">
      <c r="A1753" s="112">
        <v>41930</v>
      </c>
      <c r="B1753" s="1">
        <v>50</v>
      </c>
    </row>
    <row r="1754" spans="1:2">
      <c r="A1754" s="112">
        <v>41931</v>
      </c>
      <c r="B1754" s="1">
        <v>60</v>
      </c>
    </row>
    <row r="1755" spans="1:2">
      <c r="A1755" s="112">
        <v>41932</v>
      </c>
      <c r="B1755" s="1">
        <v>70</v>
      </c>
    </row>
    <row r="1756" spans="1:2">
      <c r="A1756" s="112">
        <v>41933</v>
      </c>
      <c r="B1756" s="1">
        <v>79</v>
      </c>
    </row>
    <row r="1757" spans="1:2">
      <c r="A1757" s="112">
        <v>41934</v>
      </c>
      <c r="B1757" s="1">
        <v>86</v>
      </c>
    </row>
    <row r="1758" spans="1:2">
      <c r="A1758" s="112">
        <v>41935</v>
      </c>
      <c r="B1758" s="1">
        <v>90</v>
      </c>
    </row>
    <row r="1759" spans="1:2">
      <c r="A1759" s="112">
        <v>41936</v>
      </c>
      <c r="B1759" s="1">
        <v>92</v>
      </c>
    </row>
    <row r="1760" spans="1:2">
      <c r="A1760" s="112">
        <v>41937</v>
      </c>
      <c r="B1760" s="1">
        <v>90</v>
      </c>
    </row>
    <row r="1761" spans="1:2">
      <c r="A1761" s="112">
        <v>41938</v>
      </c>
      <c r="B1761" s="1">
        <v>85</v>
      </c>
    </row>
    <row r="1762" spans="1:2">
      <c r="A1762" s="112">
        <v>41939</v>
      </c>
      <c r="B1762" s="1">
        <v>79</v>
      </c>
    </row>
    <row r="1763" spans="1:2">
      <c r="A1763" s="112">
        <v>41940</v>
      </c>
      <c r="B1763" s="1">
        <v>69</v>
      </c>
    </row>
    <row r="1764" spans="1:2">
      <c r="A1764" s="112">
        <v>41941</v>
      </c>
      <c r="B1764" s="1">
        <v>59</v>
      </c>
    </row>
    <row r="1765" spans="1:2">
      <c r="A1765" s="112">
        <v>41942</v>
      </c>
      <c r="B1765" s="1">
        <v>53</v>
      </c>
    </row>
    <row r="1766" spans="1:2">
      <c r="A1766" s="112">
        <v>41943</v>
      </c>
      <c r="B1766" s="1">
        <v>55</v>
      </c>
    </row>
    <row r="1767" spans="1:2">
      <c r="A1767" s="112">
        <v>41944</v>
      </c>
      <c r="B1767" s="1">
        <v>61</v>
      </c>
    </row>
    <row r="1768" spans="1:2">
      <c r="A1768" s="112">
        <v>41945</v>
      </c>
      <c r="B1768" s="1">
        <v>72</v>
      </c>
    </row>
    <row r="1769" spans="1:2">
      <c r="A1769" s="112">
        <v>41946</v>
      </c>
      <c r="B1769" s="1">
        <v>84</v>
      </c>
    </row>
    <row r="1770" spans="1:2">
      <c r="A1770" s="112">
        <v>41947</v>
      </c>
      <c r="B1770" s="1">
        <v>93</v>
      </c>
    </row>
    <row r="1771" spans="1:2">
      <c r="A1771" s="112">
        <v>41948</v>
      </c>
      <c r="B1771" s="1">
        <v>99</v>
      </c>
    </row>
    <row r="1772" spans="1:2">
      <c r="A1772" s="112">
        <v>41949</v>
      </c>
      <c r="B1772" s="1">
        <v>100</v>
      </c>
    </row>
    <row r="1773" spans="1:2">
      <c r="A1773" s="112">
        <v>41950</v>
      </c>
      <c r="B1773" s="1">
        <v>97</v>
      </c>
    </row>
    <row r="1774" spans="1:2">
      <c r="A1774" s="112">
        <v>41951</v>
      </c>
      <c r="B1774" s="1">
        <v>91</v>
      </c>
    </row>
    <row r="1775" spans="1:2">
      <c r="A1775" s="112">
        <v>41952</v>
      </c>
      <c r="B1775" s="1">
        <v>82</v>
      </c>
    </row>
    <row r="1776" spans="1:2">
      <c r="A1776" s="112">
        <v>41953</v>
      </c>
      <c r="B1776" s="1">
        <v>71</v>
      </c>
    </row>
    <row r="1777" spans="1:2">
      <c r="A1777" s="112">
        <v>41954</v>
      </c>
      <c r="B1777" s="1">
        <v>60</v>
      </c>
    </row>
    <row r="1778" spans="1:2">
      <c r="A1778" s="112">
        <v>41955</v>
      </c>
      <c r="B1778" s="1">
        <v>50</v>
      </c>
    </row>
    <row r="1779" spans="1:2">
      <c r="A1779" s="112">
        <v>41956</v>
      </c>
      <c r="B1779" s="1">
        <v>42</v>
      </c>
    </row>
    <row r="1780" spans="1:2">
      <c r="A1780" s="112">
        <v>41957</v>
      </c>
      <c r="B1780" s="1">
        <v>38</v>
      </c>
    </row>
    <row r="1781" spans="1:2">
      <c r="A1781" s="112">
        <v>41958</v>
      </c>
      <c r="B1781" s="1">
        <v>40</v>
      </c>
    </row>
    <row r="1782" spans="1:2">
      <c r="A1782" s="112">
        <v>41959</v>
      </c>
      <c r="B1782" s="1">
        <v>46</v>
      </c>
    </row>
    <row r="1783" spans="1:2">
      <c r="A1783" s="112">
        <v>41960</v>
      </c>
      <c r="B1783" s="1">
        <v>55</v>
      </c>
    </row>
    <row r="1784" spans="1:2">
      <c r="A1784" s="112">
        <v>41961</v>
      </c>
      <c r="B1784" s="1">
        <v>64</v>
      </c>
    </row>
    <row r="1785" spans="1:2">
      <c r="A1785" s="112">
        <v>41962</v>
      </c>
      <c r="B1785" s="1">
        <v>74</v>
      </c>
    </row>
    <row r="1786" spans="1:2">
      <c r="A1786" s="112">
        <v>41963</v>
      </c>
      <c r="B1786" s="1">
        <v>82</v>
      </c>
    </row>
    <row r="1787" spans="1:2">
      <c r="A1787" s="112">
        <v>41964</v>
      </c>
      <c r="B1787" s="1">
        <v>88</v>
      </c>
    </row>
    <row r="1788" spans="1:2">
      <c r="A1788" s="112">
        <v>41965</v>
      </c>
      <c r="B1788" s="1">
        <v>92</v>
      </c>
    </row>
    <row r="1789" spans="1:2">
      <c r="A1789" s="112">
        <v>41966</v>
      </c>
      <c r="B1789" s="1">
        <v>93</v>
      </c>
    </row>
    <row r="1790" spans="1:2">
      <c r="A1790" s="112">
        <v>41967</v>
      </c>
      <c r="B1790" s="1">
        <v>90</v>
      </c>
    </row>
    <row r="1791" spans="1:2">
      <c r="A1791" s="112">
        <v>41968</v>
      </c>
      <c r="B1791" s="1">
        <v>85</v>
      </c>
    </row>
    <row r="1792" spans="1:2">
      <c r="A1792" s="112">
        <v>41969</v>
      </c>
      <c r="B1792" s="1">
        <v>76</v>
      </c>
    </row>
    <row r="1793" spans="1:2">
      <c r="A1793" s="112">
        <v>41970</v>
      </c>
      <c r="B1793" s="1">
        <v>69</v>
      </c>
    </row>
    <row r="1794" spans="1:2">
      <c r="A1794" s="112">
        <v>41971</v>
      </c>
      <c r="B1794" s="1">
        <v>62</v>
      </c>
    </row>
    <row r="1795" spans="1:2">
      <c r="A1795" s="112">
        <v>41972</v>
      </c>
      <c r="B1795" s="1">
        <v>59</v>
      </c>
    </row>
    <row r="1796" spans="1:2">
      <c r="A1796" s="112">
        <v>41973</v>
      </c>
      <c r="B1796" s="1">
        <v>61</v>
      </c>
    </row>
    <row r="1797" spans="1:2">
      <c r="A1797" s="112">
        <v>41974</v>
      </c>
      <c r="B1797" s="1">
        <v>67</v>
      </c>
    </row>
    <row r="1798" spans="1:2">
      <c r="A1798" s="112">
        <v>41975</v>
      </c>
      <c r="B1798" s="1">
        <v>74</v>
      </c>
    </row>
    <row r="1799" spans="1:2">
      <c r="A1799" s="112">
        <v>41976</v>
      </c>
      <c r="B1799" s="1">
        <v>81</v>
      </c>
    </row>
    <row r="1800" spans="1:2">
      <c r="A1800" s="112">
        <v>41977</v>
      </c>
      <c r="B1800" s="1">
        <v>86</v>
      </c>
    </row>
    <row r="1801" spans="1:2">
      <c r="A1801" s="112">
        <v>41978</v>
      </c>
      <c r="B1801" s="1">
        <v>88</v>
      </c>
    </row>
    <row r="1802" spans="1:2">
      <c r="A1802" s="112">
        <v>41979</v>
      </c>
      <c r="B1802" s="1">
        <v>88</v>
      </c>
    </row>
    <row r="1803" spans="1:2">
      <c r="A1803" s="112">
        <v>41980</v>
      </c>
      <c r="B1803" s="1">
        <v>86</v>
      </c>
    </row>
    <row r="1804" spans="1:2">
      <c r="A1804" s="112">
        <v>41981</v>
      </c>
      <c r="B1804" s="1">
        <v>81</v>
      </c>
    </row>
    <row r="1805" spans="1:2">
      <c r="A1805" s="112">
        <v>41982</v>
      </c>
      <c r="B1805" s="1">
        <v>74</v>
      </c>
    </row>
    <row r="1806" spans="1:2">
      <c r="A1806" s="112">
        <v>41983</v>
      </c>
      <c r="B1806" s="1">
        <v>66</v>
      </c>
    </row>
    <row r="1807" spans="1:2">
      <c r="A1807" s="112">
        <v>41984</v>
      </c>
      <c r="B1807" s="1">
        <v>58</v>
      </c>
    </row>
    <row r="1808" spans="1:2">
      <c r="A1808" s="112">
        <v>41985</v>
      </c>
      <c r="B1808" s="1">
        <v>51</v>
      </c>
    </row>
    <row r="1809" spans="1:2">
      <c r="A1809" s="112">
        <v>41986</v>
      </c>
      <c r="B1809" s="1">
        <v>45</v>
      </c>
    </row>
    <row r="1810" spans="1:2">
      <c r="A1810" s="112">
        <v>41987</v>
      </c>
      <c r="B1810" s="1">
        <v>42</v>
      </c>
    </row>
    <row r="1811" spans="1:2">
      <c r="A1811" s="112">
        <v>41988</v>
      </c>
      <c r="B1811" s="1">
        <v>43</v>
      </c>
    </row>
    <row r="1812" spans="1:2">
      <c r="A1812" s="112">
        <v>41989</v>
      </c>
      <c r="B1812" s="1">
        <v>48</v>
      </c>
    </row>
    <row r="1813" spans="1:2">
      <c r="A1813" s="112">
        <v>41990</v>
      </c>
      <c r="B1813" s="1">
        <v>56</v>
      </c>
    </row>
    <row r="1814" spans="1:2">
      <c r="A1814" s="112">
        <v>41991</v>
      </c>
      <c r="B1814" s="1">
        <v>66</v>
      </c>
    </row>
    <row r="1815" spans="1:2">
      <c r="A1815" s="112">
        <v>41992</v>
      </c>
      <c r="B1815" s="1">
        <v>76</v>
      </c>
    </row>
    <row r="1816" spans="1:2">
      <c r="A1816" s="112">
        <v>41993</v>
      </c>
      <c r="B1816" s="1">
        <v>86</v>
      </c>
    </row>
    <row r="1817" spans="1:2">
      <c r="A1817" s="112">
        <v>41994</v>
      </c>
      <c r="B1817" s="1">
        <v>93</v>
      </c>
    </row>
    <row r="1818" spans="1:2">
      <c r="A1818" s="112">
        <v>41995</v>
      </c>
      <c r="B1818" s="1">
        <v>97</v>
      </c>
    </row>
    <row r="1819" spans="1:2">
      <c r="A1819" s="112">
        <v>41996</v>
      </c>
      <c r="B1819" s="1">
        <v>98</v>
      </c>
    </row>
    <row r="1820" spans="1:2">
      <c r="A1820" s="112">
        <v>41997</v>
      </c>
      <c r="B1820" s="1">
        <v>95</v>
      </c>
    </row>
    <row r="1821" spans="1:2">
      <c r="A1821" s="112">
        <v>41998</v>
      </c>
      <c r="B1821" s="1">
        <v>89</v>
      </c>
    </row>
    <row r="1822" spans="1:2">
      <c r="A1822" s="112">
        <v>41999</v>
      </c>
      <c r="B1822" s="1">
        <v>80</v>
      </c>
    </row>
    <row r="1823" spans="1:2">
      <c r="A1823" s="112">
        <v>42000</v>
      </c>
      <c r="B1823" s="1">
        <v>71</v>
      </c>
    </row>
    <row r="1824" spans="1:2">
      <c r="A1824" s="112">
        <v>42001</v>
      </c>
      <c r="B1824" s="1">
        <v>62</v>
      </c>
    </row>
    <row r="1825" spans="1:2">
      <c r="A1825" s="112">
        <v>42002</v>
      </c>
      <c r="B1825" s="1">
        <v>58</v>
      </c>
    </row>
    <row r="1826" spans="1:2">
      <c r="A1826" s="112">
        <v>42003</v>
      </c>
      <c r="B1826" s="1">
        <v>58</v>
      </c>
    </row>
    <row r="1827" spans="1:2">
      <c r="A1827" s="112">
        <v>42004</v>
      </c>
      <c r="B1827" s="1">
        <v>61</v>
      </c>
    </row>
    <row r="1828" spans="1:2">
      <c r="A1828" s="112">
        <v>42005</v>
      </c>
      <c r="B1828" s="1">
        <v>67</v>
      </c>
    </row>
    <row r="1829" spans="1:2">
      <c r="A1829" s="112">
        <v>42006</v>
      </c>
      <c r="B1829" s="1">
        <v>73</v>
      </c>
    </row>
    <row r="1830" spans="1:2">
      <c r="A1830" s="112">
        <v>42007</v>
      </c>
      <c r="B1830" s="1">
        <v>78</v>
      </c>
    </row>
    <row r="1831" spans="1:2">
      <c r="A1831" s="112">
        <v>42008</v>
      </c>
      <c r="B1831" s="1">
        <v>82</v>
      </c>
    </row>
    <row r="1832" spans="1:2">
      <c r="A1832" s="112">
        <v>42009</v>
      </c>
      <c r="B1832" s="1">
        <v>83</v>
      </c>
    </row>
    <row r="1833" spans="1:2">
      <c r="A1833" s="112">
        <v>42010</v>
      </c>
      <c r="B1833" s="1">
        <v>82</v>
      </c>
    </row>
    <row r="1834" spans="1:2">
      <c r="A1834" s="112">
        <v>42011</v>
      </c>
      <c r="B1834" s="1">
        <v>79</v>
      </c>
    </row>
    <row r="1835" spans="1:2">
      <c r="A1835" s="112">
        <v>42012</v>
      </c>
      <c r="B1835" s="1">
        <v>74</v>
      </c>
    </row>
    <row r="1836" spans="1:2">
      <c r="A1836" s="112">
        <v>42013</v>
      </c>
      <c r="B1836" s="1">
        <v>68</v>
      </c>
    </row>
    <row r="1837" spans="1:2">
      <c r="A1837" s="112">
        <v>42014</v>
      </c>
      <c r="B1837" s="1">
        <v>61</v>
      </c>
    </row>
    <row r="1838" spans="1:2">
      <c r="A1838" s="112">
        <v>42015</v>
      </c>
      <c r="B1838" s="1">
        <v>54</v>
      </c>
    </row>
    <row r="1839" spans="1:2">
      <c r="A1839" s="112">
        <v>42016</v>
      </c>
      <c r="B1839" s="1">
        <v>48</v>
      </c>
    </row>
    <row r="1840" spans="1:2">
      <c r="A1840" s="112">
        <v>42017</v>
      </c>
      <c r="B1840" s="1">
        <v>44</v>
      </c>
    </row>
    <row r="1841" spans="1:2">
      <c r="A1841" s="112">
        <v>42018</v>
      </c>
      <c r="B1841" s="1">
        <v>43</v>
      </c>
    </row>
    <row r="1842" spans="1:2">
      <c r="A1842" s="112">
        <v>42019</v>
      </c>
      <c r="B1842" s="1">
        <v>49</v>
      </c>
    </row>
    <row r="1843" spans="1:2">
      <c r="A1843" s="112">
        <v>42020</v>
      </c>
      <c r="B1843" s="1">
        <v>59</v>
      </c>
    </row>
    <row r="1844" spans="1:2">
      <c r="A1844" s="112">
        <v>42021</v>
      </c>
      <c r="B1844" s="1">
        <v>71</v>
      </c>
    </row>
    <row r="1845" spans="1:2">
      <c r="A1845" s="112">
        <v>42022</v>
      </c>
      <c r="B1845" s="1">
        <v>83</v>
      </c>
    </row>
    <row r="1846" spans="1:2">
      <c r="A1846" s="112">
        <v>42023</v>
      </c>
      <c r="B1846" s="1">
        <v>94</v>
      </c>
    </row>
    <row r="1847" spans="1:2">
      <c r="A1847" s="112">
        <v>42024</v>
      </c>
      <c r="B1847" s="1">
        <v>104</v>
      </c>
    </row>
    <row r="1848" spans="1:2">
      <c r="A1848" s="112">
        <v>42025</v>
      </c>
      <c r="B1848" s="1">
        <v>107</v>
      </c>
    </row>
    <row r="1849" spans="1:2">
      <c r="A1849" s="112">
        <v>42026</v>
      </c>
      <c r="B1849" s="1">
        <v>107</v>
      </c>
    </row>
    <row r="1850" spans="1:2">
      <c r="A1850" s="112">
        <v>42027</v>
      </c>
      <c r="B1850" s="1">
        <v>100</v>
      </c>
    </row>
    <row r="1851" spans="1:2">
      <c r="A1851" s="112">
        <v>42028</v>
      </c>
      <c r="B1851" s="1">
        <v>89</v>
      </c>
    </row>
    <row r="1852" spans="1:2">
      <c r="A1852" s="112">
        <v>42029</v>
      </c>
      <c r="B1852" s="1">
        <v>77</v>
      </c>
    </row>
    <row r="1853" spans="1:2">
      <c r="A1853" s="112">
        <v>42030</v>
      </c>
      <c r="B1853" s="1">
        <v>63</v>
      </c>
    </row>
    <row r="1854" spans="1:2">
      <c r="A1854" s="112">
        <v>42031</v>
      </c>
      <c r="B1854" s="1">
        <v>53</v>
      </c>
    </row>
    <row r="1855" spans="1:2">
      <c r="A1855" s="112">
        <v>42032</v>
      </c>
      <c r="B1855" s="1">
        <v>48</v>
      </c>
    </row>
    <row r="1856" spans="1:2">
      <c r="A1856" s="112">
        <v>42033</v>
      </c>
      <c r="B1856" s="1">
        <v>50</v>
      </c>
    </row>
    <row r="1857" spans="1:2">
      <c r="A1857" s="112">
        <v>42034</v>
      </c>
      <c r="B1857" s="1">
        <v>56</v>
      </c>
    </row>
    <row r="1858" spans="1:2">
      <c r="A1858" s="112">
        <v>42035</v>
      </c>
      <c r="B1858" s="1">
        <v>64</v>
      </c>
    </row>
    <row r="1859" spans="1:2">
      <c r="A1859" s="112">
        <v>42036</v>
      </c>
      <c r="B1859" s="1">
        <v>72</v>
      </c>
    </row>
    <row r="1860" spans="1:2">
      <c r="A1860" s="112">
        <v>42037</v>
      </c>
      <c r="B1860" s="1">
        <v>78</v>
      </c>
    </row>
    <row r="1861" spans="1:2">
      <c r="A1861" s="112">
        <v>42038</v>
      </c>
      <c r="B1861" s="1">
        <v>82</v>
      </c>
    </row>
    <row r="1862" spans="1:2">
      <c r="A1862" s="112">
        <v>42039</v>
      </c>
      <c r="B1862" s="1">
        <v>84</v>
      </c>
    </row>
    <row r="1863" spans="1:2">
      <c r="A1863" s="112">
        <v>42040</v>
      </c>
      <c r="B1863" s="1">
        <v>84</v>
      </c>
    </row>
    <row r="1864" spans="1:2">
      <c r="A1864" s="112">
        <v>42041</v>
      </c>
      <c r="B1864" s="1">
        <v>82</v>
      </c>
    </row>
    <row r="1865" spans="1:2">
      <c r="A1865" s="112">
        <v>42042</v>
      </c>
      <c r="B1865" s="1">
        <v>77</v>
      </c>
    </row>
    <row r="1866" spans="1:2">
      <c r="A1866" s="112">
        <v>42043</v>
      </c>
      <c r="B1866" s="1">
        <v>71</v>
      </c>
    </row>
    <row r="1867" spans="1:2">
      <c r="A1867" s="112">
        <v>42044</v>
      </c>
      <c r="B1867" s="1">
        <v>63</v>
      </c>
    </row>
    <row r="1868" spans="1:2">
      <c r="A1868" s="112">
        <v>42045</v>
      </c>
      <c r="B1868" s="1">
        <v>55</v>
      </c>
    </row>
    <row r="1869" spans="1:2">
      <c r="A1869" s="112">
        <v>42046</v>
      </c>
      <c r="B1869" s="1">
        <v>47</v>
      </c>
    </row>
    <row r="1870" spans="1:2">
      <c r="A1870" s="112">
        <v>42047</v>
      </c>
      <c r="B1870" s="1">
        <v>43</v>
      </c>
    </row>
    <row r="1871" spans="1:2">
      <c r="A1871" s="112">
        <v>42048</v>
      </c>
      <c r="B1871" s="1">
        <v>45</v>
      </c>
    </row>
    <row r="1872" spans="1:2">
      <c r="A1872" s="112">
        <v>42049</v>
      </c>
      <c r="B1872" s="1">
        <v>53</v>
      </c>
    </row>
    <row r="1873" spans="1:2">
      <c r="A1873" s="112">
        <v>42050</v>
      </c>
      <c r="B1873" s="1">
        <v>67</v>
      </c>
    </row>
    <row r="1874" spans="1:2">
      <c r="A1874" s="112">
        <v>42051</v>
      </c>
      <c r="B1874" s="1">
        <v>83</v>
      </c>
    </row>
    <row r="1875" spans="1:2">
      <c r="A1875" s="112">
        <v>42052</v>
      </c>
      <c r="B1875" s="1">
        <v>97</v>
      </c>
    </row>
    <row r="1876" spans="1:2">
      <c r="A1876" s="112">
        <v>42053</v>
      </c>
      <c r="B1876" s="1">
        <v>109</v>
      </c>
    </row>
    <row r="1877" spans="1:2">
      <c r="A1877" s="112">
        <v>42054</v>
      </c>
      <c r="B1877" s="1">
        <v>115</v>
      </c>
    </row>
    <row r="1878" spans="1:2">
      <c r="A1878" s="112">
        <v>42055</v>
      </c>
      <c r="B1878" s="1">
        <v>114</v>
      </c>
    </row>
    <row r="1879" spans="1:2">
      <c r="A1879" s="112">
        <v>42056</v>
      </c>
      <c r="B1879" s="1">
        <v>107</v>
      </c>
    </row>
    <row r="1880" spans="1:2">
      <c r="A1880" s="112">
        <v>42057</v>
      </c>
      <c r="B1880" s="1">
        <v>94</v>
      </c>
    </row>
    <row r="1881" spans="1:2">
      <c r="A1881" s="112">
        <v>42058</v>
      </c>
      <c r="B1881" s="1">
        <v>78</v>
      </c>
    </row>
    <row r="1882" spans="1:2">
      <c r="A1882" s="112">
        <v>42059</v>
      </c>
      <c r="B1882" s="1">
        <v>62</v>
      </c>
    </row>
    <row r="1883" spans="1:2">
      <c r="A1883" s="112">
        <v>42060</v>
      </c>
      <c r="B1883" s="1">
        <v>49</v>
      </c>
    </row>
    <row r="1884" spans="1:2">
      <c r="A1884" s="112">
        <v>42061</v>
      </c>
      <c r="B1884" s="1">
        <v>41</v>
      </c>
    </row>
    <row r="1885" spans="1:2">
      <c r="A1885" s="112">
        <v>42062</v>
      </c>
      <c r="B1885" s="1">
        <v>42</v>
      </c>
    </row>
    <row r="1886" spans="1:2">
      <c r="A1886" s="112">
        <v>42063</v>
      </c>
      <c r="B1886" s="1">
        <v>49</v>
      </c>
    </row>
    <row r="1887" spans="1:2">
      <c r="A1887" s="112">
        <v>42064</v>
      </c>
      <c r="B1887" s="1">
        <v>58</v>
      </c>
    </row>
    <row r="1888" spans="1:2">
      <c r="A1888" s="112">
        <v>42065</v>
      </c>
      <c r="B1888" s="1">
        <v>68</v>
      </c>
    </row>
    <row r="1889" spans="1:2">
      <c r="A1889" s="112">
        <v>42066</v>
      </c>
      <c r="B1889" s="1">
        <v>76</v>
      </c>
    </row>
    <row r="1890" spans="1:2">
      <c r="A1890" s="112">
        <v>42067</v>
      </c>
      <c r="B1890" s="1">
        <v>82</v>
      </c>
    </row>
    <row r="1891" spans="1:2">
      <c r="A1891" s="112">
        <v>42068</v>
      </c>
      <c r="B1891" s="1">
        <v>86</v>
      </c>
    </row>
    <row r="1892" spans="1:2">
      <c r="A1892" s="112">
        <v>42069</v>
      </c>
      <c r="B1892" s="1">
        <v>87</v>
      </c>
    </row>
    <row r="1893" spans="1:2">
      <c r="A1893" s="112">
        <v>42070</v>
      </c>
      <c r="B1893" s="1">
        <v>86</v>
      </c>
    </row>
    <row r="1894" spans="1:2">
      <c r="A1894" s="112">
        <v>42071</v>
      </c>
      <c r="B1894" s="1">
        <v>83</v>
      </c>
    </row>
    <row r="1895" spans="1:2">
      <c r="A1895" s="112">
        <v>42072</v>
      </c>
      <c r="B1895" s="1">
        <v>77</v>
      </c>
    </row>
    <row r="1896" spans="1:2">
      <c r="A1896" s="112">
        <v>42073</v>
      </c>
      <c r="B1896" s="1">
        <v>69</v>
      </c>
    </row>
    <row r="1897" spans="1:2">
      <c r="A1897" s="112">
        <v>42074</v>
      </c>
      <c r="B1897" s="1">
        <v>60</v>
      </c>
    </row>
    <row r="1898" spans="1:2">
      <c r="A1898" s="112">
        <v>42075</v>
      </c>
      <c r="B1898" s="1">
        <v>50</v>
      </c>
    </row>
    <row r="1899" spans="1:2">
      <c r="A1899" s="112">
        <v>42076</v>
      </c>
      <c r="B1899" s="1">
        <v>44</v>
      </c>
    </row>
    <row r="1900" spans="1:2">
      <c r="A1900" s="112">
        <v>42077</v>
      </c>
      <c r="B1900" s="1">
        <v>44</v>
      </c>
    </row>
    <row r="1901" spans="1:2">
      <c r="A1901" s="112">
        <v>42078</v>
      </c>
      <c r="B1901" s="1">
        <v>53</v>
      </c>
    </row>
    <row r="1902" spans="1:2">
      <c r="A1902" s="112">
        <v>42079</v>
      </c>
      <c r="B1902" s="1">
        <v>67</v>
      </c>
    </row>
    <row r="1903" spans="1:2">
      <c r="A1903" s="112">
        <v>42080</v>
      </c>
      <c r="B1903" s="1">
        <v>84</v>
      </c>
    </row>
    <row r="1904" spans="1:2">
      <c r="A1904" s="112">
        <v>42081</v>
      </c>
      <c r="B1904" s="1">
        <v>99</v>
      </c>
    </row>
    <row r="1905" spans="1:2">
      <c r="A1905" s="112">
        <v>42082</v>
      </c>
      <c r="B1905" s="1">
        <v>111</v>
      </c>
    </row>
    <row r="1906" spans="1:2">
      <c r="A1906" s="112">
        <v>42083</v>
      </c>
      <c r="B1906" s="1">
        <v>116</v>
      </c>
    </row>
    <row r="1907" spans="1:2">
      <c r="A1907" s="112">
        <v>42084</v>
      </c>
      <c r="B1907" s="1">
        <v>114</v>
      </c>
    </row>
    <row r="1908" spans="1:2">
      <c r="A1908" s="112">
        <v>42085</v>
      </c>
      <c r="B1908" s="1">
        <v>106</v>
      </c>
    </row>
    <row r="1909" spans="1:2">
      <c r="A1909" s="112">
        <v>42086</v>
      </c>
      <c r="B1909" s="1">
        <v>93</v>
      </c>
    </row>
    <row r="1910" spans="1:2">
      <c r="A1910" s="112">
        <v>42087</v>
      </c>
      <c r="B1910" s="1">
        <v>77</v>
      </c>
    </row>
    <row r="1911" spans="1:2">
      <c r="A1911" s="112">
        <v>42088</v>
      </c>
      <c r="B1911" s="1">
        <v>61</v>
      </c>
    </row>
    <row r="1912" spans="1:2">
      <c r="A1912" s="112">
        <v>42089</v>
      </c>
      <c r="B1912" s="1">
        <v>47</v>
      </c>
    </row>
    <row r="1913" spans="1:2">
      <c r="A1913" s="112">
        <v>42090</v>
      </c>
      <c r="B1913" s="1">
        <v>39</v>
      </c>
    </row>
    <row r="1914" spans="1:2">
      <c r="A1914" s="112">
        <v>42091</v>
      </c>
      <c r="B1914" s="1">
        <v>39</v>
      </c>
    </row>
    <row r="1915" spans="1:2">
      <c r="A1915" s="112">
        <v>42092</v>
      </c>
      <c r="B1915" s="1">
        <v>45</v>
      </c>
    </row>
    <row r="1916" spans="1:2">
      <c r="A1916" s="112">
        <v>42093</v>
      </c>
      <c r="B1916" s="1">
        <v>54</v>
      </c>
    </row>
    <row r="1917" spans="1:2">
      <c r="A1917" s="112">
        <v>42094</v>
      </c>
      <c r="B1917" s="1">
        <v>64</v>
      </c>
    </row>
    <row r="1918" spans="1:2">
      <c r="A1918" s="112">
        <v>42095</v>
      </c>
      <c r="B1918" s="1">
        <v>73</v>
      </c>
    </row>
    <row r="1919" spans="1:2">
      <c r="A1919" s="112">
        <v>42096</v>
      </c>
      <c r="B1919" s="1">
        <v>80</v>
      </c>
    </row>
    <row r="1920" spans="1:2">
      <c r="A1920" s="112">
        <v>42097</v>
      </c>
      <c r="B1920" s="1">
        <v>85</v>
      </c>
    </row>
    <row r="1921" spans="1:2">
      <c r="A1921" s="112">
        <v>42098</v>
      </c>
      <c r="B1921" s="1">
        <v>87</v>
      </c>
    </row>
    <row r="1922" spans="1:2">
      <c r="A1922" s="112">
        <v>42099</v>
      </c>
      <c r="B1922" s="1">
        <v>87</v>
      </c>
    </row>
    <row r="1923" spans="1:2">
      <c r="A1923" s="112">
        <v>42100</v>
      </c>
      <c r="B1923" s="1">
        <v>85</v>
      </c>
    </row>
    <row r="1924" spans="1:2">
      <c r="A1924" s="112">
        <v>42101</v>
      </c>
      <c r="B1924" s="1">
        <v>80</v>
      </c>
    </row>
    <row r="1925" spans="1:2">
      <c r="A1925" s="112">
        <v>42102</v>
      </c>
      <c r="B1925" s="1">
        <v>73</v>
      </c>
    </row>
    <row r="1926" spans="1:2">
      <c r="A1926" s="112">
        <v>42103</v>
      </c>
      <c r="B1926" s="1">
        <v>64</v>
      </c>
    </row>
    <row r="1927" spans="1:2">
      <c r="A1927" s="112">
        <v>42104</v>
      </c>
      <c r="B1927" s="1">
        <v>55</v>
      </c>
    </row>
    <row r="1928" spans="1:2">
      <c r="A1928" s="112">
        <v>42105</v>
      </c>
      <c r="B1928" s="1">
        <v>48</v>
      </c>
    </row>
    <row r="1929" spans="1:2">
      <c r="A1929" s="112">
        <v>42106</v>
      </c>
      <c r="B1929" s="1">
        <v>49</v>
      </c>
    </row>
    <row r="1930" spans="1:2">
      <c r="A1930" s="112">
        <v>42107</v>
      </c>
      <c r="B1930" s="1">
        <v>57</v>
      </c>
    </row>
    <row r="1931" spans="1:2">
      <c r="A1931" s="112">
        <v>42108</v>
      </c>
      <c r="B1931" s="1">
        <v>70</v>
      </c>
    </row>
    <row r="1932" spans="1:2">
      <c r="A1932" s="112">
        <v>42109</v>
      </c>
      <c r="B1932" s="1">
        <v>85</v>
      </c>
    </row>
    <row r="1933" spans="1:2">
      <c r="A1933" s="112">
        <v>42110</v>
      </c>
      <c r="B1933" s="1">
        <v>97</v>
      </c>
    </row>
    <row r="1934" spans="1:2">
      <c r="A1934" s="112">
        <v>42111</v>
      </c>
      <c r="B1934" s="1">
        <v>106</v>
      </c>
    </row>
    <row r="1935" spans="1:2">
      <c r="A1935" s="112">
        <v>42112</v>
      </c>
      <c r="B1935" s="1">
        <v>110</v>
      </c>
    </row>
    <row r="1936" spans="1:2">
      <c r="A1936" s="112">
        <v>42113</v>
      </c>
      <c r="B1936" s="1">
        <v>107</v>
      </c>
    </row>
    <row r="1937" spans="1:2">
      <c r="A1937" s="112">
        <v>42114</v>
      </c>
      <c r="B1937" s="1">
        <v>100</v>
      </c>
    </row>
    <row r="1938" spans="1:2">
      <c r="A1938" s="112">
        <v>42115</v>
      </c>
      <c r="B1938" s="1">
        <v>88</v>
      </c>
    </row>
    <row r="1939" spans="1:2">
      <c r="A1939" s="112">
        <v>42116</v>
      </c>
      <c r="B1939" s="1">
        <v>75</v>
      </c>
    </row>
    <row r="1940" spans="1:2">
      <c r="A1940" s="112">
        <v>42117</v>
      </c>
      <c r="B1940" s="1">
        <v>61</v>
      </c>
    </row>
    <row r="1941" spans="1:2">
      <c r="A1941" s="112">
        <v>42118</v>
      </c>
      <c r="B1941" s="1">
        <v>49</v>
      </c>
    </row>
    <row r="1942" spans="1:2">
      <c r="A1942" s="112">
        <v>42119</v>
      </c>
      <c r="B1942" s="1">
        <v>41</v>
      </c>
    </row>
    <row r="1943" spans="1:2">
      <c r="A1943" s="112">
        <v>42120</v>
      </c>
      <c r="B1943" s="1">
        <v>39</v>
      </c>
    </row>
    <row r="1944" spans="1:2">
      <c r="A1944" s="112">
        <v>42121</v>
      </c>
      <c r="B1944" s="1">
        <v>43</v>
      </c>
    </row>
    <row r="1945" spans="1:2">
      <c r="A1945" s="112">
        <v>42122</v>
      </c>
      <c r="B1945" s="1">
        <v>51</v>
      </c>
    </row>
    <row r="1946" spans="1:2">
      <c r="A1946" s="112">
        <v>42123</v>
      </c>
      <c r="B1946" s="1">
        <v>59</v>
      </c>
    </row>
    <row r="1947" spans="1:2">
      <c r="A1947" s="112">
        <v>42124</v>
      </c>
      <c r="B1947" s="1">
        <v>68</v>
      </c>
    </row>
    <row r="1948" spans="1:2">
      <c r="A1948" s="112">
        <v>42125</v>
      </c>
      <c r="B1948" s="1">
        <v>75</v>
      </c>
    </row>
    <row r="1949" spans="1:2">
      <c r="A1949" s="112">
        <v>42126</v>
      </c>
      <c r="B1949" s="1">
        <v>81</v>
      </c>
    </row>
    <row r="1950" spans="1:2">
      <c r="A1950" s="112">
        <v>42127</v>
      </c>
      <c r="B1950" s="1">
        <v>85</v>
      </c>
    </row>
    <row r="1951" spans="1:2">
      <c r="A1951" s="112">
        <v>42128</v>
      </c>
      <c r="B1951" s="1">
        <v>87</v>
      </c>
    </row>
    <row r="1952" spans="1:2">
      <c r="A1952" s="112">
        <v>42129</v>
      </c>
      <c r="B1952" s="1">
        <v>86</v>
      </c>
    </row>
    <row r="1953" spans="1:2">
      <c r="A1953" s="112">
        <v>42130</v>
      </c>
      <c r="B1953" s="1">
        <v>82</v>
      </c>
    </row>
    <row r="1954" spans="1:2">
      <c r="A1954" s="112">
        <v>42131</v>
      </c>
      <c r="B1954" s="1">
        <v>76</v>
      </c>
    </row>
    <row r="1955" spans="1:2">
      <c r="A1955" s="112">
        <v>42132</v>
      </c>
      <c r="B1955" s="1">
        <v>69</v>
      </c>
    </row>
    <row r="1956" spans="1:2">
      <c r="A1956" s="112">
        <v>42133</v>
      </c>
      <c r="B1956" s="1">
        <v>61</v>
      </c>
    </row>
    <row r="1957" spans="1:2">
      <c r="A1957" s="112">
        <v>42134</v>
      </c>
      <c r="B1957" s="1">
        <v>56</v>
      </c>
    </row>
    <row r="1958" spans="1:2">
      <c r="A1958" s="112">
        <v>42135</v>
      </c>
      <c r="B1958" s="1">
        <v>56</v>
      </c>
    </row>
    <row r="1959" spans="1:2">
      <c r="A1959" s="112">
        <v>42136</v>
      </c>
      <c r="B1959" s="1">
        <v>62</v>
      </c>
    </row>
    <row r="1960" spans="1:2">
      <c r="A1960" s="112">
        <v>42137</v>
      </c>
      <c r="B1960" s="1">
        <v>71</v>
      </c>
    </row>
    <row r="1961" spans="1:2">
      <c r="A1961" s="112">
        <v>42138</v>
      </c>
      <c r="B1961" s="1">
        <v>81</v>
      </c>
    </row>
    <row r="1962" spans="1:2">
      <c r="A1962" s="112">
        <v>42139</v>
      </c>
      <c r="B1962" s="1">
        <v>90</v>
      </c>
    </row>
    <row r="1963" spans="1:2">
      <c r="A1963" s="112">
        <v>42140</v>
      </c>
      <c r="B1963" s="1">
        <v>96</v>
      </c>
    </row>
    <row r="1964" spans="1:2">
      <c r="A1964" s="112">
        <v>42141</v>
      </c>
      <c r="B1964" s="1">
        <v>99</v>
      </c>
    </row>
    <row r="1965" spans="1:2">
      <c r="A1965" s="112">
        <v>42142</v>
      </c>
      <c r="B1965" s="1">
        <v>97</v>
      </c>
    </row>
    <row r="1966" spans="1:2">
      <c r="A1966" s="112">
        <v>42143</v>
      </c>
      <c r="B1966" s="1">
        <v>92</v>
      </c>
    </row>
    <row r="1967" spans="1:2">
      <c r="A1967" s="112">
        <v>42144</v>
      </c>
      <c r="B1967" s="1">
        <v>84</v>
      </c>
    </row>
    <row r="1968" spans="1:2">
      <c r="A1968" s="112">
        <v>42145</v>
      </c>
      <c r="B1968" s="1">
        <v>74</v>
      </c>
    </row>
    <row r="1969" spans="1:2">
      <c r="A1969" s="112">
        <v>42146</v>
      </c>
      <c r="B1969" s="1">
        <v>63</v>
      </c>
    </row>
    <row r="1970" spans="1:2">
      <c r="A1970" s="112">
        <v>42147</v>
      </c>
      <c r="B1970" s="1">
        <v>54</v>
      </c>
    </row>
    <row r="1971" spans="1:2">
      <c r="A1971" s="112">
        <v>42148</v>
      </c>
      <c r="B1971" s="1">
        <v>46</v>
      </c>
    </row>
    <row r="1972" spans="1:2">
      <c r="A1972" s="112">
        <v>42149</v>
      </c>
      <c r="B1972" s="1">
        <v>42</v>
      </c>
    </row>
    <row r="1973" spans="1:2">
      <c r="A1973" s="112">
        <v>42150</v>
      </c>
      <c r="B1973" s="1">
        <v>43</v>
      </c>
    </row>
    <row r="1974" spans="1:2">
      <c r="A1974" s="112">
        <v>42151</v>
      </c>
      <c r="B1974" s="1">
        <v>47</v>
      </c>
    </row>
    <row r="1975" spans="1:2">
      <c r="A1975" s="112">
        <v>42152</v>
      </c>
      <c r="B1975" s="1">
        <v>54</v>
      </c>
    </row>
    <row r="1976" spans="1:2">
      <c r="A1976" s="112">
        <v>42153</v>
      </c>
      <c r="B1976" s="1">
        <v>62</v>
      </c>
    </row>
    <row r="1977" spans="1:2">
      <c r="A1977" s="112">
        <v>42154</v>
      </c>
      <c r="B1977" s="1">
        <v>69</v>
      </c>
    </row>
    <row r="1978" spans="1:2">
      <c r="A1978" s="112">
        <v>42155</v>
      </c>
      <c r="B1978" s="1">
        <v>77</v>
      </c>
    </row>
    <row r="1979" spans="1:2">
      <c r="A1979" s="112">
        <v>42156</v>
      </c>
      <c r="B1979" s="1">
        <v>82</v>
      </c>
    </row>
    <row r="1980" spans="1:2">
      <c r="A1980" s="112">
        <v>42157</v>
      </c>
      <c r="B1980" s="1">
        <v>86</v>
      </c>
    </row>
    <row r="1981" spans="1:2">
      <c r="A1981" s="112">
        <v>42158</v>
      </c>
      <c r="B1981" s="1">
        <v>87</v>
      </c>
    </row>
    <row r="1982" spans="1:2">
      <c r="A1982" s="112">
        <v>42159</v>
      </c>
      <c r="B1982" s="1">
        <v>86</v>
      </c>
    </row>
    <row r="1983" spans="1:2">
      <c r="A1983" s="112">
        <v>42160</v>
      </c>
      <c r="B1983" s="1">
        <v>83</v>
      </c>
    </row>
    <row r="1984" spans="1:2">
      <c r="A1984" s="112">
        <v>42161</v>
      </c>
      <c r="B1984" s="1">
        <v>77</v>
      </c>
    </row>
    <row r="1985" spans="1:2">
      <c r="A1985" s="112">
        <v>42162</v>
      </c>
      <c r="B1985" s="1">
        <v>71</v>
      </c>
    </row>
    <row r="1986" spans="1:2">
      <c r="A1986" s="112">
        <v>42163</v>
      </c>
      <c r="B1986" s="1">
        <v>66</v>
      </c>
    </row>
    <row r="1987" spans="1:2">
      <c r="A1987" s="112">
        <v>42164</v>
      </c>
      <c r="B1987" s="1">
        <v>63</v>
      </c>
    </row>
    <row r="1988" spans="1:2">
      <c r="A1988" s="112">
        <v>42165</v>
      </c>
      <c r="B1988" s="1">
        <v>63</v>
      </c>
    </row>
    <row r="1989" spans="1:2">
      <c r="A1989" s="112">
        <v>42166</v>
      </c>
      <c r="B1989" s="1">
        <v>67</v>
      </c>
    </row>
    <row r="1990" spans="1:2">
      <c r="A1990" s="112">
        <v>42167</v>
      </c>
      <c r="B1990" s="1">
        <v>73</v>
      </c>
    </row>
    <row r="1991" spans="1:2">
      <c r="A1991" s="112">
        <v>42168</v>
      </c>
      <c r="B1991" s="1">
        <v>80</v>
      </c>
    </row>
    <row r="1992" spans="1:2">
      <c r="A1992" s="112">
        <v>42169</v>
      </c>
      <c r="B1992" s="1">
        <v>85</v>
      </c>
    </row>
    <row r="1993" spans="1:2">
      <c r="A1993" s="112">
        <v>42170</v>
      </c>
      <c r="B1993" s="1">
        <v>88</v>
      </c>
    </row>
    <row r="1994" spans="1:2">
      <c r="A1994" s="112">
        <v>42171</v>
      </c>
      <c r="B1994" s="1">
        <v>88</v>
      </c>
    </row>
    <row r="1995" spans="1:2">
      <c r="A1995" s="112">
        <v>42172</v>
      </c>
      <c r="B1995" s="1">
        <v>86</v>
      </c>
    </row>
    <row r="1996" spans="1:2">
      <c r="A1996" s="112">
        <v>42173</v>
      </c>
      <c r="B1996" s="1">
        <v>82</v>
      </c>
    </row>
    <row r="1997" spans="1:2">
      <c r="A1997" s="112">
        <v>42174</v>
      </c>
      <c r="B1997" s="1">
        <v>75</v>
      </c>
    </row>
    <row r="1998" spans="1:2">
      <c r="A1998" s="112">
        <v>42175</v>
      </c>
      <c r="B1998" s="1">
        <v>68</v>
      </c>
    </row>
    <row r="1999" spans="1:2">
      <c r="A1999" s="112">
        <v>42176</v>
      </c>
      <c r="B1999" s="1">
        <v>60</v>
      </c>
    </row>
    <row r="2000" spans="1:2">
      <c r="A2000" s="112">
        <v>42177</v>
      </c>
      <c r="B2000" s="1">
        <v>53</v>
      </c>
    </row>
    <row r="2001" spans="1:2">
      <c r="A2001" s="112">
        <v>42178</v>
      </c>
      <c r="B2001" s="1">
        <v>47</v>
      </c>
    </row>
    <row r="2002" spans="1:2">
      <c r="A2002" s="112">
        <v>42179</v>
      </c>
      <c r="B2002" s="1">
        <v>44</v>
      </c>
    </row>
    <row r="2003" spans="1:2">
      <c r="A2003" s="112">
        <v>42180</v>
      </c>
      <c r="B2003" s="1">
        <v>44</v>
      </c>
    </row>
    <row r="2004" spans="1:2">
      <c r="A2004" s="112">
        <v>42181</v>
      </c>
      <c r="B2004" s="1">
        <v>49</v>
      </c>
    </row>
    <row r="2005" spans="1:2">
      <c r="A2005" s="112">
        <v>42182</v>
      </c>
      <c r="B2005" s="1">
        <v>55</v>
      </c>
    </row>
    <row r="2006" spans="1:2">
      <c r="A2006" s="112">
        <v>42183</v>
      </c>
      <c r="B2006" s="1">
        <v>63</v>
      </c>
    </row>
    <row r="2007" spans="1:2">
      <c r="A2007" s="112">
        <v>42184</v>
      </c>
      <c r="B2007" s="1">
        <v>73</v>
      </c>
    </row>
    <row r="2008" spans="1:2">
      <c r="A2008" s="112">
        <v>42185</v>
      </c>
      <c r="B2008" s="1">
        <v>81</v>
      </c>
    </row>
    <row r="2009" spans="1:2">
      <c r="A2009" s="112">
        <v>42186</v>
      </c>
      <c r="B2009" s="1">
        <v>88</v>
      </c>
    </row>
    <row r="2010" spans="1:2">
      <c r="A2010" s="112">
        <v>42187</v>
      </c>
      <c r="B2010" s="1">
        <v>92</v>
      </c>
    </row>
    <row r="2011" spans="1:2">
      <c r="A2011" s="112">
        <v>42188</v>
      </c>
      <c r="B2011" s="1">
        <v>95</v>
      </c>
    </row>
    <row r="2012" spans="1:2">
      <c r="A2012" s="112">
        <v>42189</v>
      </c>
      <c r="B2012" s="1">
        <v>93</v>
      </c>
    </row>
    <row r="2013" spans="1:2">
      <c r="A2013" s="112">
        <v>42190</v>
      </c>
      <c r="B2013" s="1">
        <v>88</v>
      </c>
    </row>
    <row r="2014" spans="1:2">
      <c r="A2014" s="112">
        <v>42191</v>
      </c>
      <c r="B2014" s="1">
        <v>81</v>
      </c>
    </row>
    <row r="2015" spans="1:2">
      <c r="A2015" s="112">
        <v>42192</v>
      </c>
      <c r="B2015" s="1">
        <v>73</v>
      </c>
    </row>
    <row r="2016" spans="1:2">
      <c r="A2016" s="112">
        <v>42193</v>
      </c>
      <c r="B2016" s="1">
        <v>66</v>
      </c>
    </row>
    <row r="2017" spans="1:2">
      <c r="A2017" s="112">
        <v>42194</v>
      </c>
      <c r="B2017" s="1">
        <v>61</v>
      </c>
    </row>
    <row r="2018" spans="1:2">
      <c r="A2018" s="112">
        <v>42195</v>
      </c>
      <c r="B2018" s="1">
        <v>60</v>
      </c>
    </row>
    <row r="2019" spans="1:2">
      <c r="A2019" s="112">
        <v>42196</v>
      </c>
      <c r="B2019" s="1">
        <v>63</v>
      </c>
    </row>
    <row r="2020" spans="1:2">
      <c r="A2020" s="112">
        <v>42197</v>
      </c>
      <c r="B2020" s="1">
        <v>69</v>
      </c>
    </row>
    <row r="2021" spans="1:2">
      <c r="A2021" s="112">
        <v>42198</v>
      </c>
      <c r="B2021" s="1">
        <v>74</v>
      </c>
    </row>
    <row r="2022" spans="1:2">
      <c r="A2022" s="112">
        <v>42199</v>
      </c>
      <c r="B2022" s="1">
        <v>79</v>
      </c>
    </row>
    <row r="2023" spans="1:2">
      <c r="A2023" s="112">
        <v>42200</v>
      </c>
      <c r="B2023" s="1">
        <v>83</v>
      </c>
    </row>
    <row r="2024" spans="1:2">
      <c r="A2024" s="112">
        <v>42201</v>
      </c>
      <c r="B2024" s="1">
        <v>84</v>
      </c>
    </row>
    <row r="2025" spans="1:2">
      <c r="A2025" s="112">
        <v>42202</v>
      </c>
      <c r="B2025" s="1">
        <v>82</v>
      </c>
    </row>
    <row r="2026" spans="1:2">
      <c r="A2026" s="112">
        <v>42203</v>
      </c>
      <c r="B2026" s="1">
        <v>79</v>
      </c>
    </row>
    <row r="2027" spans="1:2">
      <c r="A2027" s="112">
        <v>42204</v>
      </c>
      <c r="B2027" s="1">
        <v>74</v>
      </c>
    </row>
    <row r="2028" spans="1:2">
      <c r="A2028" s="112">
        <v>42205</v>
      </c>
      <c r="B2028" s="1">
        <v>67</v>
      </c>
    </row>
    <row r="2029" spans="1:2">
      <c r="A2029" s="112">
        <v>42206</v>
      </c>
      <c r="B2029" s="1">
        <v>60</v>
      </c>
    </row>
    <row r="2030" spans="1:2">
      <c r="A2030" s="112">
        <v>42207</v>
      </c>
      <c r="B2030" s="1">
        <v>53</v>
      </c>
    </row>
    <row r="2031" spans="1:2">
      <c r="A2031" s="112">
        <v>42208</v>
      </c>
      <c r="B2031" s="1">
        <v>47</v>
      </c>
    </row>
    <row r="2032" spans="1:2">
      <c r="A2032" s="112">
        <v>42209</v>
      </c>
      <c r="B2032" s="1">
        <v>43</v>
      </c>
    </row>
    <row r="2033" spans="1:2">
      <c r="A2033" s="112">
        <v>42210</v>
      </c>
      <c r="B2033" s="1">
        <v>44</v>
      </c>
    </row>
    <row r="2034" spans="1:2">
      <c r="A2034" s="112">
        <v>42211</v>
      </c>
      <c r="B2034" s="1">
        <v>50</v>
      </c>
    </row>
    <row r="2035" spans="1:2">
      <c r="A2035" s="112">
        <v>42212</v>
      </c>
      <c r="B2035" s="1">
        <v>59</v>
      </c>
    </row>
    <row r="2036" spans="1:2">
      <c r="A2036" s="112">
        <v>42213</v>
      </c>
      <c r="B2036" s="1">
        <v>69</v>
      </c>
    </row>
    <row r="2037" spans="1:2">
      <c r="A2037" s="112">
        <v>42214</v>
      </c>
      <c r="B2037" s="1">
        <v>81</v>
      </c>
    </row>
    <row r="2038" spans="1:2">
      <c r="A2038" s="112">
        <v>42215</v>
      </c>
      <c r="B2038" s="1">
        <v>92</v>
      </c>
    </row>
    <row r="2039" spans="1:2">
      <c r="A2039" s="112">
        <v>42216</v>
      </c>
      <c r="B2039" s="1">
        <v>100</v>
      </c>
    </row>
    <row r="2040" spans="1:2">
      <c r="A2040" s="112">
        <v>42217</v>
      </c>
      <c r="B2040" s="1">
        <v>104</v>
      </c>
    </row>
    <row r="2041" spans="1:2">
      <c r="A2041" s="112">
        <v>42218</v>
      </c>
      <c r="B2041" s="1">
        <v>104</v>
      </c>
    </row>
    <row r="2042" spans="1:2">
      <c r="A2042" s="112">
        <v>42219</v>
      </c>
      <c r="B2042" s="1">
        <v>98</v>
      </c>
    </row>
    <row r="2043" spans="1:2">
      <c r="A2043" s="112">
        <v>42220</v>
      </c>
      <c r="B2043" s="1">
        <v>88</v>
      </c>
    </row>
    <row r="2044" spans="1:2">
      <c r="A2044" s="112">
        <v>42221</v>
      </c>
      <c r="B2044" s="1">
        <v>76</v>
      </c>
    </row>
    <row r="2045" spans="1:2">
      <c r="A2045" s="112">
        <v>42222</v>
      </c>
      <c r="B2045" s="1">
        <v>64</v>
      </c>
    </row>
    <row r="2046" spans="1:2">
      <c r="A2046" s="112">
        <v>42223</v>
      </c>
      <c r="B2046" s="1">
        <v>55</v>
      </c>
    </row>
    <row r="2047" spans="1:2">
      <c r="A2047" s="112">
        <v>42224</v>
      </c>
      <c r="B2047" s="1">
        <v>51</v>
      </c>
    </row>
    <row r="2048" spans="1:2">
      <c r="A2048" s="112">
        <v>42225</v>
      </c>
      <c r="B2048" s="1">
        <v>54</v>
      </c>
    </row>
    <row r="2049" spans="1:2">
      <c r="A2049" s="112">
        <v>42226</v>
      </c>
      <c r="B2049" s="1">
        <v>60</v>
      </c>
    </row>
    <row r="2050" spans="1:2">
      <c r="A2050" s="112">
        <v>42227</v>
      </c>
      <c r="B2050" s="1">
        <v>68</v>
      </c>
    </row>
    <row r="2051" spans="1:2">
      <c r="A2051" s="112">
        <v>42228</v>
      </c>
      <c r="B2051" s="1">
        <v>75</v>
      </c>
    </row>
    <row r="2052" spans="1:2">
      <c r="A2052" s="112">
        <v>42229</v>
      </c>
      <c r="B2052" s="1">
        <v>80</v>
      </c>
    </row>
    <row r="2053" spans="1:2">
      <c r="A2053" s="112">
        <v>42230</v>
      </c>
      <c r="B2053" s="1">
        <v>84</v>
      </c>
    </row>
    <row r="2054" spans="1:2">
      <c r="A2054" s="112">
        <v>42231</v>
      </c>
      <c r="B2054" s="1">
        <v>84</v>
      </c>
    </row>
    <row r="2055" spans="1:2">
      <c r="A2055" s="112">
        <v>42232</v>
      </c>
      <c r="B2055" s="1">
        <v>83</v>
      </c>
    </row>
    <row r="2056" spans="1:2">
      <c r="A2056" s="112">
        <v>42233</v>
      </c>
      <c r="B2056" s="1">
        <v>79</v>
      </c>
    </row>
    <row r="2057" spans="1:2">
      <c r="A2057" s="112">
        <v>42234</v>
      </c>
      <c r="B2057" s="1">
        <v>74</v>
      </c>
    </row>
    <row r="2058" spans="1:2">
      <c r="A2058" s="112">
        <v>42235</v>
      </c>
      <c r="B2058" s="1">
        <v>66</v>
      </c>
    </row>
    <row r="2059" spans="1:2">
      <c r="A2059" s="112">
        <v>42236</v>
      </c>
      <c r="B2059" s="1">
        <v>59</v>
      </c>
    </row>
    <row r="2060" spans="1:2">
      <c r="A2060" s="112">
        <v>42237</v>
      </c>
      <c r="B2060" s="1">
        <v>50</v>
      </c>
    </row>
    <row r="2061" spans="1:2">
      <c r="A2061" s="112">
        <v>42238</v>
      </c>
      <c r="B2061" s="1">
        <v>44</v>
      </c>
    </row>
    <row r="2062" spans="1:2">
      <c r="A2062" s="112">
        <v>42239</v>
      </c>
      <c r="B2062" s="1">
        <v>41</v>
      </c>
    </row>
    <row r="2063" spans="1:2">
      <c r="A2063" s="112">
        <v>42240</v>
      </c>
      <c r="B2063" s="1">
        <v>46</v>
      </c>
    </row>
    <row r="2064" spans="1:2">
      <c r="A2064" s="112">
        <v>42241</v>
      </c>
      <c r="B2064" s="1">
        <v>55</v>
      </c>
    </row>
    <row r="2065" spans="1:2">
      <c r="A2065" s="112">
        <v>42242</v>
      </c>
      <c r="B2065" s="1">
        <v>70</v>
      </c>
    </row>
    <row r="2066" spans="1:2">
      <c r="A2066" s="112">
        <v>42243</v>
      </c>
      <c r="B2066" s="1">
        <v>85</v>
      </c>
    </row>
    <row r="2067" spans="1:2">
      <c r="A2067" s="112">
        <v>42244</v>
      </c>
      <c r="B2067" s="1">
        <v>99</v>
      </c>
    </row>
    <row r="2068" spans="1:2">
      <c r="A2068" s="112">
        <v>42245</v>
      </c>
      <c r="B2068" s="1">
        <v>108</v>
      </c>
    </row>
    <row r="2069" spans="1:2">
      <c r="A2069" s="112">
        <v>42246</v>
      </c>
      <c r="B2069" s="1">
        <v>113</v>
      </c>
    </row>
    <row r="2070" spans="1:2">
      <c r="A2070" s="112">
        <v>42247</v>
      </c>
      <c r="B2070" s="1">
        <v>111</v>
      </c>
    </row>
    <row r="2071" spans="1:2">
      <c r="A2071" s="112">
        <v>42248</v>
      </c>
      <c r="B2071" s="1">
        <v>104</v>
      </c>
    </row>
    <row r="2072" spans="1:2">
      <c r="A2072" s="112">
        <v>42249</v>
      </c>
      <c r="B2072" s="1">
        <v>91</v>
      </c>
    </row>
    <row r="2073" spans="1:2">
      <c r="A2073" s="112">
        <v>42250</v>
      </c>
      <c r="B2073" s="1">
        <v>75</v>
      </c>
    </row>
    <row r="2074" spans="1:2">
      <c r="A2074" s="112">
        <v>42251</v>
      </c>
      <c r="B2074" s="1">
        <v>60</v>
      </c>
    </row>
    <row r="2075" spans="1:2">
      <c r="A2075" s="112">
        <v>42252</v>
      </c>
      <c r="B2075" s="1">
        <v>49</v>
      </c>
    </row>
    <row r="2076" spans="1:2">
      <c r="A2076" s="112">
        <v>42253</v>
      </c>
      <c r="B2076" s="1">
        <v>44</v>
      </c>
    </row>
    <row r="2077" spans="1:2">
      <c r="A2077" s="112">
        <v>42254</v>
      </c>
      <c r="B2077" s="1">
        <v>48</v>
      </c>
    </row>
    <row r="2078" spans="1:2">
      <c r="A2078" s="112">
        <v>42255</v>
      </c>
      <c r="B2078" s="1">
        <v>55</v>
      </c>
    </row>
    <row r="2079" spans="1:2">
      <c r="A2079" s="112">
        <v>42256</v>
      </c>
      <c r="B2079" s="1">
        <v>65</v>
      </c>
    </row>
    <row r="2080" spans="1:2">
      <c r="A2080" s="112">
        <v>42257</v>
      </c>
      <c r="B2080" s="1">
        <v>73</v>
      </c>
    </row>
    <row r="2081" spans="1:2">
      <c r="A2081" s="112">
        <v>42258</v>
      </c>
      <c r="B2081" s="1">
        <v>80</v>
      </c>
    </row>
    <row r="2082" spans="1:2">
      <c r="A2082" s="112">
        <v>42259</v>
      </c>
      <c r="B2082" s="1">
        <v>84</v>
      </c>
    </row>
    <row r="2083" spans="1:2">
      <c r="A2083" s="112">
        <v>42260</v>
      </c>
      <c r="B2083" s="1">
        <v>86</v>
      </c>
    </row>
    <row r="2084" spans="1:2">
      <c r="A2084" s="112">
        <v>42261</v>
      </c>
      <c r="B2084" s="1">
        <v>86</v>
      </c>
    </row>
    <row r="2085" spans="1:2">
      <c r="A2085" s="112">
        <v>42262</v>
      </c>
      <c r="B2085" s="1">
        <v>83</v>
      </c>
    </row>
    <row r="2086" spans="1:2">
      <c r="A2086" s="112">
        <v>42263</v>
      </c>
      <c r="B2086" s="1">
        <v>78</v>
      </c>
    </row>
    <row r="2087" spans="1:2">
      <c r="A2087" s="112">
        <v>42264</v>
      </c>
      <c r="B2087" s="1">
        <v>71</v>
      </c>
    </row>
    <row r="2088" spans="1:2">
      <c r="A2088" s="112">
        <v>42265</v>
      </c>
      <c r="B2088" s="1">
        <v>62</v>
      </c>
    </row>
    <row r="2089" spans="1:2">
      <c r="A2089" s="112">
        <v>42266</v>
      </c>
      <c r="B2089" s="1">
        <v>53</v>
      </c>
    </row>
    <row r="2090" spans="1:2">
      <c r="A2090" s="112">
        <v>42267</v>
      </c>
      <c r="B2090" s="1">
        <v>45</v>
      </c>
    </row>
    <row r="2091" spans="1:2">
      <c r="A2091" s="112">
        <v>42268</v>
      </c>
      <c r="B2091" s="1">
        <v>41</v>
      </c>
    </row>
    <row r="2092" spans="1:2">
      <c r="A2092" s="112">
        <v>42269</v>
      </c>
      <c r="B2092" s="1">
        <v>44</v>
      </c>
    </row>
    <row r="2093" spans="1:2">
      <c r="A2093" s="112">
        <v>42270</v>
      </c>
      <c r="B2093" s="1">
        <v>56</v>
      </c>
    </row>
    <row r="2094" spans="1:2">
      <c r="A2094" s="112">
        <v>42271</v>
      </c>
      <c r="B2094" s="1">
        <v>72</v>
      </c>
    </row>
    <row r="2095" spans="1:2">
      <c r="A2095" s="112">
        <v>42272</v>
      </c>
      <c r="B2095" s="1">
        <v>89</v>
      </c>
    </row>
    <row r="2096" spans="1:2">
      <c r="A2096" s="112">
        <v>42273</v>
      </c>
      <c r="B2096" s="1">
        <v>102</v>
      </c>
    </row>
    <row r="2097" spans="1:2">
      <c r="A2097" s="112">
        <v>42274</v>
      </c>
      <c r="B2097" s="1">
        <v>113</v>
      </c>
    </row>
    <row r="2098" spans="1:2">
      <c r="A2098" s="112">
        <v>42275</v>
      </c>
      <c r="B2098" s="1">
        <v>116</v>
      </c>
    </row>
    <row r="2099" spans="1:2">
      <c r="A2099" s="112">
        <v>42276</v>
      </c>
      <c r="B2099" s="1">
        <v>113</v>
      </c>
    </row>
    <row r="2100" spans="1:2">
      <c r="A2100" s="112">
        <v>42277</v>
      </c>
      <c r="B2100" s="1">
        <v>104</v>
      </c>
    </row>
    <row r="2101" spans="1:2">
      <c r="A2101" s="112">
        <v>42278</v>
      </c>
      <c r="B2101" s="1">
        <v>89</v>
      </c>
    </row>
    <row r="2102" spans="1:2">
      <c r="A2102" s="112">
        <v>42279</v>
      </c>
      <c r="B2102" s="1">
        <v>73</v>
      </c>
    </row>
    <row r="2103" spans="1:2">
      <c r="A2103" s="112">
        <v>42280</v>
      </c>
      <c r="B2103" s="1">
        <v>57</v>
      </c>
    </row>
    <row r="2104" spans="1:2">
      <c r="A2104" s="112">
        <v>42281</v>
      </c>
      <c r="B2104" s="1">
        <v>45</v>
      </c>
    </row>
    <row r="2105" spans="1:2">
      <c r="A2105" s="112">
        <v>42282</v>
      </c>
      <c r="B2105" s="1">
        <v>41</v>
      </c>
    </row>
    <row r="2106" spans="1:2">
      <c r="A2106" s="112">
        <v>42283</v>
      </c>
      <c r="B2106" s="1">
        <v>44</v>
      </c>
    </row>
    <row r="2107" spans="1:2">
      <c r="A2107" s="112">
        <v>42284</v>
      </c>
      <c r="B2107" s="1">
        <v>52</v>
      </c>
    </row>
    <row r="2108" spans="1:2">
      <c r="A2108" s="112">
        <v>42285</v>
      </c>
      <c r="B2108" s="1">
        <v>61</v>
      </c>
    </row>
    <row r="2109" spans="1:2">
      <c r="A2109" s="112">
        <v>42286</v>
      </c>
      <c r="B2109" s="1">
        <v>70</v>
      </c>
    </row>
    <row r="2110" spans="1:2">
      <c r="A2110" s="112">
        <v>42287</v>
      </c>
      <c r="B2110" s="1">
        <v>77</v>
      </c>
    </row>
    <row r="2111" spans="1:2">
      <c r="A2111" s="112">
        <v>42288</v>
      </c>
      <c r="B2111" s="1">
        <v>83</v>
      </c>
    </row>
    <row r="2112" spans="1:2">
      <c r="A2112" s="112">
        <v>42289</v>
      </c>
      <c r="B2112" s="1">
        <v>86</v>
      </c>
    </row>
    <row r="2113" spans="1:2">
      <c r="A2113" s="112">
        <v>42290</v>
      </c>
      <c r="B2113" s="1">
        <v>86</v>
      </c>
    </row>
    <row r="2114" spans="1:2">
      <c r="A2114" s="112">
        <v>42291</v>
      </c>
      <c r="B2114" s="1">
        <v>85</v>
      </c>
    </row>
    <row r="2115" spans="1:2">
      <c r="A2115" s="112">
        <v>42292</v>
      </c>
      <c r="B2115" s="1">
        <v>81</v>
      </c>
    </row>
    <row r="2116" spans="1:2">
      <c r="A2116" s="112">
        <v>42293</v>
      </c>
      <c r="B2116" s="1">
        <v>75</v>
      </c>
    </row>
    <row r="2117" spans="1:2">
      <c r="A2117" s="112">
        <v>42294</v>
      </c>
      <c r="B2117" s="1">
        <v>67</v>
      </c>
    </row>
    <row r="2118" spans="1:2">
      <c r="A2118" s="112">
        <v>42295</v>
      </c>
      <c r="B2118" s="1">
        <v>58</v>
      </c>
    </row>
    <row r="2119" spans="1:2">
      <c r="A2119" s="112">
        <v>42296</v>
      </c>
      <c r="B2119" s="1">
        <v>49</v>
      </c>
    </row>
    <row r="2120" spans="1:2">
      <c r="A2120" s="112">
        <v>42297</v>
      </c>
      <c r="B2120" s="1">
        <v>45</v>
      </c>
    </row>
    <row r="2121" spans="1:2">
      <c r="A2121" s="112">
        <v>42298</v>
      </c>
      <c r="B2121" s="1">
        <v>48</v>
      </c>
    </row>
    <row r="2122" spans="1:2">
      <c r="A2122" s="112">
        <v>42299</v>
      </c>
      <c r="B2122" s="1">
        <v>58</v>
      </c>
    </row>
    <row r="2123" spans="1:2">
      <c r="A2123" s="112">
        <v>42300</v>
      </c>
      <c r="B2123" s="1">
        <v>74</v>
      </c>
    </row>
    <row r="2124" spans="1:2">
      <c r="A2124" s="112">
        <v>42301</v>
      </c>
      <c r="B2124" s="1">
        <v>89</v>
      </c>
    </row>
    <row r="2125" spans="1:2">
      <c r="A2125" s="112">
        <v>42302</v>
      </c>
      <c r="B2125" s="1">
        <v>101</v>
      </c>
    </row>
    <row r="2126" spans="1:2">
      <c r="A2126" s="112">
        <v>42303</v>
      </c>
      <c r="B2126" s="1">
        <v>110</v>
      </c>
    </row>
    <row r="2127" spans="1:2">
      <c r="A2127" s="112">
        <v>42304</v>
      </c>
      <c r="B2127" s="1">
        <v>112</v>
      </c>
    </row>
    <row r="2128" spans="1:2">
      <c r="A2128" s="112">
        <v>42305</v>
      </c>
      <c r="B2128" s="1">
        <v>109</v>
      </c>
    </row>
    <row r="2129" spans="1:2">
      <c r="A2129" s="112">
        <v>42306</v>
      </c>
      <c r="B2129" s="1">
        <v>99</v>
      </c>
    </row>
    <row r="2130" spans="1:2">
      <c r="A2130" s="112">
        <v>42307</v>
      </c>
      <c r="B2130" s="1">
        <v>87</v>
      </c>
    </row>
    <row r="2131" spans="1:2">
      <c r="A2131" s="112">
        <v>42308</v>
      </c>
      <c r="B2131" s="1">
        <v>72</v>
      </c>
    </row>
    <row r="2132" spans="1:2">
      <c r="A2132" s="112">
        <v>42309</v>
      </c>
      <c r="B2132" s="1">
        <v>58</v>
      </c>
    </row>
    <row r="2133" spans="1:2">
      <c r="A2133" s="112">
        <v>42310</v>
      </c>
      <c r="B2133" s="1">
        <v>47</v>
      </c>
    </row>
    <row r="2134" spans="1:2">
      <c r="A2134" s="112">
        <v>42311</v>
      </c>
      <c r="B2134" s="1">
        <v>41</v>
      </c>
    </row>
    <row r="2135" spans="1:2">
      <c r="A2135" s="112">
        <v>42312</v>
      </c>
      <c r="B2135" s="1">
        <v>42</v>
      </c>
    </row>
    <row r="2136" spans="1:2">
      <c r="A2136" s="112">
        <v>42313</v>
      </c>
      <c r="B2136" s="1">
        <v>48</v>
      </c>
    </row>
    <row r="2137" spans="1:2">
      <c r="A2137" s="112">
        <v>42314</v>
      </c>
      <c r="B2137" s="1">
        <v>56</v>
      </c>
    </row>
    <row r="2138" spans="1:2">
      <c r="A2138" s="112">
        <v>42315</v>
      </c>
      <c r="B2138" s="1">
        <v>64</v>
      </c>
    </row>
    <row r="2139" spans="1:2">
      <c r="A2139" s="112">
        <v>42316</v>
      </c>
      <c r="B2139" s="1">
        <v>71</v>
      </c>
    </row>
    <row r="2140" spans="1:2">
      <c r="A2140" s="112">
        <v>42317</v>
      </c>
      <c r="B2140" s="1">
        <v>78</v>
      </c>
    </row>
    <row r="2141" spans="1:2">
      <c r="A2141" s="112">
        <v>42318</v>
      </c>
      <c r="B2141" s="1">
        <v>83</v>
      </c>
    </row>
    <row r="2142" spans="1:2">
      <c r="A2142" s="112">
        <v>42319</v>
      </c>
      <c r="B2142" s="1">
        <v>85</v>
      </c>
    </row>
    <row r="2143" spans="1:2">
      <c r="A2143" s="112">
        <v>42320</v>
      </c>
      <c r="B2143" s="1">
        <v>85</v>
      </c>
    </row>
    <row r="2144" spans="1:2">
      <c r="A2144" s="112">
        <v>42321</v>
      </c>
      <c r="B2144" s="1">
        <v>83</v>
      </c>
    </row>
    <row r="2145" spans="1:2">
      <c r="A2145" s="112">
        <v>42322</v>
      </c>
      <c r="B2145" s="1">
        <v>79</v>
      </c>
    </row>
    <row r="2146" spans="1:2">
      <c r="A2146" s="112">
        <v>42323</v>
      </c>
      <c r="B2146" s="1">
        <v>72</v>
      </c>
    </row>
    <row r="2147" spans="1:2">
      <c r="A2147" s="112">
        <v>42324</v>
      </c>
      <c r="B2147" s="1">
        <v>65</v>
      </c>
    </row>
    <row r="2148" spans="1:2">
      <c r="A2148" s="112">
        <v>42325</v>
      </c>
      <c r="B2148" s="1">
        <v>57</v>
      </c>
    </row>
    <row r="2149" spans="1:2">
      <c r="A2149" s="112">
        <v>42326</v>
      </c>
      <c r="B2149" s="1">
        <v>53</v>
      </c>
    </row>
    <row r="2150" spans="1:2">
      <c r="A2150" s="112">
        <v>42327</v>
      </c>
      <c r="B2150" s="1">
        <v>54</v>
      </c>
    </row>
    <row r="2151" spans="1:2">
      <c r="A2151" s="112">
        <v>42328</v>
      </c>
      <c r="B2151" s="1">
        <v>61</v>
      </c>
    </row>
    <row r="2152" spans="1:2">
      <c r="A2152" s="112">
        <v>42329</v>
      </c>
      <c r="B2152" s="1">
        <v>72</v>
      </c>
    </row>
    <row r="2153" spans="1:2">
      <c r="A2153" s="112">
        <v>42330</v>
      </c>
      <c r="B2153" s="1">
        <v>83</v>
      </c>
    </row>
    <row r="2154" spans="1:2">
      <c r="A2154" s="112">
        <v>42331</v>
      </c>
      <c r="B2154" s="1">
        <v>93</v>
      </c>
    </row>
    <row r="2155" spans="1:2">
      <c r="A2155" s="112">
        <v>42332</v>
      </c>
      <c r="B2155" s="1">
        <v>100</v>
      </c>
    </row>
    <row r="2156" spans="1:2">
      <c r="A2156" s="112">
        <v>42333</v>
      </c>
      <c r="B2156" s="1">
        <v>103</v>
      </c>
    </row>
    <row r="2157" spans="1:2">
      <c r="A2157" s="112">
        <v>42334</v>
      </c>
      <c r="B2157" s="1">
        <v>101</v>
      </c>
    </row>
    <row r="2158" spans="1:2">
      <c r="A2158" s="112">
        <v>42335</v>
      </c>
      <c r="B2158" s="1">
        <v>94</v>
      </c>
    </row>
    <row r="2159" spans="1:2">
      <c r="A2159" s="112">
        <v>42336</v>
      </c>
      <c r="B2159" s="1">
        <v>85</v>
      </c>
    </row>
    <row r="2160" spans="1:2">
      <c r="A2160" s="112">
        <v>42337</v>
      </c>
      <c r="B2160" s="1">
        <v>74</v>
      </c>
    </row>
    <row r="2161" spans="1:2">
      <c r="A2161" s="112">
        <v>42338</v>
      </c>
      <c r="B2161" s="1">
        <v>63</v>
      </c>
    </row>
    <row r="2162" spans="1:2">
      <c r="A2162" s="112">
        <v>42339</v>
      </c>
      <c r="B2162" s="1">
        <v>53</v>
      </c>
    </row>
    <row r="2163" spans="1:2">
      <c r="A2163" s="112">
        <v>42340</v>
      </c>
      <c r="B2163" s="1">
        <v>45</v>
      </c>
    </row>
    <row r="2164" spans="1:2">
      <c r="A2164" s="112">
        <v>42341</v>
      </c>
      <c r="B2164" s="1">
        <v>42</v>
      </c>
    </row>
    <row r="2165" spans="1:2">
      <c r="A2165" s="112">
        <v>42342</v>
      </c>
      <c r="B2165" s="1">
        <v>43</v>
      </c>
    </row>
    <row r="2166" spans="1:2">
      <c r="A2166" s="112">
        <v>42343</v>
      </c>
      <c r="B2166" s="1">
        <v>48</v>
      </c>
    </row>
    <row r="2167" spans="1:2">
      <c r="A2167" s="112">
        <v>42344</v>
      </c>
      <c r="B2167" s="1">
        <v>55</v>
      </c>
    </row>
    <row r="2168" spans="1:2">
      <c r="A2168" s="112">
        <v>42345</v>
      </c>
      <c r="B2168" s="1">
        <v>63</v>
      </c>
    </row>
    <row r="2169" spans="1:2">
      <c r="A2169" s="112">
        <v>42346</v>
      </c>
      <c r="B2169" s="1">
        <v>71</v>
      </c>
    </row>
    <row r="2170" spans="1:2">
      <c r="A2170" s="112">
        <v>42347</v>
      </c>
      <c r="B2170" s="1">
        <v>77</v>
      </c>
    </row>
    <row r="2171" spans="1:2">
      <c r="A2171" s="112">
        <v>42348</v>
      </c>
      <c r="B2171" s="1">
        <v>83</v>
      </c>
    </row>
    <row r="2172" spans="1:2">
      <c r="A2172" s="112">
        <v>42349</v>
      </c>
      <c r="B2172" s="1">
        <v>86</v>
      </c>
    </row>
    <row r="2173" spans="1:2">
      <c r="A2173" s="112">
        <v>42350</v>
      </c>
      <c r="B2173" s="1">
        <v>86</v>
      </c>
    </row>
    <row r="2174" spans="1:2">
      <c r="A2174" s="112">
        <v>42351</v>
      </c>
      <c r="B2174" s="1">
        <v>84</v>
      </c>
    </row>
    <row r="2175" spans="1:2">
      <c r="A2175" s="112">
        <v>42352</v>
      </c>
      <c r="B2175" s="1">
        <v>80</v>
      </c>
    </row>
    <row r="2176" spans="1:2">
      <c r="A2176" s="112">
        <v>42353</v>
      </c>
      <c r="B2176" s="1">
        <v>76</v>
      </c>
    </row>
    <row r="2177" spans="1:2">
      <c r="A2177" s="112">
        <v>42354</v>
      </c>
      <c r="B2177" s="1">
        <v>68</v>
      </c>
    </row>
    <row r="2178" spans="1:2">
      <c r="A2178" s="112">
        <v>42355</v>
      </c>
      <c r="B2178" s="1">
        <v>63</v>
      </c>
    </row>
    <row r="2179" spans="1:2">
      <c r="A2179" s="112">
        <v>42356</v>
      </c>
      <c r="B2179" s="1">
        <v>60</v>
      </c>
    </row>
    <row r="2180" spans="1:2">
      <c r="A2180" s="112">
        <v>42357</v>
      </c>
      <c r="B2180" s="1">
        <v>61</v>
      </c>
    </row>
    <row r="2181" spans="1:2">
      <c r="A2181" s="112">
        <v>42358</v>
      </c>
      <c r="B2181" s="1">
        <v>66</v>
      </c>
    </row>
    <row r="2182" spans="1:2">
      <c r="A2182" s="112">
        <v>42359</v>
      </c>
      <c r="B2182" s="1">
        <v>73</v>
      </c>
    </row>
    <row r="2183" spans="1:2">
      <c r="A2183" s="112">
        <v>42360</v>
      </c>
      <c r="B2183" s="1">
        <v>81</v>
      </c>
    </row>
    <row r="2184" spans="1:2">
      <c r="A2184" s="112">
        <v>42361</v>
      </c>
      <c r="B2184" s="1">
        <v>88</v>
      </c>
    </row>
    <row r="2185" spans="1:2">
      <c r="A2185" s="112">
        <v>42362</v>
      </c>
      <c r="B2185" s="1">
        <v>92</v>
      </c>
    </row>
    <row r="2186" spans="1:2">
      <c r="A2186" s="112">
        <v>42363</v>
      </c>
      <c r="B2186" s="1">
        <v>93</v>
      </c>
    </row>
    <row r="2187" spans="1:2">
      <c r="A2187" s="112">
        <v>42364</v>
      </c>
      <c r="B2187" s="1">
        <v>91</v>
      </c>
    </row>
    <row r="2188" spans="1:2">
      <c r="A2188" s="112">
        <v>42365</v>
      </c>
      <c r="B2188" s="1">
        <v>86</v>
      </c>
    </row>
    <row r="2189" spans="1:2">
      <c r="A2189" s="112">
        <v>42366</v>
      </c>
      <c r="B2189" s="1">
        <v>79</v>
      </c>
    </row>
    <row r="2190" spans="1:2">
      <c r="A2190" s="112">
        <v>42367</v>
      </c>
      <c r="B2190" s="1">
        <v>70</v>
      </c>
    </row>
    <row r="2191" spans="1:2">
      <c r="A2191" s="112">
        <v>42368</v>
      </c>
      <c r="B2191" s="1">
        <v>61</v>
      </c>
    </row>
    <row r="2192" spans="1:2">
      <c r="A2192" s="112">
        <v>42369</v>
      </c>
      <c r="B2192" s="1">
        <v>53</v>
      </c>
    </row>
    <row r="2193" spans="1:2">
      <c r="A2193" s="112">
        <v>42370</v>
      </c>
      <c r="B2193" s="1">
        <v>46</v>
      </c>
    </row>
    <row r="2194" spans="1:2">
      <c r="A2194" s="112">
        <v>42371</v>
      </c>
      <c r="B2194" s="1">
        <v>41</v>
      </c>
    </row>
    <row r="2195" spans="1:2">
      <c r="A2195" s="112">
        <v>42372</v>
      </c>
      <c r="B2195" s="1">
        <v>41</v>
      </c>
    </row>
    <row r="2196" spans="1:2">
      <c r="A2196" s="112">
        <v>42373</v>
      </c>
      <c r="B2196" s="1">
        <v>46</v>
      </c>
    </row>
    <row r="2197" spans="1:2">
      <c r="A2197" s="112">
        <v>42374</v>
      </c>
      <c r="B2197" s="1">
        <v>53</v>
      </c>
    </row>
    <row r="2198" spans="1:2">
      <c r="A2198" s="112">
        <v>42375</v>
      </c>
      <c r="B2198" s="1">
        <v>62</v>
      </c>
    </row>
    <row r="2199" spans="1:2">
      <c r="A2199" s="112">
        <v>42376</v>
      </c>
      <c r="B2199" s="1">
        <v>72</v>
      </c>
    </row>
    <row r="2200" spans="1:2">
      <c r="A2200" s="112">
        <v>42377</v>
      </c>
      <c r="B2200" s="1">
        <v>80</v>
      </c>
    </row>
    <row r="2201" spans="1:2">
      <c r="A2201" s="112">
        <v>42378</v>
      </c>
      <c r="B2201" s="1">
        <v>87</v>
      </c>
    </row>
    <row r="2202" spans="1:2">
      <c r="A2202" s="112">
        <v>42379</v>
      </c>
      <c r="B2202" s="1">
        <v>93</v>
      </c>
    </row>
    <row r="2203" spans="1:2">
      <c r="A2203" s="112">
        <v>42380</v>
      </c>
      <c r="B2203" s="1">
        <v>95</v>
      </c>
    </row>
    <row r="2204" spans="1:2">
      <c r="A2204" s="112">
        <v>42381</v>
      </c>
      <c r="B2204" s="1">
        <v>93</v>
      </c>
    </row>
    <row r="2205" spans="1:2">
      <c r="A2205" s="112">
        <v>42382</v>
      </c>
      <c r="B2205" s="1">
        <v>89</v>
      </c>
    </row>
    <row r="2206" spans="1:2">
      <c r="A2206" s="112">
        <v>42383</v>
      </c>
      <c r="B2206" s="1">
        <v>81</v>
      </c>
    </row>
    <row r="2207" spans="1:2">
      <c r="A2207" s="112">
        <v>42384</v>
      </c>
      <c r="B2207" s="1">
        <v>72</v>
      </c>
    </row>
    <row r="2208" spans="1:2">
      <c r="A2208" s="112">
        <v>42385</v>
      </c>
      <c r="B2208" s="1">
        <v>64</v>
      </c>
    </row>
    <row r="2209" spans="1:2">
      <c r="A2209" s="112">
        <v>42386</v>
      </c>
      <c r="B2209" s="1">
        <v>58</v>
      </c>
    </row>
    <row r="2210" spans="1:2">
      <c r="A2210" s="112">
        <v>42387</v>
      </c>
      <c r="B2210" s="1">
        <v>57</v>
      </c>
    </row>
    <row r="2211" spans="1:2">
      <c r="A2211" s="112">
        <v>42388</v>
      </c>
      <c r="B2211" s="1">
        <v>62</v>
      </c>
    </row>
    <row r="2212" spans="1:2">
      <c r="A2212" s="112">
        <v>42389</v>
      </c>
      <c r="B2212" s="1">
        <v>69</v>
      </c>
    </row>
    <row r="2213" spans="1:2">
      <c r="A2213" s="112">
        <v>42390</v>
      </c>
      <c r="B2213" s="1">
        <v>77</v>
      </c>
    </row>
    <row r="2214" spans="1:2">
      <c r="A2214" s="112">
        <v>42391</v>
      </c>
      <c r="B2214" s="1">
        <v>84</v>
      </c>
    </row>
    <row r="2215" spans="1:2">
      <c r="A2215" s="112">
        <v>42392</v>
      </c>
      <c r="B2215" s="1">
        <v>88</v>
      </c>
    </row>
    <row r="2216" spans="1:2">
      <c r="A2216" s="112">
        <v>42393</v>
      </c>
      <c r="B2216" s="1">
        <v>90</v>
      </c>
    </row>
    <row r="2217" spans="1:2">
      <c r="A2217" s="112">
        <v>42394</v>
      </c>
      <c r="B2217" s="1">
        <v>88</v>
      </c>
    </row>
    <row r="2218" spans="1:2">
      <c r="A2218" s="112">
        <v>42395</v>
      </c>
      <c r="B2218" s="1">
        <v>84</v>
      </c>
    </row>
    <row r="2219" spans="1:2">
      <c r="A2219" s="112">
        <v>42396</v>
      </c>
      <c r="B2219" s="1">
        <v>78</v>
      </c>
    </row>
    <row r="2220" spans="1:2">
      <c r="A2220" s="112">
        <v>42397</v>
      </c>
      <c r="B2220" s="1">
        <v>70</v>
      </c>
    </row>
    <row r="2221" spans="1:2">
      <c r="A2221" s="112">
        <v>42398</v>
      </c>
      <c r="B2221" s="1">
        <v>61</v>
      </c>
    </row>
    <row r="2222" spans="1:2">
      <c r="A2222" s="112">
        <v>42399</v>
      </c>
      <c r="B2222" s="1">
        <v>52</v>
      </c>
    </row>
    <row r="2223" spans="1:2">
      <c r="A2223" s="112">
        <v>42400</v>
      </c>
      <c r="B2223" s="1">
        <v>44</v>
      </c>
    </row>
    <row r="2224" spans="1:2">
      <c r="A2224" s="112">
        <v>42401</v>
      </c>
      <c r="B2224" s="1">
        <v>39</v>
      </c>
    </row>
    <row r="2225" spans="1:2">
      <c r="A2225" s="112">
        <v>42402</v>
      </c>
      <c r="B2225" s="1">
        <v>40</v>
      </c>
    </row>
    <row r="2226" spans="1:2">
      <c r="A2226" s="112">
        <v>42403</v>
      </c>
      <c r="B2226" s="1">
        <v>44</v>
      </c>
    </row>
    <row r="2227" spans="1:2">
      <c r="A2227" s="112">
        <v>42404</v>
      </c>
      <c r="B2227" s="1">
        <v>55</v>
      </c>
    </row>
    <row r="2228" spans="1:2">
      <c r="A2228" s="112">
        <v>42405</v>
      </c>
      <c r="B2228" s="1">
        <v>67</v>
      </c>
    </row>
    <row r="2229" spans="1:2">
      <c r="A2229" s="112">
        <v>42406</v>
      </c>
      <c r="B2229" s="1">
        <v>81</v>
      </c>
    </row>
    <row r="2230" spans="1:2">
      <c r="A2230" s="112">
        <v>42407</v>
      </c>
      <c r="B2230" s="1">
        <v>92</v>
      </c>
    </row>
    <row r="2231" spans="1:2">
      <c r="A2231" s="112">
        <v>42408</v>
      </c>
      <c r="B2231" s="1">
        <v>100</v>
      </c>
    </row>
    <row r="2232" spans="1:2">
      <c r="A2232" s="112">
        <v>42409</v>
      </c>
      <c r="B2232" s="1">
        <v>106</v>
      </c>
    </row>
    <row r="2233" spans="1:2">
      <c r="A2233" s="112">
        <v>42410</v>
      </c>
      <c r="B2233" s="1">
        <v>106</v>
      </c>
    </row>
    <row r="2234" spans="1:2">
      <c r="A2234" s="112">
        <v>42411</v>
      </c>
      <c r="B2234" s="1">
        <v>100</v>
      </c>
    </row>
    <row r="2235" spans="1:2">
      <c r="A2235" s="112">
        <v>42412</v>
      </c>
      <c r="B2235" s="1">
        <v>91</v>
      </c>
    </row>
    <row r="2236" spans="1:2">
      <c r="A2236" s="112">
        <v>42413</v>
      </c>
      <c r="B2236" s="1">
        <v>78</v>
      </c>
    </row>
    <row r="2237" spans="1:2">
      <c r="A2237" s="112">
        <v>42414</v>
      </c>
      <c r="B2237" s="1">
        <v>64</v>
      </c>
    </row>
    <row r="2238" spans="1:2">
      <c r="A2238" s="112">
        <v>42415</v>
      </c>
      <c r="B2238" s="1">
        <v>53</v>
      </c>
    </row>
    <row r="2239" spans="1:2">
      <c r="A2239" s="112">
        <v>42416</v>
      </c>
      <c r="B2239" s="1">
        <v>49</v>
      </c>
    </row>
    <row r="2240" spans="1:2">
      <c r="A2240" s="112">
        <v>42417</v>
      </c>
      <c r="B2240" s="1">
        <v>52</v>
      </c>
    </row>
    <row r="2241" spans="1:2">
      <c r="A2241" s="112">
        <v>42418</v>
      </c>
      <c r="B2241" s="1">
        <v>61</v>
      </c>
    </row>
    <row r="2242" spans="1:2">
      <c r="A2242" s="112">
        <v>42419</v>
      </c>
      <c r="B2242" s="1">
        <v>70</v>
      </c>
    </row>
    <row r="2243" spans="1:2">
      <c r="A2243" s="112">
        <v>42420</v>
      </c>
      <c r="B2243" s="1">
        <v>79</v>
      </c>
    </row>
    <row r="2244" spans="1:2">
      <c r="A2244" s="112">
        <v>42421</v>
      </c>
      <c r="B2244" s="1">
        <v>85</v>
      </c>
    </row>
    <row r="2245" spans="1:2">
      <c r="A2245" s="112">
        <v>42422</v>
      </c>
      <c r="B2245" s="1">
        <v>89</v>
      </c>
    </row>
    <row r="2246" spans="1:2">
      <c r="A2246" s="112">
        <v>42423</v>
      </c>
      <c r="B2246" s="1">
        <v>89</v>
      </c>
    </row>
    <row r="2247" spans="1:2">
      <c r="A2247" s="112">
        <v>42424</v>
      </c>
      <c r="B2247" s="1">
        <v>87</v>
      </c>
    </row>
    <row r="2248" spans="1:2">
      <c r="A2248" s="112">
        <v>42425</v>
      </c>
      <c r="B2248" s="1">
        <v>83</v>
      </c>
    </row>
    <row r="2249" spans="1:2">
      <c r="A2249" s="112">
        <v>42426</v>
      </c>
      <c r="B2249" s="1">
        <v>76</v>
      </c>
    </row>
    <row r="2250" spans="1:2">
      <c r="A2250" s="112">
        <v>42427</v>
      </c>
      <c r="B2250" s="1">
        <v>68</v>
      </c>
    </row>
    <row r="2251" spans="1:2">
      <c r="A2251" s="112">
        <v>42428</v>
      </c>
      <c r="B2251" s="1">
        <v>58</v>
      </c>
    </row>
    <row r="2252" spans="1:2">
      <c r="A2252" s="112">
        <v>42429</v>
      </c>
      <c r="B2252" s="1">
        <v>49</v>
      </c>
    </row>
    <row r="2253" spans="1:2">
      <c r="A2253" s="112">
        <v>42430</v>
      </c>
      <c r="B2253" s="1">
        <v>40</v>
      </c>
    </row>
    <row r="2254" spans="1:2">
      <c r="A2254" s="112">
        <v>42431</v>
      </c>
      <c r="B2254" s="1">
        <v>36</v>
      </c>
    </row>
    <row r="2255" spans="1:2">
      <c r="A2255" s="112">
        <v>42432</v>
      </c>
      <c r="B2255" s="1">
        <v>40</v>
      </c>
    </row>
    <row r="2256" spans="1:2">
      <c r="A2256" s="112">
        <v>42433</v>
      </c>
      <c r="B2256" s="1">
        <v>51</v>
      </c>
    </row>
    <row r="2257" spans="1:2">
      <c r="A2257" s="112">
        <v>42434</v>
      </c>
      <c r="B2257" s="1">
        <v>66</v>
      </c>
    </row>
    <row r="2258" spans="1:2">
      <c r="A2258" s="112">
        <v>42435</v>
      </c>
      <c r="B2258" s="1">
        <v>82</v>
      </c>
    </row>
    <row r="2259" spans="1:2">
      <c r="A2259" s="112">
        <v>42436</v>
      </c>
      <c r="B2259" s="1">
        <v>96</v>
      </c>
    </row>
    <row r="2260" spans="1:2">
      <c r="A2260" s="112">
        <v>42437</v>
      </c>
      <c r="B2260" s="1">
        <v>108</v>
      </c>
    </row>
    <row r="2261" spans="1:2">
      <c r="A2261" s="112">
        <v>42438</v>
      </c>
      <c r="B2261" s="1">
        <v>114</v>
      </c>
    </row>
    <row r="2262" spans="1:2">
      <c r="A2262" s="112">
        <v>42439</v>
      </c>
      <c r="B2262" s="1">
        <v>113</v>
      </c>
    </row>
    <row r="2263" spans="1:2">
      <c r="A2263" s="112">
        <v>42440</v>
      </c>
      <c r="B2263" s="1">
        <v>106</v>
      </c>
    </row>
    <row r="2264" spans="1:2">
      <c r="A2264" s="112">
        <v>42441</v>
      </c>
      <c r="B2264" s="1">
        <v>94</v>
      </c>
    </row>
    <row r="2265" spans="1:2">
      <c r="A2265" s="112">
        <v>42442</v>
      </c>
      <c r="B2265" s="1">
        <v>79</v>
      </c>
    </row>
    <row r="2266" spans="1:2">
      <c r="A2266" s="112">
        <v>42443</v>
      </c>
      <c r="B2266" s="1">
        <v>63</v>
      </c>
    </row>
    <row r="2267" spans="1:2">
      <c r="A2267" s="112">
        <v>42444</v>
      </c>
      <c r="B2267" s="1">
        <v>50</v>
      </c>
    </row>
    <row r="2268" spans="1:2">
      <c r="A2268" s="112">
        <v>42445</v>
      </c>
      <c r="B2268" s="1">
        <v>44</v>
      </c>
    </row>
    <row r="2269" spans="1:2">
      <c r="A2269" s="112">
        <v>42446</v>
      </c>
      <c r="B2269" s="1">
        <v>48</v>
      </c>
    </row>
    <row r="2270" spans="1:2">
      <c r="A2270" s="112">
        <v>42447</v>
      </c>
      <c r="B2270" s="1">
        <v>56</v>
      </c>
    </row>
    <row r="2271" spans="1:2">
      <c r="A2271" s="112">
        <v>42448</v>
      </c>
      <c r="B2271" s="1">
        <v>66</v>
      </c>
    </row>
    <row r="2272" spans="1:2">
      <c r="A2272" s="112">
        <v>42449</v>
      </c>
      <c r="B2272" s="1">
        <v>75</v>
      </c>
    </row>
    <row r="2273" spans="1:2">
      <c r="A2273" s="112">
        <v>42450</v>
      </c>
      <c r="B2273" s="1">
        <v>82</v>
      </c>
    </row>
    <row r="2274" spans="1:2">
      <c r="A2274" s="112">
        <v>42451</v>
      </c>
      <c r="B2274" s="1">
        <v>86</v>
      </c>
    </row>
    <row r="2275" spans="1:2">
      <c r="A2275" s="112">
        <v>42452</v>
      </c>
      <c r="B2275" s="1">
        <v>88</v>
      </c>
    </row>
    <row r="2276" spans="1:2">
      <c r="A2276" s="112">
        <v>42453</v>
      </c>
      <c r="B2276" s="1">
        <v>87</v>
      </c>
    </row>
    <row r="2277" spans="1:2">
      <c r="A2277" s="112">
        <v>42454</v>
      </c>
      <c r="B2277" s="1">
        <v>84</v>
      </c>
    </row>
    <row r="2278" spans="1:2">
      <c r="A2278" s="112">
        <v>42455</v>
      </c>
      <c r="B2278" s="1">
        <v>78</v>
      </c>
    </row>
    <row r="2279" spans="1:2">
      <c r="A2279" s="112">
        <v>42456</v>
      </c>
      <c r="B2279" s="1">
        <v>71</v>
      </c>
    </row>
    <row r="2280" spans="1:2">
      <c r="A2280" s="112">
        <v>42457</v>
      </c>
      <c r="B2280" s="1">
        <v>62</v>
      </c>
    </row>
    <row r="2281" spans="1:2">
      <c r="A2281" s="112">
        <v>42458</v>
      </c>
      <c r="B2281" s="1">
        <v>53</v>
      </c>
    </row>
    <row r="2282" spans="1:2">
      <c r="A2282" s="112">
        <v>42459</v>
      </c>
      <c r="B2282" s="1">
        <v>44</v>
      </c>
    </row>
    <row r="2283" spans="1:2">
      <c r="A2283" s="112">
        <v>42460</v>
      </c>
      <c r="B2283" s="1">
        <v>39</v>
      </c>
    </row>
    <row r="2284" spans="1:2">
      <c r="A2284" s="112">
        <v>42461</v>
      </c>
      <c r="B2284" s="1">
        <v>43</v>
      </c>
    </row>
    <row r="2285" spans="1:2">
      <c r="A2285" s="112">
        <v>42462</v>
      </c>
      <c r="B2285" s="1">
        <v>52</v>
      </c>
    </row>
    <row r="2286" spans="1:2">
      <c r="A2286" s="112">
        <v>42463</v>
      </c>
      <c r="B2286" s="1">
        <v>68</v>
      </c>
    </row>
    <row r="2287" spans="1:2">
      <c r="A2287" s="112">
        <v>42464</v>
      </c>
      <c r="B2287" s="1">
        <v>84</v>
      </c>
    </row>
    <row r="2288" spans="1:2">
      <c r="A2288" s="112">
        <v>42465</v>
      </c>
      <c r="B2288" s="1">
        <v>99</v>
      </c>
    </row>
    <row r="2289" spans="1:2">
      <c r="A2289" s="112">
        <v>42466</v>
      </c>
      <c r="B2289" s="1">
        <v>110</v>
      </c>
    </row>
    <row r="2290" spans="1:2">
      <c r="A2290" s="112">
        <v>42467</v>
      </c>
      <c r="B2290" s="1">
        <v>115</v>
      </c>
    </row>
    <row r="2291" spans="1:2">
      <c r="A2291" s="112">
        <v>42468</v>
      </c>
      <c r="B2291" s="1">
        <v>114</v>
      </c>
    </row>
    <row r="2292" spans="1:2">
      <c r="A2292" s="112">
        <v>42469</v>
      </c>
      <c r="B2292" s="1">
        <v>106</v>
      </c>
    </row>
    <row r="2293" spans="1:2">
      <c r="A2293" s="112">
        <v>42470</v>
      </c>
      <c r="B2293" s="1">
        <v>93</v>
      </c>
    </row>
    <row r="2294" spans="1:2">
      <c r="A2294" s="112">
        <v>42471</v>
      </c>
      <c r="B2294" s="1">
        <v>77</v>
      </c>
    </row>
    <row r="2295" spans="1:2">
      <c r="A2295" s="112">
        <v>42472</v>
      </c>
      <c r="B2295" s="1">
        <v>61</v>
      </c>
    </row>
    <row r="2296" spans="1:2">
      <c r="A2296" s="112">
        <v>42473</v>
      </c>
      <c r="B2296" s="1">
        <v>49</v>
      </c>
    </row>
    <row r="2297" spans="1:2">
      <c r="A2297" s="112">
        <v>42474</v>
      </c>
      <c r="B2297" s="1">
        <v>44</v>
      </c>
    </row>
    <row r="2298" spans="1:2">
      <c r="A2298" s="112">
        <v>42475</v>
      </c>
      <c r="B2298" s="1">
        <v>46</v>
      </c>
    </row>
    <row r="2299" spans="1:2">
      <c r="A2299" s="112">
        <v>42476</v>
      </c>
      <c r="B2299" s="1">
        <v>53</v>
      </c>
    </row>
    <row r="2300" spans="1:2">
      <c r="A2300" s="112">
        <v>42477</v>
      </c>
      <c r="B2300" s="1">
        <v>62</v>
      </c>
    </row>
    <row r="2301" spans="1:2">
      <c r="A2301" s="112">
        <v>42478</v>
      </c>
      <c r="B2301" s="1">
        <v>70</v>
      </c>
    </row>
    <row r="2302" spans="1:2">
      <c r="A2302" s="112">
        <v>42479</v>
      </c>
      <c r="B2302" s="1">
        <v>76</v>
      </c>
    </row>
    <row r="2303" spans="1:2">
      <c r="A2303" s="112">
        <v>42480</v>
      </c>
      <c r="B2303" s="1">
        <v>81</v>
      </c>
    </row>
    <row r="2304" spans="1:2">
      <c r="A2304" s="112">
        <v>42481</v>
      </c>
      <c r="B2304" s="1">
        <v>84</v>
      </c>
    </row>
    <row r="2305" spans="1:2">
      <c r="A2305" s="112">
        <v>42482</v>
      </c>
      <c r="B2305" s="1">
        <v>84</v>
      </c>
    </row>
    <row r="2306" spans="1:2">
      <c r="A2306" s="112">
        <v>42483</v>
      </c>
      <c r="B2306" s="1">
        <v>83</v>
      </c>
    </row>
    <row r="2307" spans="1:2">
      <c r="A2307" s="112">
        <v>42484</v>
      </c>
      <c r="B2307" s="1">
        <v>78</v>
      </c>
    </row>
    <row r="2308" spans="1:2">
      <c r="A2308" s="112">
        <v>42485</v>
      </c>
      <c r="B2308" s="1">
        <v>73</v>
      </c>
    </row>
    <row r="2309" spans="1:2">
      <c r="A2309" s="112">
        <v>42486</v>
      </c>
      <c r="B2309" s="1">
        <v>66</v>
      </c>
    </row>
    <row r="2310" spans="1:2">
      <c r="A2310" s="112">
        <v>42487</v>
      </c>
      <c r="B2310" s="1">
        <v>57</v>
      </c>
    </row>
    <row r="2311" spans="1:2">
      <c r="A2311" s="112">
        <v>42488</v>
      </c>
      <c r="B2311" s="1">
        <v>49</v>
      </c>
    </row>
    <row r="2312" spans="1:2">
      <c r="A2312" s="112">
        <v>42489</v>
      </c>
      <c r="B2312" s="1">
        <v>46</v>
      </c>
    </row>
    <row r="2313" spans="1:2">
      <c r="A2313" s="112">
        <v>42490</v>
      </c>
      <c r="B2313" s="1">
        <v>48</v>
      </c>
    </row>
    <row r="2314" spans="1:2">
      <c r="A2314" s="112">
        <v>42491</v>
      </c>
      <c r="B2314" s="1">
        <v>57</v>
      </c>
    </row>
    <row r="2315" spans="1:2">
      <c r="A2315" s="112">
        <v>42492</v>
      </c>
      <c r="B2315" s="1">
        <v>69</v>
      </c>
    </row>
    <row r="2316" spans="1:2">
      <c r="A2316" s="112">
        <v>42493</v>
      </c>
      <c r="B2316" s="1">
        <v>84</v>
      </c>
    </row>
    <row r="2317" spans="1:2">
      <c r="A2317" s="112">
        <v>42494</v>
      </c>
      <c r="B2317" s="1">
        <v>96</v>
      </c>
    </row>
    <row r="2318" spans="1:2">
      <c r="A2318" s="112">
        <v>42495</v>
      </c>
      <c r="B2318" s="1">
        <v>106</v>
      </c>
    </row>
    <row r="2319" spans="1:2">
      <c r="A2319" s="112">
        <v>42496</v>
      </c>
      <c r="B2319" s="1">
        <v>110</v>
      </c>
    </row>
    <row r="2320" spans="1:2">
      <c r="A2320" s="112">
        <v>42497</v>
      </c>
      <c r="B2320" s="1">
        <v>108</v>
      </c>
    </row>
    <row r="2321" spans="1:2">
      <c r="A2321" s="112">
        <v>42498</v>
      </c>
      <c r="B2321" s="1">
        <v>100</v>
      </c>
    </row>
    <row r="2322" spans="1:2">
      <c r="A2322" s="112">
        <v>42499</v>
      </c>
      <c r="B2322" s="1">
        <v>89</v>
      </c>
    </row>
    <row r="2323" spans="1:2">
      <c r="A2323" s="112">
        <v>42500</v>
      </c>
      <c r="B2323" s="1">
        <v>76</v>
      </c>
    </row>
    <row r="2324" spans="1:2">
      <c r="A2324" s="112">
        <v>42501</v>
      </c>
      <c r="B2324" s="1">
        <v>63</v>
      </c>
    </row>
    <row r="2325" spans="1:2">
      <c r="A2325" s="112">
        <v>42502</v>
      </c>
      <c r="B2325" s="1">
        <v>52</v>
      </c>
    </row>
    <row r="2326" spans="1:2">
      <c r="A2326" s="112">
        <v>42503</v>
      </c>
      <c r="B2326" s="1">
        <v>46</v>
      </c>
    </row>
    <row r="2327" spans="1:2">
      <c r="A2327" s="112">
        <v>42504</v>
      </c>
      <c r="B2327" s="1">
        <v>46</v>
      </c>
    </row>
    <row r="2328" spans="1:2">
      <c r="A2328" s="112">
        <v>42505</v>
      </c>
      <c r="B2328" s="1">
        <v>50</v>
      </c>
    </row>
    <row r="2329" spans="1:2">
      <c r="A2329" s="112">
        <v>42506</v>
      </c>
      <c r="B2329" s="1">
        <v>56</v>
      </c>
    </row>
    <row r="2330" spans="1:2">
      <c r="A2330" s="112">
        <v>42507</v>
      </c>
      <c r="B2330" s="1">
        <v>63</v>
      </c>
    </row>
    <row r="2331" spans="1:2">
      <c r="A2331" s="112">
        <v>42508</v>
      </c>
      <c r="B2331" s="1">
        <v>69</v>
      </c>
    </row>
    <row r="2332" spans="1:2">
      <c r="A2332" s="112">
        <v>42509</v>
      </c>
      <c r="B2332" s="1">
        <v>74</v>
      </c>
    </row>
    <row r="2333" spans="1:2">
      <c r="A2333" s="112">
        <v>42510</v>
      </c>
      <c r="B2333" s="1">
        <v>78</v>
      </c>
    </row>
    <row r="2334" spans="1:2">
      <c r="A2334" s="112">
        <v>42511</v>
      </c>
      <c r="B2334" s="1">
        <v>80</v>
      </c>
    </row>
    <row r="2335" spans="1:2">
      <c r="A2335" s="112">
        <v>42512</v>
      </c>
      <c r="B2335" s="1">
        <v>81</v>
      </c>
    </row>
    <row r="2336" spans="1:2">
      <c r="A2336" s="112">
        <v>42513</v>
      </c>
      <c r="B2336" s="1">
        <v>79</v>
      </c>
    </row>
    <row r="2337" spans="1:2">
      <c r="A2337" s="112">
        <v>42514</v>
      </c>
      <c r="B2337" s="1">
        <v>75</v>
      </c>
    </row>
    <row r="2338" spans="1:2">
      <c r="A2338" s="112">
        <v>42515</v>
      </c>
      <c r="B2338" s="1">
        <v>70</v>
      </c>
    </row>
    <row r="2339" spans="1:2">
      <c r="A2339" s="112">
        <v>42516</v>
      </c>
      <c r="B2339" s="1">
        <v>64</v>
      </c>
    </row>
    <row r="2340" spans="1:2">
      <c r="A2340" s="112">
        <v>42517</v>
      </c>
      <c r="B2340" s="1">
        <v>59</v>
      </c>
    </row>
    <row r="2341" spans="1:2">
      <c r="A2341" s="112">
        <v>42518</v>
      </c>
      <c r="B2341" s="1">
        <v>56</v>
      </c>
    </row>
    <row r="2342" spans="1:2">
      <c r="A2342" s="112">
        <v>42519</v>
      </c>
      <c r="B2342" s="1">
        <v>56</v>
      </c>
    </row>
    <row r="2343" spans="1:2">
      <c r="A2343" s="112">
        <v>42520</v>
      </c>
      <c r="B2343" s="1">
        <v>61</v>
      </c>
    </row>
    <row r="2344" spans="1:2">
      <c r="A2344" s="112">
        <v>42521</v>
      </c>
      <c r="B2344" s="1">
        <v>70</v>
      </c>
    </row>
    <row r="2345" spans="1:2">
      <c r="A2345" s="112">
        <v>42522</v>
      </c>
      <c r="B2345" s="1">
        <v>80</v>
      </c>
    </row>
    <row r="2346" spans="1:2">
      <c r="A2346" s="112">
        <v>42523</v>
      </c>
      <c r="B2346" s="1">
        <v>90</v>
      </c>
    </row>
    <row r="2347" spans="1:2">
      <c r="A2347" s="112">
        <v>42524</v>
      </c>
      <c r="B2347" s="1">
        <v>97</v>
      </c>
    </row>
    <row r="2348" spans="1:2">
      <c r="A2348" s="112">
        <v>42525</v>
      </c>
      <c r="B2348" s="1">
        <v>100</v>
      </c>
    </row>
    <row r="2349" spans="1:2">
      <c r="A2349" s="112">
        <v>42526</v>
      </c>
      <c r="B2349" s="1">
        <v>100</v>
      </c>
    </row>
    <row r="2350" spans="1:2">
      <c r="A2350" s="112">
        <v>42527</v>
      </c>
      <c r="B2350" s="1">
        <v>95</v>
      </c>
    </row>
    <row r="2351" spans="1:2">
      <c r="A2351" s="112">
        <v>42528</v>
      </c>
      <c r="B2351" s="1">
        <v>87</v>
      </c>
    </row>
    <row r="2352" spans="1:2">
      <c r="A2352" s="112">
        <v>42529</v>
      </c>
      <c r="B2352" s="1">
        <v>77</v>
      </c>
    </row>
    <row r="2353" spans="1:2">
      <c r="A2353" s="112">
        <v>42530</v>
      </c>
      <c r="B2353" s="1">
        <v>67</v>
      </c>
    </row>
    <row r="2354" spans="1:2">
      <c r="A2354" s="112">
        <v>42531</v>
      </c>
      <c r="B2354" s="1">
        <v>57</v>
      </c>
    </row>
    <row r="2355" spans="1:2">
      <c r="A2355" s="112">
        <v>42532</v>
      </c>
      <c r="B2355" s="1">
        <v>50</v>
      </c>
    </row>
    <row r="2356" spans="1:2">
      <c r="A2356" s="112">
        <v>42533</v>
      </c>
      <c r="B2356" s="1">
        <v>46</v>
      </c>
    </row>
    <row r="2357" spans="1:2">
      <c r="A2357" s="112">
        <v>42534</v>
      </c>
      <c r="B2357" s="1">
        <v>46</v>
      </c>
    </row>
    <row r="2358" spans="1:2">
      <c r="A2358" s="112">
        <v>42535</v>
      </c>
      <c r="B2358" s="1">
        <v>49</v>
      </c>
    </row>
    <row r="2359" spans="1:2">
      <c r="A2359" s="112">
        <v>42536</v>
      </c>
      <c r="B2359" s="1">
        <v>55</v>
      </c>
    </row>
    <row r="2360" spans="1:2">
      <c r="A2360" s="112">
        <v>42537</v>
      </c>
      <c r="B2360" s="1">
        <v>61</v>
      </c>
    </row>
    <row r="2361" spans="1:2">
      <c r="A2361" s="112">
        <v>42538</v>
      </c>
      <c r="B2361" s="1">
        <v>67</v>
      </c>
    </row>
    <row r="2362" spans="1:2">
      <c r="A2362" s="112">
        <v>42539</v>
      </c>
      <c r="B2362" s="1">
        <v>73</v>
      </c>
    </row>
    <row r="2363" spans="1:2">
      <c r="A2363" s="112">
        <v>42540</v>
      </c>
      <c r="B2363" s="1">
        <v>77</v>
      </c>
    </row>
    <row r="2364" spans="1:2">
      <c r="A2364" s="112">
        <v>42541</v>
      </c>
      <c r="B2364" s="1">
        <v>80</v>
      </c>
    </row>
    <row r="2365" spans="1:2">
      <c r="A2365" s="112">
        <v>42542</v>
      </c>
      <c r="B2365" s="1">
        <v>82</v>
      </c>
    </row>
    <row r="2366" spans="1:2">
      <c r="A2366" s="112">
        <v>42543</v>
      </c>
      <c r="B2366" s="1">
        <v>82</v>
      </c>
    </row>
    <row r="2367" spans="1:2">
      <c r="A2367" s="112">
        <v>42544</v>
      </c>
      <c r="B2367" s="1">
        <v>78</v>
      </c>
    </row>
    <row r="2368" spans="1:2">
      <c r="A2368" s="112">
        <v>42545</v>
      </c>
      <c r="B2368" s="1">
        <v>75</v>
      </c>
    </row>
    <row r="2369" spans="1:2">
      <c r="A2369" s="112">
        <v>42546</v>
      </c>
      <c r="B2369" s="1">
        <v>69</v>
      </c>
    </row>
    <row r="2370" spans="1:2">
      <c r="A2370" s="112">
        <v>42547</v>
      </c>
      <c r="B2370" s="1">
        <v>65</v>
      </c>
    </row>
    <row r="2371" spans="1:2">
      <c r="A2371" s="112">
        <v>42548</v>
      </c>
      <c r="B2371" s="1">
        <v>62</v>
      </c>
    </row>
    <row r="2372" spans="1:2">
      <c r="A2372" s="112">
        <v>42549</v>
      </c>
      <c r="B2372" s="1">
        <v>62</v>
      </c>
    </row>
    <row r="2373" spans="1:2">
      <c r="A2373" s="112">
        <v>42550</v>
      </c>
      <c r="B2373" s="1">
        <v>66</v>
      </c>
    </row>
    <row r="2374" spans="1:2">
      <c r="A2374" s="112">
        <v>42551</v>
      </c>
      <c r="B2374" s="1">
        <v>73</v>
      </c>
    </row>
    <row r="2375" spans="1:2">
      <c r="A2375" s="112">
        <v>42552</v>
      </c>
      <c r="B2375" s="1">
        <v>80</v>
      </c>
    </row>
    <row r="2376" spans="1:2">
      <c r="A2376" s="112">
        <v>42553</v>
      </c>
      <c r="B2376" s="1">
        <v>87</v>
      </c>
    </row>
    <row r="2377" spans="1:2">
      <c r="A2377" s="112">
        <v>42554</v>
      </c>
      <c r="B2377" s="1">
        <v>92</v>
      </c>
    </row>
    <row r="2378" spans="1:2">
      <c r="A2378" s="112">
        <v>42555</v>
      </c>
      <c r="B2378" s="1">
        <v>93</v>
      </c>
    </row>
    <row r="2379" spans="1:2">
      <c r="A2379" s="112">
        <v>42556</v>
      </c>
      <c r="B2379" s="1">
        <v>92</v>
      </c>
    </row>
    <row r="2380" spans="1:2">
      <c r="A2380" s="112">
        <v>42557</v>
      </c>
      <c r="B2380" s="1">
        <v>87</v>
      </c>
    </row>
    <row r="2381" spans="1:2">
      <c r="A2381" s="112">
        <v>42558</v>
      </c>
      <c r="B2381" s="1">
        <v>80</v>
      </c>
    </row>
    <row r="2382" spans="1:2">
      <c r="A2382" s="112">
        <v>42559</v>
      </c>
      <c r="B2382" s="1">
        <v>72</v>
      </c>
    </row>
    <row r="2383" spans="1:2">
      <c r="A2383" s="112">
        <v>42560</v>
      </c>
      <c r="B2383" s="1">
        <v>63</v>
      </c>
    </row>
    <row r="2384" spans="1:2">
      <c r="A2384" s="112">
        <v>42561</v>
      </c>
      <c r="B2384" s="1">
        <v>54</v>
      </c>
    </row>
    <row r="2385" spans="1:2">
      <c r="A2385" s="112">
        <v>42562</v>
      </c>
      <c r="B2385" s="1">
        <v>47</v>
      </c>
    </row>
    <row r="2386" spans="1:2">
      <c r="A2386" s="112">
        <v>42563</v>
      </c>
      <c r="B2386" s="1">
        <v>44</v>
      </c>
    </row>
    <row r="2387" spans="1:2">
      <c r="A2387" s="112">
        <v>42564</v>
      </c>
      <c r="B2387" s="1">
        <v>43</v>
      </c>
    </row>
    <row r="2388" spans="1:2">
      <c r="A2388" s="112">
        <v>42565</v>
      </c>
      <c r="B2388" s="1">
        <v>47</v>
      </c>
    </row>
    <row r="2389" spans="1:2">
      <c r="A2389" s="112">
        <v>42566</v>
      </c>
      <c r="B2389" s="1">
        <v>53</v>
      </c>
    </row>
    <row r="2390" spans="1:2">
      <c r="A2390" s="112">
        <v>42567</v>
      </c>
      <c r="B2390" s="1">
        <v>61</v>
      </c>
    </row>
    <row r="2391" spans="1:2">
      <c r="A2391" s="112">
        <v>42568</v>
      </c>
      <c r="B2391" s="1">
        <v>70</v>
      </c>
    </row>
    <row r="2392" spans="1:2">
      <c r="A2392" s="112">
        <v>42569</v>
      </c>
      <c r="B2392" s="1">
        <v>77</v>
      </c>
    </row>
    <row r="2393" spans="1:2">
      <c r="A2393" s="112">
        <v>42570</v>
      </c>
      <c r="B2393" s="1">
        <v>83</v>
      </c>
    </row>
    <row r="2394" spans="1:2">
      <c r="A2394" s="112">
        <v>42571</v>
      </c>
      <c r="B2394" s="1">
        <v>89</v>
      </c>
    </row>
    <row r="2395" spans="1:2">
      <c r="A2395" s="112">
        <v>42572</v>
      </c>
      <c r="B2395" s="1">
        <v>91</v>
      </c>
    </row>
    <row r="2396" spans="1:2">
      <c r="A2396" s="112">
        <v>42573</v>
      </c>
      <c r="B2396" s="1">
        <v>90</v>
      </c>
    </row>
    <row r="2397" spans="1:2">
      <c r="A2397" s="112">
        <v>42574</v>
      </c>
      <c r="B2397" s="1">
        <v>86</v>
      </c>
    </row>
    <row r="2398" spans="1:2">
      <c r="A2398" s="112">
        <v>42575</v>
      </c>
      <c r="B2398" s="1">
        <v>80</v>
      </c>
    </row>
    <row r="2399" spans="1:2">
      <c r="A2399" s="112">
        <v>42576</v>
      </c>
      <c r="B2399" s="1">
        <v>72</v>
      </c>
    </row>
    <row r="2400" spans="1:2">
      <c r="A2400" s="112">
        <v>42577</v>
      </c>
      <c r="B2400" s="1">
        <v>65</v>
      </c>
    </row>
    <row r="2401" spans="1:2">
      <c r="A2401" s="112">
        <v>42578</v>
      </c>
      <c r="B2401" s="1">
        <v>60</v>
      </c>
    </row>
    <row r="2402" spans="1:2">
      <c r="A2402" s="112">
        <v>42579</v>
      </c>
      <c r="B2402" s="1">
        <v>59</v>
      </c>
    </row>
    <row r="2403" spans="1:2">
      <c r="A2403" s="112">
        <v>42580</v>
      </c>
      <c r="B2403" s="1">
        <v>64</v>
      </c>
    </row>
    <row r="2404" spans="1:2">
      <c r="A2404" s="112">
        <v>42581</v>
      </c>
      <c r="B2404" s="1">
        <v>71</v>
      </c>
    </row>
    <row r="2405" spans="1:2">
      <c r="A2405" s="112">
        <v>42582</v>
      </c>
      <c r="B2405" s="1">
        <v>80</v>
      </c>
    </row>
    <row r="2406" spans="1:2">
      <c r="A2406" s="112">
        <v>42583</v>
      </c>
      <c r="B2406" s="1">
        <v>86</v>
      </c>
    </row>
    <row r="2407" spans="1:2">
      <c r="A2407" s="112">
        <v>42584</v>
      </c>
      <c r="B2407" s="1">
        <v>90</v>
      </c>
    </row>
    <row r="2408" spans="1:2">
      <c r="A2408" s="112">
        <v>42585</v>
      </c>
      <c r="B2408" s="1">
        <v>91</v>
      </c>
    </row>
    <row r="2409" spans="1:2">
      <c r="A2409" s="112">
        <v>42586</v>
      </c>
      <c r="B2409" s="1">
        <v>89</v>
      </c>
    </row>
    <row r="2410" spans="1:2">
      <c r="A2410" s="112">
        <v>42587</v>
      </c>
      <c r="B2410" s="1">
        <v>84</v>
      </c>
    </row>
    <row r="2411" spans="1:2">
      <c r="A2411" s="112">
        <v>42588</v>
      </c>
      <c r="B2411" s="1">
        <v>77</v>
      </c>
    </row>
    <row r="2412" spans="1:2">
      <c r="A2412" s="112">
        <v>42589</v>
      </c>
      <c r="B2412" s="1">
        <v>68</v>
      </c>
    </row>
    <row r="2413" spans="1:2">
      <c r="A2413" s="112">
        <v>42590</v>
      </c>
      <c r="B2413" s="1">
        <v>59</v>
      </c>
    </row>
    <row r="2414" spans="1:2">
      <c r="A2414" s="112">
        <v>42591</v>
      </c>
      <c r="B2414" s="1">
        <v>50</v>
      </c>
    </row>
    <row r="2415" spans="1:2">
      <c r="A2415" s="112">
        <v>42592</v>
      </c>
      <c r="B2415" s="1">
        <v>42</v>
      </c>
    </row>
    <row r="2416" spans="1:2">
      <c r="A2416" s="112">
        <v>42593</v>
      </c>
      <c r="B2416" s="1">
        <v>39</v>
      </c>
    </row>
    <row r="2417" spans="1:2">
      <c r="A2417" s="112">
        <v>42594</v>
      </c>
      <c r="B2417" s="1">
        <v>41</v>
      </c>
    </row>
    <row r="2418" spans="1:2">
      <c r="A2418" s="112">
        <v>42595</v>
      </c>
      <c r="B2418" s="1">
        <v>47</v>
      </c>
    </row>
    <row r="2419" spans="1:2">
      <c r="A2419" s="112">
        <v>42596</v>
      </c>
      <c r="B2419" s="1">
        <v>57</v>
      </c>
    </row>
    <row r="2420" spans="1:2">
      <c r="A2420" s="112">
        <v>42597</v>
      </c>
      <c r="B2420" s="1">
        <v>69</v>
      </c>
    </row>
    <row r="2421" spans="1:2">
      <c r="A2421" s="112">
        <v>42598</v>
      </c>
      <c r="B2421" s="1">
        <v>80</v>
      </c>
    </row>
    <row r="2422" spans="1:2">
      <c r="A2422" s="112">
        <v>42599</v>
      </c>
      <c r="B2422" s="1">
        <v>90</v>
      </c>
    </row>
    <row r="2423" spans="1:2">
      <c r="A2423" s="112">
        <v>42600</v>
      </c>
      <c r="B2423" s="1">
        <v>98</v>
      </c>
    </row>
    <row r="2424" spans="1:2">
      <c r="A2424" s="112">
        <v>42601</v>
      </c>
      <c r="B2424" s="1">
        <v>101</v>
      </c>
    </row>
    <row r="2425" spans="1:2">
      <c r="A2425" s="112">
        <v>42602</v>
      </c>
      <c r="B2425" s="1">
        <v>101</v>
      </c>
    </row>
    <row r="2426" spans="1:2">
      <c r="A2426" s="112">
        <v>42603</v>
      </c>
      <c r="B2426" s="1">
        <v>96</v>
      </c>
    </row>
    <row r="2427" spans="1:2">
      <c r="A2427" s="112">
        <v>42604</v>
      </c>
      <c r="B2427" s="1">
        <v>87</v>
      </c>
    </row>
    <row r="2428" spans="1:2">
      <c r="A2428" s="112">
        <v>42605</v>
      </c>
      <c r="B2428" s="1">
        <v>75</v>
      </c>
    </row>
    <row r="2429" spans="1:2">
      <c r="A2429" s="112">
        <v>42606</v>
      </c>
      <c r="B2429" s="1">
        <v>63</v>
      </c>
    </row>
    <row r="2430" spans="1:2">
      <c r="A2430" s="112">
        <v>42607</v>
      </c>
      <c r="B2430" s="1">
        <v>54</v>
      </c>
    </row>
    <row r="2431" spans="1:2">
      <c r="A2431" s="112">
        <v>42608</v>
      </c>
      <c r="B2431" s="1">
        <v>52</v>
      </c>
    </row>
    <row r="2432" spans="1:2">
      <c r="A2432" s="112">
        <v>42609</v>
      </c>
      <c r="B2432" s="1">
        <v>57</v>
      </c>
    </row>
    <row r="2433" spans="1:2">
      <c r="A2433" s="112">
        <v>42610</v>
      </c>
      <c r="B2433" s="1">
        <v>66</v>
      </c>
    </row>
    <row r="2434" spans="1:2">
      <c r="A2434" s="112">
        <v>42611</v>
      </c>
      <c r="B2434" s="1">
        <v>75</v>
      </c>
    </row>
    <row r="2435" spans="1:2">
      <c r="A2435" s="112">
        <v>42612</v>
      </c>
      <c r="B2435" s="1">
        <v>83</v>
      </c>
    </row>
    <row r="2436" spans="1:2">
      <c r="A2436" s="112">
        <v>42613</v>
      </c>
      <c r="B2436" s="1">
        <v>89</v>
      </c>
    </row>
    <row r="2437" spans="1:2">
      <c r="A2437" s="112">
        <v>42614</v>
      </c>
      <c r="B2437" s="1">
        <v>91</v>
      </c>
    </row>
    <row r="2438" spans="1:2">
      <c r="A2438" s="112">
        <v>42615</v>
      </c>
      <c r="B2438" s="1">
        <v>90</v>
      </c>
    </row>
    <row r="2439" spans="1:2">
      <c r="A2439" s="112">
        <v>42616</v>
      </c>
      <c r="B2439" s="1">
        <v>86</v>
      </c>
    </row>
    <row r="2440" spans="1:2">
      <c r="A2440" s="112">
        <v>42617</v>
      </c>
      <c r="B2440" s="1">
        <v>80</v>
      </c>
    </row>
    <row r="2441" spans="1:2">
      <c r="A2441" s="112">
        <v>42618</v>
      </c>
      <c r="B2441" s="1">
        <v>72</v>
      </c>
    </row>
    <row r="2442" spans="1:2">
      <c r="A2442" s="112">
        <v>42619</v>
      </c>
      <c r="B2442" s="1">
        <v>62</v>
      </c>
    </row>
    <row r="2443" spans="1:2">
      <c r="A2443" s="112">
        <v>42620</v>
      </c>
      <c r="B2443" s="1">
        <v>52</v>
      </c>
    </row>
    <row r="2444" spans="1:2">
      <c r="A2444" s="112">
        <v>42621</v>
      </c>
      <c r="B2444" s="1">
        <v>44</v>
      </c>
    </row>
    <row r="2445" spans="1:2">
      <c r="A2445" s="112">
        <v>42622</v>
      </c>
      <c r="B2445" s="1">
        <v>37</v>
      </c>
    </row>
    <row r="2446" spans="1:2">
      <c r="A2446" s="112">
        <v>42623</v>
      </c>
      <c r="B2446" s="1">
        <v>36</v>
      </c>
    </row>
    <row r="2447" spans="1:2">
      <c r="A2447" s="112">
        <v>42624</v>
      </c>
      <c r="B2447" s="1">
        <v>44</v>
      </c>
    </row>
    <row r="2448" spans="1:2">
      <c r="A2448" s="112">
        <v>42625</v>
      </c>
      <c r="B2448" s="1">
        <v>56</v>
      </c>
    </row>
    <row r="2449" spans="1:2">
      <c r="A2449" s="112">
        <v>42626</v>
      </c>
      <c r="B2449" s="1">
        <v>70</v>
      </c>
    </row>
    <row r="2450" spans="1:2">
      <c r="A2450" s="112">
        <v>42627</v>
      </c>
      <c r="B2450" s="1">
        <v>84</v>
      </c>
    </row>
    <row r="2451" spans="1:2">
      <c r="A2451" s="112">
        <v>42628</v>
      </c>
      <c r="B2451" s="1">
        <v>97</v>
      </c>
    </row>
    <row r="2452" spans="1:2">
      <c r="A2452" s="112">
        <v>42629</v>
      </c>
      <c r="B2452" s="1">
        <v>107</v>
      </c>
    </row>
    <row r="2453" spans="1:2">
      <c r="A2453" s="112">
        <v>42630</v>
      </c>
      <c r="B2453" s="1">
        <v>111</v>
      </c>
    </row>
    <row r="2454" spans="1:2">
      <c r="A2454" s="112">
        <v>42631</v>
      </c>
      <c r="B2454" s="1">
        <v>109</v>
      </c>
    </row>
    <row r="2455" spans="1:2">
      <c r="A2455" s="112">
        <v>42632</v>
      </c>
      <c r="B2455" s="1">
        <v>101</v>
      </c>
    </row>
    <row r="2456" spans="1:2">
      <c r="A2456" s="112">
        <v>42633</v>
      </c>
      <c r="B2456" s="1">
        <v>89</v>
      </c>
    </row>
    <row r="2457" spans="1:2">
      <c r="A2457" s="112">
        <v>42634</v>
      </c>
      <c r="B2457" s="1">
        <v>74</v>
      </c>
    </row>
    <row r="2458" spans="1:2">
      <c r="A2458" s="112">
        <v>42635</v>
      </c>
      <c r="B2458" s="1">
        <v>59</v>
      </c>
    </row>
    <row r="2459" spans="1:2">
      <c r="A2459" s="112">
        <v>42636</v>
      </c>
      <c r="B2459" s="1">
        <v>49</v>
      </c>
    </row>
    <row r="2460" spans="1:2">
      <c r="A2460" s="112">
        <v>42637</v>
      </c>
      <c r="B2460" s="1">
        <v>47</v>
      </c>
    </row>
    <row r="2461" spans="1:2">
      <c r="A2461" s="112">
        <v>42638</v>
      </c>
      <c r="B2461" s="1">
        <v>53</v>
      </c>
    </row>
    <row r="2462" spans="1:2">
      <c r="A2462" s="112">
        <v>42639</v>
      </c>
      <c r="B2462" s="1">
        <v>63</v>
      </c>
    </row>
    <row r="2463" spans="1:2">
      <c r="A2463" s="112">
        <v>42640</v>
      </c>
      <c r="B2463" s="1">
        <v>73</v>
      </c>
    </row>
    <row r="2464" spans="1:2">
      <c r="A2464" s="112">
        <v>42641</v>
      </c>
      <c r="B2464" s="1">
        <v>81</v>
      </c>
    </row>
    <row r="2465" spans="1:2">
      <c r="A2465" s="112">
        <v>42642</v>
      </c>
      <c r="B2465" s="1">
        <v>86</v>
      </c>
    </row>
    <row r="2466" spans="1:2">
      <c r="A2466" s="112">
        <v>42643</v>
      </c>
      <c r="B2466" s="1">
        <v>89</v>
      </c>
    </row>
    <row r="2467" spans="1:2">
      <c r="A2467" s="112">
        <v>42644</v>
      </c>
      <c r="B2467" s="1">
        <v>89</v>
      </c>
    </row>
    <row r="2468" spans="1:2">
      <c r="A2468" s="112">
        <v>42645</v>
      </c>
      <c r="B2468" s="1">
        <v>86</v>
      </c>
    </row>
    <row r="2469" spans="1:2">
      <c r="A2469" s="112">
        <v>42646</v>
      </c>
      <c r="B2469" s="1">
        <v>81</v>
      </c>
    </row>
    <row r="2470" spans="1:2">
      <c r="A2470" s="112">
        <v>42647</v>
      </c>
      <c r="B2470" s="1">
        <v>74</v>
      </c>
    </row>
    <row r="2471" spans="1:2">
      <c r="A2471" s="112">
        <v>42648</v>
      </c>
      <c r="B2471" s="1">
        <v>65</v>
      </c>
    </row>
    <row r="2472" spans="1:2">
      <c r="A2472" s="112">
        <v>42649</v>
      </c>
      <c r="B2472" s="1">
        <v>55</v>
      </c>
    </row>
    <row r="2473" spans="1:2">
      <c r="A2473" s="112">
        <v>42650</v>
      </c>
      <c r="B2473" s="1">
        <v>46</v>
      </c>
    </row>
    <row r="2474" spans="1:2">
      <c r="A2474" s="112">
        <v>42651</v>
      </c>
      <c r="B2474" s="1">
        <v>39</v>
      </c>
    </row>
    <row r="2475" spans="1:2">
      <c r="A2475" s="112">
        <v>42652</v>
      </c>
      <c r="B2475" s="1">
        <v>37</v>
      </c>
    </row>
    <row r="2476" spans="1:2">
      <c r="A2476" s="112">
        <v>42653</v>
      </c>
      <c r="B2476" s="1">
        <v>43</v>
      </c>
    </row>
    <row r="2477" spans="1:2">
      <c r="A2477" s="112">
        <v>42654</v>
      </c>
      <c r="B2477" s="1">
        <v>56</v>
      </c>
    </row>
    <row r="2478" spans="1:2">
      <c r="A2478" s="112">
        <v>42655</v>
      </c>
      <c r="B2478" s="1">
        <v>72</v>
      </c>
    </row>
    <row r="2479" spans="1:2">
      <c r="A2479" s="112">
        <v>42656</v>
      </c>
      <c r="B2479" s="1">
        <v>88</v>
      </c>
    </row>
    <row r="2480" spans="1:2">
      <c r="A2480" s="112">
        <v>42657</v>
      </c>
      <c r="B2480" s="1">
        <v>101</v>
      </c>
    </row>
    <row r="2481" spans="1:2">
      <c r="A2481" s="112">
        <v>42658</v>
      </c>
      <c r="B2481" s="1">
        <v>110</v>
      </c>
    </row>
    <row r="2482" spans="1:2">
      <c r="A2482" s="112">
        <v>42659</v>
      </c>
      <c r="B2482" s="1">
        <v>114</v>
      </c>
    </row>
    <row r="2483" spans="1:2">
      <c r="A2483" s="112">
        <v>42660</v>
      </c>
      <c r="B2483" s="1">
        <v>111</v>
      </c>
    </row>
    <row r="2484" spans="1:2">
      <c r="A2484" s="112">
        <v>42661</v>
      </c>
      <c r="B2484" s="1">
        <v>102</v>
      </c>
    </row>
    <row r="2485" spans="1:2">
      <c r="A2485" s="112">
        <v>42662</v>
      </c>
      <c r="B2485" s="1">
        <v>88</v>
      </c>
    </row>
    <row r="2486" spans="1:2">
      <c r="A2486" s="112">
        <v>42663</v>
      </c>
      <c r="B2486" s="1">
        <v>73</v>
      </c>
    </row>
    <row r="2487" spans="1:2">
      <c r="A2487" s="112">
        <v>42664</v>
      </c>
      <c r="B2487" s="1">
        <v>58</v>
      </c>
    </row>
    <row r="2488" spans="1:2">
      <c r="A2488" s="112">
        <v>42665</v>
      </c>
      <c r="B2488" s="1">
        <v>48</v>
      </c>
    </row>
    <row r="2489" spans="1:2">
      <c r="A2489" s="112">
        <v>42666</v>
      </c>
      <c r="B2489" s="1">
        <v>46</v>
      </c>
    </row>
    <row r="2490" spans="1:2">
      <c r="A2490" s="112">
        <v>42667</v>
      </c>
      <c r="B2490" s="1">
        <v>51</v>
      </c>
    </row>
    <row r="2491" spans="1:2">
      <c r="A2491" s="112">
        <v>42668</v>
      </c>
      <c r="B2491" s="1">
        <v>59</v>
      </c>
    </row>
    <row r="2492" spans="1:2">
      <c r="A2492" s="112">
        <v>42669</v>
      </c>
      <c r="B2492" s="1">
        <v>68</v>
      </c>
    </row>
    <row r="2493" spans="1:2">
      <c r="A2493" s="112">
        <v>42670</v>
      </c>
      <c r="B2493" s="1">
        <v>75</v>
      </c>
    </row>
    <row r="2494" spans="1:2">
      <c r="A2494" s="112">
        <v>42671</v>
      </c>
      <c r="B2494" s="1">
        <v>81</v>
      </c>
    </row>
    <row r="2495" spans="1:2">
      <c r="A2495" s="112">
        <v>42672</v>
      </c>
      <c r="B2495" s="1">
        <v>84</v>
      </c>
    </row>
    <row r="2496" spans="1:2">
      <c r="A2496" s="112">
        <v>42673</v>
      </c>
      <c r="B2496" s="1">
        <v>85</v>
      </c>
    </row>
    <row r="2497" spans="1:2">
      <c r="A2497" s="112">
        <v>42674</v>
      </c>
      <c r="B2497" s="1">
        <v>84</v>
      </c>
    </row>
    <row r="2498" spans="1:2">
      <c r="A2498" s="112">
        <v>42675</v>
      </c>
      <c r="B2498" s="1">
        <v>81</v>
      </c>
    </row>
    <row r="2499" spans="1:2">
      <c r="A2499" s="112">
        <v>42676</v>
      </c>
      <c r="B2499" s="1">
        <v>75</v>
      </c>
    </row>
    <row r="2500" spans="1:2">
      <c r="A2500" s="112">
        <v>42677</v>
      </c>
      <c r="B2500" s="1">
        <v>68</v>
      </c>
    </row>
    <row r="2501" spans="1:2">
      <c r="A2501" s="112">
        <v>42678</v>
      </c>
      <c r="B2501" s="1">
        <v>60</v>
      </c>
    </row>
    <row r="2502" spans="1:2">
      <c r="A2502" s="112">
        <v>42679</v>
      </c>
      <c r="B2502" s="1">
        <v>52</v>
      </c>
    </row>
    <row r="2503" spans="1:2">
      <c r="A2503" s="112">
        <v>42680</v>
      </c>
      <c r="B2503" s="1">
        <v>45</v>
      </c>
    </row>
    <row r="2504" spans="1:2">
      <c r="A2504" s="112">
        <v>42681</v>
      </c>
      <c r="B2504" s="1">
        <v>42</v>
      </c>
    </row>
    <row r="2505" spans="1:2">
      <c r="A2505" s="112">
        <v>42682</v>
      </c>
      <c r="B2505" s="1">
        <v>47</v>
      </c>
    </row>
    <row r="2506" spans="1:2">
      <c r="A2506" s="112">
        <v>42683</v>
      </c>
      <c r="B2506" s="1">
        <v>57</v>
      </c>
    </row>
    <row r="2507" spans="1:2">
      <c r="A2507" s="112">
        <v>42684</v>
      </c>
      <c r="B2507" s="1">
        <v>71</v>
      </c>
    </row>
    <row r="2508" spans="1:2">
      <c r="A2508" s="112">
        <v>42685</v>
      </c>
      <c r="B2508" s="1">
        <v>86</v>
      </c>
    </row>
    <row r="2509" spans="1:2">
      <c r="A2509" s="112">
        <v>42686</v>
      </c>
      <c r="B2509" s="1">
        <v>99</v>
      </c>
    </row>
    <row r="2510" spans="1:2">
      <c r="A2510" s="112">
        <v>42687</v>
      </c>
      <c r="B2510" s="1">
        <v>107</v>
      </c>
    </row>
    <row r="2511" spans="1:2">
      <c r="A2511" s="112">
        <v>42688</v>
      </c>
      <c r="B2511" s="1">
        <v>111</v>
      </c>
    </row>
    <row r="2512" spans="1:2">
      <c r="A2512" s="112">
        <v>42689</v>
      </c>
      <c r="B2512" s="1">
        <v>108</v>
      </c>
    </row>
    <row r="2513" spans="1:2">
      <c r="A2513" s="112">
        <v>42690</v>
      </c>
      <c r="B2513" s="1">
        <v>100</v>
      </c>
    </row>
    <row r="2514" spans="1:2">
      <c r="A2514" s="112">
        <v>42691</v>
      </c>
      <c r="B2514" s="1">
        <v>88</v>
      </c>
    </row>
    <row r="2515" spans="1:2">
      <c r="A2515" s="112">
        <v>42692</v>
      </c>
      <c r="B2515" s="1">
        <v>74</v>
      </c>
    </row>
    <row r="2516" spans="1:2">
      <c r="A2516" s="112">
        <v>42693</v>
      </c>
      <c r="B2516" s="1">
        <v>61</v>
      </c>
    </row>
    <row r="2517" spans="1:2">
      <c r="A2517" s="112">
        <v>42694</v>
      </c>
      <c r="B2517" s="1">
        <v>51</v>
      </c>
    </row>
    <row r="2518" spans="1:2">
      <c r="A2518" s="112">
        <v>42695</v>
      </c>
      <c r="B2518" s="1">
        <v>46</v>
      </c>
    </row>
    <row r="2519" spans="1:2">
      <c r="A2519" s="112">
        <v>42696</v>
      </c>
      <c r="B2519" s="1">
        <v>48</v>
      </c>
    </row>
    <row r="2520" spans="1:2">
      <c r="A2520" s="112">
        <v>42697</v>
      </c>
      <c r="B2520" s="1">
        <v>53</v>
      </c>
    </row>
    <row r="2521" spans="1:2">
      <c r="A2521" s="112">
        <v>42698</v>
      </c>
      <c r="B2521" s="1">
        <v>59</v>
      </c>
    </row>
    <row r="2522" spans="1:2">
      <c r="A2522" s="112">
        <v>42699</v>
      </c>
      <c r="B2522" s="1">
        <v>66</v>
      </c>
    </row>
    <row r="2523" spans="1:2">
      <c r="A2523" s="112">
        <v>42700</v>
      </c>
      <c r="B2523" s="1">
        <v>72</v>
      </c>
    </row>
    <row r="2524" spans="1:2">
      <c r="A2524" s="112">
        <v>42701</v>
      </c>
      <c r="B2524" s="1">
        <v>76</v>
      </c>
    </row>
    <row r="2525" spans="1:2">
      <c r="A2525" s="112">
        <v>42702</v>
      </c>
      <c r="B2525" s="1">
        <v>79</v>
      </c>
    </row>
    <row r="2526" spans="1:2">
      <c r="A2526" s="112">
        <v>42703</v>
      </c>
      <c r="B2526" s="1">
        <v>81</v>
      </c>
    </row>
    <row r="2527" spans="1:2">
      <c r="A2527" s="112">
        <v>42704</v>
      </c>
      <c r="B2527" s="1">
        <v>80</v>
      </c>
    </row>
    <row r="2528" spans="1:2">
      <c r="A2528" s="112">
        <v>42705</v>
      </c>
      <c r="B2528" s="1">
        <v>77</v>
      </c>
    </row>
    <row r="2529" spans="1:2">
      <c r="A2529" s="112">
        <v>42706</v>
      </c>
      <c r="B2529" s="1">
        <v>73</v>
      </c>
    </row>
    <row r="2530" spans="1:2">
      <c r="A2530" s="112">
        <v>42707</v>
      </c>
      <c r="B2530" s="1">
        <v>67</v>
      </c>
    </row>
    <row r="2531" spans="1:2">
      <c r="A2531" s="112">
        <v>42708</v>
      </c>
      <c r="B2531" s="1">
        <v>61</v>
      </c>
    </row>
    <row r="2532" spans="1:2">
      <c r="A2532" s="112">
        <v>42709</v>
      </c>
      <c r="B2532" s="1">
        <v>55</v>
      </c>
    </row>
    <row r="2533" spans="1:2">
      <c r="A2533" s="112">
        <v>42710</v>
      </c>
      <c r="B2533" s="1">
        <v>51</v>
      </c>
    </row>
    <row r="2534" spans="1:2">
      <c r="A2534" s="112">
        <v>42711</v>
      </c>
      <c r="B2534" s="1">
        <v>52</v>
      </c>
    </row>
    <row r="2535" spans="1:2">
      <c r="A2535" s="112">
        <v>42712</v>
      </c>
      <c r="B2535" s="1">
        <v>58</v>
      </c>
    </row>
    <row r="2536" spans="1:2">
      <c r="A2536" s="112">
        <v>42713</v>
      </c>
      <c r="B2536" s="1">
        <v>68</v>
      </c>
    </row>
    <row r="2537" spans="1:2">
      <c r="A2537" s="112">
        <v>42714</v>
      </c>
      <c r="B2537" s="1">
        <v>80</v>
      </c>
    </row>
    <row r="2538" spans="1:2">
      <c r="A2538" s="112">
        <v>42715</v>
      </c>
      <c r="B2538" s="1">
        <v>90</v>
      </c>
    </row>
    <row r="2539" spans="1:2">
      <c r="A2539" s="112">
        <v>42716</v>
      </c>
      <c r="B2539" s="1">
        <v>99</v>
      </c>
    </row>
    <row r="2540" spans="1:2">
      <c r="A2540" s="112">
        <v>42717</v>
      </c>
      <c r="B2540" s="1">
        <v>103</v>
      </c>
    </row>
    <row r="2541" spans="1:2">
      <c r="A2541" s="112">
        <v>42718</v>
      </c>
      <c r="B2541" s="1">
        <v>103</v>
      </c>
    </row>
    <row r="2542" spans="1:2">
      <c r="A2542" s="112">
        <v>42719</v>
      </c>
      <c r="B2542" s="1">
        <v>98</v>
      </c>
    </row>
    <row r="2543" spans="1:2">
      <c r="A2543" s="112">
        <v>42720</v>
      </c>
      <c r="B2543" s="1">
        <v>90</v>
      </c>
    </row>
    <row r="2544" spans="1:2">
      <c r="A2544" s="112">
        <v>42721</v>
      </c>
      <c r="B2544" s="1">
        <v>79</v>
      </c>
    </row>
    <row r="2545" spans="1:2">
      <c r="A2545" s="112">
        <v>42722</v>
      </c>
      <c r="B2545" s="1">
        <v>68</v>
      </c>
    </row>
    <row r="2546" spans="1:2">
      <c r="A2546" s="112">
        <v>42723</v>
      </c>
      <c r="B2546" s="1">
        <v>58</v>
      </c>
    </row>
    <row r="2547" spans="1:2">
      <c r="A2547" s="112">
        <v>42724</v>
      </c>
      <c r="B2547" s="1">
        <v>50</v>
      </c>
    </row>
    <row r="2548" spans="1:2">
      <c r="A2548" s="112">
        <v>42725</v>
      </c>
      <c r="B2548" s="1">
        <v>45</v>
      </c>
    </row>
    <row r="2549" spans="1:2">
      <c r="A2549" s="112">
        <v>42726</v>
      </c>
      <c r="B2549" s="1">
        <v>45</v>
      </c>
    </row>
    <row r="2550" spans="1:2">
      <c r="A2550" s="112">
        <v>42727</v>
      </c>
      <c r="B2550" s="1">
        <v>49</v>
      </c>
    </row>
    <row r="2551" spans="1:2">
      <c r="A2551" s="112">
        <v>42728</v>
      </c>
      <c r="B2551" s="1">
        <v>55</v>
      </c>
    </row>
    <row r="2552" spans="1:2">
      <c r="A2552" s="112">
        <v>42729</v>
      </c>
      <c r="B2552" s="1">
        <v>61</v>
      </c>
    </row>
    <row r="2553" spans="1:2">
      <c r="A2553" s="112">
        <v>42730</v>
      </c>
      <c r="B2553" s="1">
        <v>68</v>
      </c>
    </row>
    <row r="2554" spans="1:2">
      <c r="A2554" s="112">
        <v>42731</v>
      </c>
      <c r="B2554" s="1">
        <v>73</v>
      </c>
    </row>
    <row r="2555" spans="1:2">
      <c r="A2555" s="112">
        <v>42732</v>
      </c>
      <c r="B2555" s="1">
        <v>78</v>
      </c>
    </row>
    <row r="2556" spans="1:2">
      <c r="A2556" s="112">
        <v>42733</v>
      </c>
      <c r="B2556" s="1">
        <v>81</v>
      </c>
    </row>
    <row r="2557" spans="1:2">
      <c r="A2557" s="112">
        <v>42734</v>
      </c>
      <c r="B2557" s="1">
        <v>82</v>
      </c>
    </row>
    <row r="2558" spans="1:2">
      <c r="A2558" s="112">
        <v>42735</v>
      </c>
      <c r="B2558" s="1">
        <v>80</v>
      </c>
    </row>
    <row r="2559" spans="1:2">
      <c r="A2559" s="112">
        <v>42736</v>
      </c>
      <c r="B2559" s="1">
        <v>78</v>
      </c>
    </row>
    <row r="2560" spans="1:2">
      <c r="A2560" s="112">
        <v>42737</v>
      </c>
      <c r="B2560" s="1">
        <v>73</v>
      </c>
    </row>
    <row r="2561" spans="1:2">
      <c r="A2561" s="112">
        <v>42738</v>
      </c>
      <c r="B2561" s="1">
        <v>68</v>
      </c>
    </row>
    <row r="2562" spans="1:2">
      <c r="A2562" s="112">
        <v>42739</v>
      </c>
      <c r="B2562" s="1">
        <v>62</v>
      </c>
    </row>
    <row r="2563" spans="1:2">
      <c r="A2563" s="112">
        <v>42740</v>
      </c>
      <c r="B2563" s="1">
        <v>58</v>
      </c>
    </row>
    <row r="2564" spans="1:2">
      <c r="A2564" s="112">
        <v>42741</v>
      </c>
      <c r="B2564" s="1">
        <v>58</v>
      </c>
    </row>
    <row r="2565" spans="1:2">
      <c r="A2565" s="112">
        <v>42742</v>
      </c>
      <c r="B2565" s="1">
        <v>62</v>
      </c>
    </row>
    <row r="2566" spans="1:2">
      <c r="A2566" s="112">
        <v>42743</v>
      </c>
      <c r="B2566" s="1">
        <v>70</v>
      </c>
    </row>
    <row r="2567" spans="1:2">
      <c r="A2567" s="112">
        <v>42744</v>
      </c>
      <c r="B2567" s="1">
        <v>79</v>
      </c>
    </row>
    <row r="2568" spans="1:2">
      <c r="A2568" s="112">
        <v>42745</v>
      </c>
      <c r="B2568" s="1">
        <v>89</v>
      </c>
    </row>
    <row r="2569" spans="1:2">
      <c r="A2569" s="112">
        <v>42746</v>
      </c>
      <c r="B2569" s="1">
        <v>96</v>
      </c>
    </row>
    <row r="2570" spans="1:2">
      <c r="A2570" s="112">
        <v>42747</v>
      </c>
      <c r="B2570" s="1">
        <v>99</v>
      </c>
    </row>
    <row r="2571" spans="1:2">
      <c r="A2571" s="112">
        <v>42748</v>
      </c>
      <c r="B2571" s="1">
        <v>98</v>
      </c>
    </row>
    <row r="2572" spans="1:2">
      <c r="A2572" s="112">
        <v>42749</v>
      </c>
      <c r="B2572" s="1">
        <v>94</v>
      </c>
    </row>
    <row r="2573" spans="1:2">
      <c r="A2573" s="112">
        <v>42750</v>
      </c>
      <c r="B2573" s="1">
        <v>86</v>
      </c>
    </row>
    <row r="2574" spans="1:2">
      <c r="A2574" s="112">
        <v>42751</v>
      </c>
      <c r="B2574" s="1">
        <v>76</v>
      </c>
    </row>
    <row r="2575" spans="1:2">
      <c r="A2575" s="112">
        <v>42752</v>
      </c>
      <c r="B2575" s="1">
        <v>65</v>
      </c>
    </row>
    <row r="2576" spans="1:2">
      <c r="A2576" s="112">
        <v>42753</v>
      </c>
      <c r="B2576" s="1">
        <v>55</v>
      </c>
    </row>
    <row r="2577" spans="1:2">
      <c r="A2577" s="112">
        <v>42754</v>
      </c>
      <c r="B2577" s="1">
        <v>46</v>
      </c>
    </row>
    <row r="2578" spans="1:2">
      <c r="A2578" s="112">
        <v>42755</v>
      </c>
      <c r="B2578" s="1">
        <v>41</v>
      </c>
    </row>
    <row r="2579" spans="1:2">
      <c r="A2579" s="112">
        <v>42756</v>
      </c>
      <c r="B2579" s="1">
        <v>39</v>
      </c>
    </row>
    <row r="2580" spans="1:2">
      <c r="A2580" s="112">
        <v>42757</v>
      </c>
      <c r="B2580" s="1">
        <v>44</v>
      </c>
    </row>
    <row r="2581" spans="1:2">
      <c r="A2581" s="112">
        <v>42758</v>
      </c>
      <c r="B2581" s="1">
        <v>51</v>
      </c>
    </row>
    <row r="2582" spans="1:2">
      <c r="A2582" s="112">
        <v>42759</v>
      </c>
      <c r="B2582" s="1">
        <v>61</v>
      </c>
    </row>
    <row r="2583" spans="1:2">
      <c r="A2583" s="112">
        <v>42760</v>
      </c>
      <c r="B2583" s="1">
        <v>70</v>
      </c>
    </row>
    <row r="2584" spans="1:2">
      <c r="A2584" s="112">
        <v>42761</v>
      </c>
      <c r="B2584" s="1">
        <v>78</v>
      </c>
    </row>
    <row r="2585" spans="1:2">
      <c r="A2585" s="112">
        <v>42762</v>
      </c>
      <c r="B2585" s="1">
        <v>85</v>
      </c>
    </row>
    <row r="2586" spans="1:2">
      <c r="A2586" s="112">
        <v>42763</v>
      </c>
      <c r="B2586" s="1">
        <v>89</v>
      </c>
    </row>
    <row r="2587" spans="1:2">
      <c r="A2587" s="112">
        <v>42764</v>
      </c>
      <c r="B2587" s="1">
        <v>92</v>
      </c>
    </row>
    <row r="2588" spans="1:2">
      <c r="A2588" s="112">
        <v>42765</v>
      </c>
      <c r="B2588" s="1">
        <v>90</v>
      </c>
    </row>
    <row r="2589" spans="1:2">
      <c r="A2589" s="112">
        <v>42766</v>
      </c>
      <c r="B2589" s="1">
        <v>86</v>
      </c>
    </row>
    <row r="2590" spans="1:2">
      <c r="A2590" s="112">
        <v>42767</v>
      </c>
      <c r="B2590" s="1">
        <v>80</v>
      </c>
    </row>
    <row r="2591" spans="1:2">
      <c r="A2591" s="112">
        <v>42768</v>
      </c>
      <c r="B2591" s="1">
        <v>71</v>
      </c>
    </row>
    <row r="2592" spans="1:2">
      <c r="A2592" s="112">
        <v>42769</v>
      </c>
      <c r="B2592" s="1">
        <v>62</v>
      </c>
    </row>
    <row r="2593" spans="1:2">
      <c r="A2593" s="112">
        <v>42770</v>
      </c>
      <c r="B2593" s="1">
        <v>56</v>
      </c>
    </row>
    <row r="2594" spans="1:2">
      <c r="A2594" s="112">
        <v>42771</v>
      </c>
      <c r="B2594" s="1">
        <v>55</v>
      </c>
    </row>
    <row r="2595" spans="1:2">
      <c r="A2595" s="112">
        <v>42772</v>
      </c>
      <c r="B2595" s="1">
        <v>60</v>
      </c>
    </row>
    <row r="2596" spans="1:2">
      <c r="A2596" s="112">
        <v>42773</v>
      </c>
      <c r="B2596" s="1">
        <v>70</v>
      </c>
    </row>
    <row r="2597" spans="1:2">
      <c r="A2597" s="112">
        <v>42774</v>
      </c>
      <c r="B2597" s="1">
        <v>81</v>
      </c>
    </row>
    <row r="2598" spans="1:2">
      <c r="A2598" s="112">
        <v>42775</v>
      </c>
      <c r="B2598" s="1">
        <v>90</v>
      </c>
    </row>
    <row r="2599" spans="1:2">
      <c r="A2599" s="112">
        <v>42776</v>
      </c>
      <c r="B2599" s="1">
        <v>96</v>
      </c>
    </row>
    <row r="2600" spans="1:2">
      <c r="A2600" s="112">
        <v>42777</v>
      </c>
      <c r="B2600" s="1">
        <v>98</v>
      </c>
    </row>
    <row r="2601" spans="1:2">
      <c r="A2601" s="112">
        <v>42778</v>
      </c>
      <c r="B2601" s="1">
        <v>96</v>
      </c>
    </row>
    <row r="2602" spans="1:2">
      <c r="A2602" s="112">
        <v>42779</v>
      </c>
      <c r="B2602" s="1">
        <v>90</v>
      </c>
    </row>
    <row r="2603" spans="1:2">
      <c r="A2603" s="112">
        <v>42780</v>
      </c>
      <c r="B2603" s="1">
        <v>82</v>
      </c>
    </row>
    <row r="2604" spans="1:2">
      <c r="A2604" s="112">
        <v>42781</v>
      </c>
      <c r="B2604" s="1">
        <v>71</v>
      </c>
    </row>
    <row r="2605" spans="1:2">
      <c r="A2605" s="112">
        <v>42782</v>
      </c>
      <c r="B2605" s="1">
        <v>60</v>
      </c>
    </row>
    <row r="2606" spans="1:2">
      <c r="A2606" s="112">
        <v>42783</v>
      </c>
      <c r="B2606" s="1">
        <v>49</v>
      </c>
    </row>
    <row r="2607" spans="1:2">
      <c r="A2607" s="112">
        <v>42784</v>
      </c>
      <c r="B2607" s="1">
        <v>40</v>
      </c>
    </row>
    <row r="2608" spans="1:2">
      <c r="A2608" s="112">
        <v>42785</v>
      </c>
      <c r="B2608" s="1">
        <v>35</v>
      </c>
    </row>
    <row r="2609" spans="1:2">
      <c r="A2609" s="112">
        <v>42786</v>
      </c>
      <c r="B2609" s="1">
        <v>36</v>
      </c>
    </row>
    <row r="2610" spans="1:2">
      <c r="A2610" s="112">
        <v>42787</v>
      </c>
      <c r="B2610" s="1">
        <v>44</v>
      </c>
    </row>
    <row r="2611" spans="1:2">
      <c r="A2611" s="112">
        <v>42788</v>
      </c>
      <c r="B2611" s="1">
        <v>56</v>
      </c>
    </row>
    <row r="2612" spans="1:2">
      <c r="A2612" s="112">
        <v>42789</v>
      </c>
      <c r="B2612" s="1">
        <v>67</v>
      </c>
    </row>
    <row r="2613" spans="1:2">
      <c r="A2613" s="112">
        <v>42790</v>
      </c>
      <c r="B2613" s="1">
        <v>80</v>
      </c>
    </row>
    <row r="2614" spans="1:2">
      <c r="A2614" s="112">
        <v>42791</v>
      </c>
      <c r="B2614" s="1">
        <v>90</v>
      </c>
    </row>
    <row r="2615" spans="1:2">
      <c r="A2615" s="112">
        <v>42792</v>
      </c>
      <c r="B2615" s="1">
        <v>97</v>
      </c>
    </row>
    <row r="2616" spans="1:2">
      <c r="A2616" s="112">
        <v>42793</v>
      </c>
      <c r="B2616" s="1">
        <v>102</v>
      </c>
    </row>
    <row r="2617" spans="1:2">
      <c r="A2617" s="112">
        <v>42794</v>
      </c>
      <c r="B2617" s="1">
        <v>102</v>
      </c>
    </row>
    <row r="2618" spans="1:2">
      <c r="A2618" s="112">
        <v>42795</v>
      </c>
      <c r="B2618" s="1">
        <v>97</v>
      </c>
    </row>
    <row r="2619" spans="1:2">
      <c r="A2619" s="112">
        <v>42796</v>
      </c>
      <c r="B2619" s="1">
        <v>88</v>
      </c>
    </row>
    <row r="2620" spans="1:2">
      <c r="A2620" s="112">
        <v>42797</v>
      </c>
      <c r="B2620" s="1">
        <v>76</v>
      </c>
    </row>
    <row r="2621" spans="1:2">
      <c r="A2621" s="112">
        <v>42798</v>
      </c>
      <c r="B2621" s="1">
        <v>63</v>
      </c>
    </row>
    <row r="2622" spans="1:2">
      <c r="A2622" s="112">
        <v>42799</v>
      </c>
      <c r="B2622" s="1">
        <v>53</v>
      </c>
    </row>
    <row r="2623" spans="1:2">
      <c r="A2623" s="112">
        <v>42800</v>
      </c>
      <c r="B2623" s="1">
        <v>49</v>
      </c>
    </row>
    <row r="2624" spans="1:2">
      <c r="A2624" s="112">
        <v>42801</v>
      </c>
      <c r="B2624" s="1">
        <v>55</v>
      </c>
    </row>
    <row r="2625" spans="1:2">
      <c r="A2625" s="112">
        <v>42802</v>
      </c>
      <c r="B2625" s="1">
        <v>65</v>
      </c>
    </row>
    <row r="2626" spans="1:2">
      <c r="A2626" s="112">
        <v>42803</v>
      </c>
      <c r="B2626" s="1">
        <v>77</v>
      </c>
    </row>
    <row r="2627" spans="1:2">
      <c r="A2627" s="112">
        <v>42804</v>
      </c>
      <c r="B2627" s="1">
        <v>86</v>
      </c>
    </row>
    <row r="2628" spans="1:2">
      <c r="A2628" s="112">
        <v>42805</v>
      </c>
      <c r="B2628" s="1">
        <v>93</v>
      </c>
    </row>
    <row r="2629" spans="1:2">
      <c r="A2629" s="112">
        <v>42806</v>
      </c>
      <c r="B2629" s="1">
        <v>96</v>
      </c>
    </row>
    <row r="2630" spans="1:2">
      <c r="A2630" s="112">
        <v>42807</v>
      </c>
      <c r="B2630" s="1">
        <v>95</v>
      </c>
    </row>
    <row r="2631" spans="1:2">
      <c r="A2631" s="112">
        <v>42808</v>
      </c>
      <c r="B2631" s="1">
        <v>90</v>
      </c>
    </row>
    <row r="2632" spans="1:2">
      <c r="A2632" s="112">
        <v>42809</v>
      </c>
      <c r="B2632" s="1">
        <v>84</v>
      </c>
    </row>
    <row r="2633" spans="1:2">
      <c r="A2633" s="112">
        <v>42810</v>
      </c>
      <c r="B2633" s="1">
        <v>74</v>
      </c>
    </row>
    <row r="2634" spans="1:2">
      <c r="A2634" s="112">
        <v>42811</v>
      </c>
      <c r="B2634" s="1">
        <v>64</v>
      </c>
    </row>
    <row r="2635" spans="1:2">
      <c r="A2635" s="112">
        <v>42812</v>
      </c>
      <c r="B2635" s="1">
        <v>52</v>
      </c>
    </row>
    <row r="2636" spans="1:2">
      <c r="A2636" s="112">
        <v>42813</v>
      </c>
      <c r="B2636" s="1">
        <v>42</v>
      </c>
    </row>
    <row r="2637" spans="1:2">
      <c r="A2637" s="112">
        <v>42814</v>
      </c>
      <c r="B2637" s="1">
        <v>34</v>
      </c>
    </row>
    <row r="2638" spans="1:2">
      <c r="A2638" s="112">
        <v>42815</v>
      </c>
      <c r="B2638" s="1">
        <v>35</v>
      </c>
    </row>
    <row r="2639" spans="1:2">
      <c r="A2639" s="112">
        <v>42816</v>
      </c>
      <c r="B2639" s="1">
        <v>41</v>
      </c>
    </row>
    <row r="2640" spans="1:2">
      <c r="A2640" s="112">
        <v>42817</v>
      </c>
      <c r="B2640" s="1">
        <v>53</v>
      </c>
    </row>
    <row r="2641" spans="1:2">
      <c r="A2641" s="112">
        <v>42818</v>
      </c>
      <c r="B2641" s="1">
        <v>67</v>
      </c>
    </row>
    <row r="2642" spans="1:2">
      <c r="A2642" s="112">
        <v>42819</v>
      </c>
      <c r="B2642" s="1">
        <v>81</v>
      </c>
    </row>
    <row r="2643" spans="1:2">
      <c r="A2643" s="112">
        <v>42820</v>
      </c>
      <c r="B2643" s="1">
        <v>94</v>
      </c>
    </row>
    <row r="2644" spans="1:2">
      <c r="A2644" s="112">
        <v>42821</v>
      </c>
      <c r="B2644" s="1">
        <v>104</v>
      </c>
    </row>
    <row r="2645" spans="1:2">
      <c r="A2645" s="112">
        <v>42822</v>
      </c>
      <c r="B2645" s="1">
        <v>108</v>
      </c>
    </row>
    <row r="2646" spans="1:2">
      <c r="A2646" s="112">
        <v>42823</v>
      </c>
      <c r="B2646" s="1">
        <v>108</v>
      </c>
    </row>
    <row r="2647" spans="1:2">
      <c r="A2647" s="112">
        <v>42824</v>
      </c>
      <c r="B2647" s="1">
        <v>102</v>
      </c>
    </row>
    <row r="2648" spans="1:2">
      <c r="A2648" s="112">
        <v>42825</v>
      </c>
      <c r="B2648" s="1">
        <v>91</v>
      </c>
    </row>
    <row r="2649" spans="1:2">
      <c r="A2649" s="112">
        <v>42826</v>
      </c>
      <c r="B2649" s="1">
        <v>76</v>
      </c>
    </row>
    <row r="2650" spans="1:2">
      <c r="A2650" s="112">
        <v>42827</v>
      </c>
      <c r="B2650" s="1">
        <v>62</v>
      </c>
    </row>
    <row r="2651" spans="1:2">
      <c r="A2651" s="112">
        <v>42828</v>
      </c>
      <c r="B2651" s="1">
        <v>51</v>
      </c>
    </row>
    <row r="2652" spans="1:2">
      <c r="A2652" s="112">
        <v>42829</v>
      </c>
      <c r="B2652" s="1">
        <v>48</v>
      </c>
    </row>
    <row r="2653" spans="1:2">
      <c r="A2653" s="112">
        <v>42830</v>
      </c>
      <c r="B2653" s="1">
        <v>54</v>
      </c>
    </row>
    <row r="2654" spans="1:2">
      <c r="A2654" s="112">
        <v>42831</v>
      </c>
      <c r="B2654" s="1">
        <v>63</v>
      </c>
    </row>
    <row r="2655" spans="1:2">
      <c r="A2655" s="112">
        <v>42832</v>
      </c>
      <c r="B2655" s="1">
        <v>73</v>
      </c>
    </row>
    <row r="2656" spans="1:2">
      <c r="A2656" s="112">
        <v>42833</v>
      </c>
      <c r="B2656" s="1">
        <v>82</v>
      </c>
    </row>
    <row r="2657" spans="1:2">
      <c r="A2657" s="112">
        <v>42834</v>
      </c>
      <c r="B2657" s="1">
        <v>87</v>
      </c>
    </row>
    <row r="2658" spans="1:2">
      <c r="A2658" s="112">
        <v>42835</v>
      </c>
      <c r="B2658" s="1">
        <v>90</v>
      </c>
    </row>
    <row r="2659" spans="1:2">
      <c r="A2659" s="112">
        <v>42836</v>
      </c>
      <c r="B2659" s="1">
        <v>90</v>
      </c>
    </row>
    <row r="2660" spans="1:2">
      <c r="A2660" s="112">
        <v>42837</v>
      </c>
      <c r="B2660" s="1">
        <v>87</v>
      </c>
    </row>
    <row r="2661" spans="1:2">
      <c r="A2661" s="112">
        <v>42838</v>
      </c>
      <c r="B2661" s="1">
        <v>81</v>
      </c>
    </row>
    <row r="2662" spans="1:2">
      <c r="A2662" s="112">
        <v>42839</v>
      </c>
      <c r="B2662" s="1">
        <v>73</v>
      </c>
    </row>
    <row r="2663" spans="1:2">
      <c r="A2663" s="112">
        <v>42840</v>
      </c>
      <c r="B2663" s="1">
        <v>65</v>
      </c>
    </row>
    <row r="2664" spans="1:2">
      <c r="A2664" s="112">
        <v>42841</v>
      </c>
      <c r="B2664" s="1">
        <v>55</v>
      </c>
    </row>
    <row r="2665" spans="1:2">
      <c r="A2665" s="112">
        <v>42842</v>
      </c>
      <c r="B2665" s="1">
        <v>46</v>
      </c>
    </row>
    <row r="2666" spans="1:2">
      <c r="A2666" s="112">
        <v>42843</v>
      </c>
      <c r="B2666" s="1">
        <v>38</v>
      </c>
    </row>
    <row r="2667" spans="1:2">
      <c r="A2667" s="112">
        <v>42844</v>
      </c>
      <c r="B2667" s="1">
        <v>37</v>
      </c>
    </row>
    <row r="2668" spans="1:2">
      <c r="A2668" s="112">
        <v>42845</v>
      </c>
      <c r="B2668" s="1">
        <v>43</v>
      </c>
    </row>
    <row r="2669" spans="1:2">
      <c r="A2669" s="112">
        <v>42846</v>
      </c>
      <c r="B2669" s="1">
        <v>54</v>
      </c>
    </row>
    <row r="2670" spans="1:2">
      <c r="A2670" s="112">
        <v>42847</v>
      </c>
      <c r="B2670" s="1">
        <v>68</v>
      </c>
    </row>
    <row r="2671" spans="1:2">
      <c r="A2671" s="112">
        <v>42848</v>
      </c>
      <c r="B2671" s="1">
        <v>82</v>
      </c>
    </row>
    <row r="2672" spans="1:2">
      <c r="A2672" s="112">
        <v>42849</v>
      </c>
      <c r="B2672" s="1">
        <v>95</v>
      </c>
    </row>
    <row r="2673" spans="1:2">
      <c r="A2673" s="112">
        <v>42850</v>
      </c>
      <c r="B2673" s="1">
        <v>105</v>
      </c>
    </row>
    <row r="2674" spans="1:2">
      <c r="A2674" s="112">
        <v>42851</v>
      </c>
      <c r="B2674" s="1">
        <v>109</v>
      </c>
    </row>
    <row r="2675" spans="1:2">
      <c r="A2675" s="112">
        <v>42852</v>
      </c>
      <c r="B2675" s="1">
        <v>108</v>
      </c>
    </row>
    <row r="2676" spans="1:2">
      <c r="A2676" s="112">
        <v>42853</v>
      </c>
      <c r="B2676" s="1">
        <v>101</v>
      </c>
    </row>
    <row r="2677" spans="1:2">
      <c r="A2677" s="112">
        <v>42854</v>
      </c>
      <c r="B2677" s="1">
        <v>90</v>
      </c>
    </row>
    <row r="2678" spans="1:2">
      <c r="A2678" s="112">
        <v>42855</v>
      </c>
      <c r="B2678" s="1">
        <v>76</v>
      </c>
    </row>
    <row r="2679" spans="1:2">
      <c r="A2679" s="112">
        <v>42856</v>
      </c>
      <c r="B2679" s="1">
        <v>63</v>
      </c>
    </row>
    <row r="2680" spans="1:2">
      <c r="A2680" s="112">
        <v>42857</v>
      </c>
      <c r="B2680" s="1">
        <v>53</v>
      </c>
    </row>
    <row r="2681" spans="1:2">
      <c r="A2681" s="112">
        <v>42858</v>
      </c>
      <c r="B2681" s="1">
        <v>50</v>
      </c>
    </row>
    <row r="2682" spans="1:2">
      <c r="A2682" s="112">
        <v>42859</v>
      </c>
      <c r="B2682" s="1">
        <v>53</v>
      </c>
    </row>
    <row r="2683" spans="1:2">
      <c r="A2683" s="112">
        <v>42860</v>
      </c>
      <c r="B2683" s="1">
        <v>60</v>
      </c>
    </row>
    <row r="2684" spans="1:2">
      <c r="A2684" s="112">
        <v>42861</v>
      </c>
      <c r="B2684" s="1">
        <v>68</v>
      </c>
    </row>
    <row r="2685" spans="1:2">
      <c r="A2685" s="112">
        <v>42862</v>
      </c>
      <c r="B2685" s="1">
        <v>74</v>
      </c>
    </row>
    <row r="2686" spans="1:2">
      <c r="A2686" s="112">
        <v>42863</v>
      </c>
      <c r="B2686" s="1">
        <v>79</v>
      </c>
    </row>
    <row r="2687" spans="1:2">
      <c r="A2687" s="112">
        <v>42864</v>
      </c>
      <c r="B2687" s="1">
        <v>82</v>
      </c>
    </row>
    <row r="2688" spans="1:2">
      <c r="A2688" s="112">
        <v>42865</v>
      </c>
      <c r="B2688" s="1">
        <v>83</v>
      </c>
    </row>
    <row r="2689" spans="1:2">
      <c r="A2689" s="112">
        <v>42866</v>
      </c>
      <c r="B2689" s="1">
        <v>81</v>
      </c>
    </row>
    <row r="2690" spans="1:2">
      <c r="A2690" s="112">
        <v>42867</v>
      </c>
      <c r="B2690" s="1">
        <v>79</v>
      </c>
    </row>
    <row r="2691" spans="1:2">
      <c r="A2691" s="112">
        <v>42868</v>
      </c>
      <c r="B2691" s="1">
        <v>73</v>
      </c>
    </row>
    <row r="2692" spans="1:2">
      <c r="A2692" s="112">
        <v>42869</v>
      </c>
      <c r="B2692" s="1">
        <v>67</v>
      </c>
    </row>
    <row r="2693" spans="1:2">
      <c r="A2693" s="112">
        <v>42870</v>
      </c>
      <c r="B2693" s="1">
        <v>59</v>
      </c>
    </row>
    <row r="2694" spans="1:2">
      <c r="A2694" s="112">
        <v>42871</v>
      </c>
      <c r="B2694" s="1">
        <v>52</v>
      </c>
    </row>
    <row r="2695" spans="1:2">
      <c r="A2695" s="112">
        <v>42872</v>
      </c>
      <c r="B2695" s="1">
        <v>46</v>
      </c>
    </row>
    <row r="2696" spans="1:2">
      <c r="A2696" s="112">
        <v>42873</v>
      </c>
      <c r="B2696" s="1">
        <v>44</v>
      </c>
    </row>
    <row r="2697" spans="1:2">
      <c r="A2697" s="112">
        <v>42874</v>
      </c>
      <c r="B2697" s="1">
        <v>47</v>
      </c>
    </row>
    <row r="2698" spans="1:2">
      <c r="A2698" s="112">
        <v>42875</v>
      </c>
      <c r="B2698" s="1">
        <v>56</v>
      </c>
    </row>
    <row r="2699" spans="1:2">
      <c r="A2699" s="112">
        <v>42876</v>
      </c>
      <c r="B2699" s="1">
        <v>68</v>
      </c>
    </row>
    <row r="2700" spans="1:2">
      <c r="A2700" s="112">
        <v>42877</v>
      </c>
      <c r="B2700" s="1">
        <v>81</v>
      </c>
    </row>
    <row r="2701" spans="1:2">
      <c r="A2701" s="112">
        <v>42878</v>
      </c>
      <c r="B2701" s="1">
        <v>92</v>
      </c>
    </row>
    <row r="2702" spans="1:2">
      <c r="A2702" s="112">
        <v>42879</v>
      </c>
      <c r="B2702" s="1">
        <v>101</v>
      </c>
    </row>
    <row r="2703" spans="1:2">
      <c r="A2703" s="112">
        <v>42880</v>
      </c>
      <c r="B2703" s="1">
        <v>105</v>
      </c>
    </row>
    <row r="2704" spans="1:2">
      <c r="A2704" s="112">
        <v>42881</v>
      </c>
      <c r="B2704" s="1">
        <v>105</v>
      </c>
    </row>
    <row r="2705" spans="1:2">
      <c r="A2705" s="112">
        <v>42882</v>
      </c>
      <c r="B2705" s="1">
        <v>99</v>
      </c>
    </row>
    <row r="2706" spans="1:2">
      <c r="A2706" s="112">
        <v>42883</v>
      </c>
      <c r="B2706" s="1">
        <v>89</v>
      </c>
    </row>
    <row r="2707" spans="1:2">
      <c r="A2707" s="112">
        <v>42884</v>
      </c>
      <c r="B2707" s="1">
        <v>78</v>
      </c>
    </row>
    <row r="2708" spans="1:2">
      <c r="A2708" s="112">
        <v>42885</v>
      </c>
      <c r="B2708" s="1">
        <v>66</v>
      </c>
    </row>
    <row r="2709" spans="1:2">
      <c r="A2709" s="112">
        <v>42886</v>
      </c>
      <c r="B2709" s="1">
        <v>57</v>
      </c>
    </row>
    <row r="2710" spans="1:2">
      <c r="A2710" s="112">
        <v>42887</v>
      </c>
      <c r="B2710" s="1">
        <v>52</v>
      </c>
    </row>
    <row r="2711" spans="1:2">
      <c r="A2711" s="112">
        <v>42888</v>
      </c>
      <c r="B2711" s="1">
        <v>52</v>
      </c>
    </row>
    <row r="2712" spans="1:2">
      <c r="A2712" s="112">
        <v>42889</v>
      </c>
      <c r="B2712" s="1">
        <v>55</v>
      </c>
    </row>
    <row r="2713" spans="1:2">
      <c r="A2713" s="112">
        <v>42890</v>
      </c>
      <c r="B2713" s="1">
        <v>60</v>
      </c>
    </row>
    <row r="2714" spans="1:2">
      <c r="A2714" s="112">
        <v>42891</v>
      </c>
      <c r="B2714" s="1">
        <v>65</v>
      </c>
    </row>
    <row r="2715" spans="1:2">
      <c r="A2715" s="112">
        <v>42892</v>
      </c>
      <c r="B2715" s="1">
        <v>70</v>
      </c>
    </row>
    <row r="2716" spans="1:2">
      <c r="A2716" s="112">
        <v>42893</v>
      </c>
      <c r="B2716" s="1">
        <v>74</v>
      </c>
    </row>
    <row r="2717" spans="1:2">
      <c r="A2717" s="112">
        <v>42894</v>
      </c>
      <c r="B2717" s="1">
        <v>76</v>
      </c>
    </row>
    <row r="2718" spans="1:2">
      <c r="A2718" s="112">
        <v>42895</v>
      </c>
      <c r="B2718" s="1">
        <v>77</v>
      </c>
    </row>
    <row r="2719" spans="1:2">
      <c r="A2719" s="112">
        <v>42896</v>
      </c>
      <c r="B2719" s="1">
        <v>77</v>
      </c>
    </row>
    <row r="2720" spans="1:2">
      <c r="A2720" s="112">
        <v>42897</v>
      </c>
      <c r="B2720" s="1">
        <v>74</v>
      </c>
    </row>
    <row r="2721" spans="1:2">
      <c r="A2721" s="112">
        <v>42898</v>
      </c>
      <c r="B2721" s="1">
        <v>70</v>
      </c>
    </row>
    <row r="2722" spans="1:2">
      <c r="A2722" s="112">
        <v>42899</v>
      </c>
      <c r="B2722" s="1">
        <v>66</v>
      </c>
    </row>
    <row r="2723" spans="1:2">
      <c r="A2723" s="112">
        <v>42900</v>
      </c>
      <c r="B2723" s="1">
        <v>61</v>
      </c>
    </row>
    <row r="2724" spans="1:2">
      <c r="A2724" s="112">
        <v>42901</v>
      </c>
      <c r="B2724" s="1">
        <v>56</v>
      </c>
    </row>
    <row r="2725" spans="1:2">
      <c r="A2725" s="112">
        <v>42902</v>
      </c>
      <c r="B2725" s="1">
        <v>53</v>
      </c>
    </row>
    <row r="2726" spans="1:2">
      <c r="A2726" s="112">
        <v>42903</v>
      </c>
      <c r="B2726" s="1">
        <v>54</v>
      </c>
    </row>
    <row r="2727" spans="1:2">
      <c r="A2727" s="112">
        <v>42904</v>
      </c>
      <c r="B2727" s="1">
        <v>58</v>
      </c>
    </row>
    <row r="2728" spans="1:2">
      <c r="A2728" s="112">
        <v>42905</v>
      </c>
      <c r="B2728" s="1">
        <v>66</v>
      </c>
    </row>
    <row r="2729" spans="1:2">
      <c r="A2729" s="112">
        <v>42906</v>
      </c>
      <c r="B2729" s="1">
        <v>76</v>
      </c>
    </row>
    <row r="2730" spans="1:2">
      <c r="A2730" s="112">
        <v>42907</v>
      </c>
      <c r="B2730" s="1">
        <v>86</v>
      </c>
    </row>
    <row r="2731" spans="1:2">
      <c r="A2731" s="112">
        <v>42908</v>
      </c>
      <c r="B2731" s="1">
        <v>94</v>
      </c>
    </row>
    <row r="2732" spans="1:2">
      <c r="A2732" s="112">
        <v>42909</v>
      </c>
      <c r="B2732" s="1">
        <v>99</v>
      </c>
    </row>
    <row r="2733" spans="1:2">
      <c r="A2733" s="112">
        <v>42910</v>
      </c>
      <c r="B2733" s="1">
        <v>101</v>
      </c>
    </row>
    <row r="2734" spans="1:2">
      <c r="A2734" s="112">
        <v>42911</v>
      </c>
      <c r="B2734" s="1">
        <v>98</v>
      </c>
    </row>
    <row r="2735" spans="1:2">
      <c r="A2735" s="112">
        <v>42912</v>
      </c>
      <c r="B2735" s="1">
        <v>91</v>
      </c>
    </row>
    <row r="2736" spans="1:2">
      <c r="A2736" s="112">
        <v>42913</v>
      </c>
      <c r="B2736" s="1">
        <v>82</v>
      </c>
    </row>
    <row r="2737" spans="1:2">
      <c r="A2737" s="112">
        <v>42914</v>
      </c>
      <c r="B2737" s="1">
        <v>72</v>
      </c>
    </row>
    <row r="2738" spans="1:2">
      <c r="A2738" s="112">
        <v>42915</v>
      </c>
      <c r="B2738" s="1">
        <v>62</v>
      </c>
    </row>
    <row r="2739" spans="1:2">
      <c r="A2739" s="112">
        <v>42916</v>
      </c>
      <c r="B2739" s="1">
        <v>54</v>
      </c>
    </row>
    <row r="2740" spans="1:2">
      <c r="A2740" s="112">
        <v>42917</v>
      </c>
      <c r="B2740" s="1">
        <v>49</v>
      </c>
    </row>
    <row r="2741" spans="1:2">
      <c r="A2741" s="112">
        <v>42918</v>
      </c>
      <c r="B2741" s="1">
        <v>48</v>
      </c>
    </row>
    <row r="2742" spans="1:2">
      <c r="A2742" s="112">
        <v>42919</v>
      </c>
      <c r="B2742" s="1">
        <v>51</v>
      </c>
    </row>
    <row r="2743" spans="1:2">
      <c r="A2743" s="112">
        <v>42920</v>
      </c>
      <c r="B2743" s="1">
        <v>55</v>
      </c>
    </row>
    <row r="2744" spans="1:2">
      <c r="A2744" s="112">
        <v>42921</v>
      </c>
      <c r="B2744" s="1">
        <v>61</v>
      </c>
    </row>
    <row r="2745" spans="1:2">
      <c r="A2745" s="112">
        <v>42922</v>
      </c>
      <c r="B2745" s="1">
        <v>67</v>
      </c>
    </row>
    <row r="2746" spans="1:2">
      <c r="A2746" s="112">
        <v>42923</v>
      </c>
      <c r="B2746" s="1">
        <v>71</v>
      </c>
    </row>
    <row r="2747" spans="1:2">
      <c r="A2747" s="112">
        <v>42924</v>
      </c>
      <c r="B2747" s="1">
        <v>75</v>
      </c>
    </row>
    <row r="2748" spans="1:2">
      <c r="A2748" s="112">
        <v>42925</v>
      </c>
      <c r="B2748" s="1">
        <v>77</v>
      </c>
    </row>
    <row r="2749" spans="1:2">
      <c r="A2749" s="112">
        <v>42926</v>
      </c>
      <c r="B2749" s="1">
        <v>78</v>
      </c>
    </row>
    <row r="2750" spans="1:2">
      <c r="A2750" s="112">
        <v>42927</v>
      </c>
      <c r="B2750" s="1">
        <v>78</v>
      </c>
    </row>
    <row r="2751" spans="1:2">
      <c r="A2751" s="112">
        <v>42928</v>
      </c>
      <c r="B2751" s="1">
        <v>75</v>
      </c>
    </row>
    <row r="2752" spans="1:2">
      <c r="A2752" s="112">
        <v>42929</v>
      </c>
      <c r="B2752" s="1">
        <v>72</v>
      </c>
    </row>
    <row r="2753" spans="1:2">
      <c r="A2753" s="112">
        <v>42930</v>
      </c>
      <c r="B2753" s="1">
        <v>67</v>
      </c>
    </row>
    <row r="2754" spans="1:2">
      <c r="A2754" s="112">
        <v>42931</v>
      </c>
      <c r="B2754" s="1">
        <v>62</v>
      </c>
    </row>
    <row r="2755" spans="1:2">
      <c r="A2755" s="112">
        <v>42932</v>
      </c>
      <c r="B2755" s="1">
        <v>59</v>
      </c>
    </row>
    <row r="2756" spans="1:2">
      <c r="A2756" s="112">
        <v>42933</v>
      </c>
      <c r="B2756" s="1">
        <v>58</v>
      </c>
    </row>
    <row r="2757" spans="1:2">
      <c r="A2757" s="112">
        <v>42934</v>
      </c>
      <c r="B2757" s="1">
        <v>62</v>
      </c>
    </row>
    <row r="2758" spans="1:2">
      <c r="A2758" s="112">
        <v>42935</v>
      </c>
      <c r="B2758" s="1">
        <v>69</v>
      </c>
    </row>
    <row r="2759" spans="1:2">
      <c r="A2759" s="112">
        <v>42936</v>
      </c>
      <c r="B2759" s="1">
        <v>79</v>
      </c>
    </row>
    <row r="2760" spans="1:2">
      <c r="A2760" s="112">
        <v>42937</v>
      </c>
      <c r="B2760" s="1">
        <v>88</v>
      </c>
    </row>
    <row r="2761" spans="1:2">
      <c r="A2761" s="112">
        <v>42938</v>
      </c>
      <c r="B2761" s="1">
        <v>95</v>
      </c>
    </row>
    <row r="2762" spans="1:2">
      <c r="A2762" s="112">
        <v>42939</v>
      </c>
      <c r="B2762" s="1">
        <v>99</v>
      </c>
    </row>
    <row r="2763" spans="1:2">
      <c r="A2763" s="112">
        <v>42940</v>
      </c>
      <c r="B2763" s="1">
        <v>99</v>
      </c>
    </row>
    <row r="2764" spans="1:2">
      <c r="A2764" s="112">
        <v>42941</v>
      </c>
      <c r="B2764" s="1">
        <v>94</v>
      </c>
    </row>
    <row r="2765" spans="1:2">
      <c r="A2765" s="112">
        <v>42942</v>
      </c>
      <c r="B2765" s="1">
        <v>87</v>
      </c>
    </row>
    <row r="2766" spans="1:2">
      <c r="A2766" s="112">
        <v>42943</v>
      </c>
      <c r="B2766" s="1">
        <v>77</v>
      </c>
    </row>
    <row r="2767" spans="1:2">
      <c r="A2767" s="112">
        <v>42944</v>
      </c>
      <c r="B2767" s="1">
        <v>66</v>
      </c>
    </row>
    <row r="2768" spans="1:2">
      <c r="A2768" s="112">
        <v>42945</v>
      </c>
      <c r="B2768" s="1">
        <v>56</v>
      </c>
    </row>
    <row r="2769" spans="1:2">
      <c r="A2769" s="112">
        <v>42946</v>
      </c>
      <c r="B2769" s="1">
        <v>47</v>
      </c>
    </row>
    <row r="2770" spans="1:2">
      <c r="A2770" s="112">
        <v>42947</v>
      </c>
      <c r="B2770" s="1">
        <v>42</v>
      </c>
    </row>
    <row r="2771" spans="1:2">
      <c r="A2771" s="112">
        <v>42948</v>
      </c>
      <c r="B2771" s="1">
        <v>42</v>
      </c>
    </row>
    <row r="2772" spans="1:2">
      <c r="A2772" s="112">
        <v>42949</v>
      </c>
      <c r="B2772" s="1">
        <v>46</v>
      </c>
    </row>
    <row r="2773" spans="1:2">
      <c r="A2773" s="112">
        <v>42950</v>
      </c>
      <c r="B2773" s="1">
        <v>53</v>
      </c>
    </row>
    <row r="2774" spans="1:2">
      <c r="A2774" s="112">
        <v>42951</v>
      </c>
      <c r="B2774" s="1">
        <v>61</v>
      </c>
    </row>
    <row r="2775" spans="1:2">
      <c r="A2775" s="112">
        <v>42952</v>
      </c>
      <c r="B2775" s="1">
        <v>69</v>
      </c>
    </row>
    <row r="2776" spans="1:2">
      <c r="A2776" s="112">
        <v>42953</v>
      </c>
      <c r="B2776" s="1">
        <v>77</v>
      </c>
    </row>
    <row r="2777" spans="1:2">
      <c r="A2777" s="112">
        <v>42954</v>
      </c>
      <c r="B2777" s="1">
        <v>82</v>
      </c>
    </row>
    <row r="2778" spans="1:2">
      <c r="A2778" s="112">
        <v>42955</v>
      </c>
      <c r="B2778" s="1">
        <v>86</v>
      </c>
    </row>
    <row r="2779" spans="1:2">
      <c r="A2779" s="112">
        <v>42956</v>
      </c>
      <c r="B2779" s="1">
        <v>88</v>
      </c>
    </row>
    <row r="2780" spans="1:2">
      <c r="A2780" s="112">
        <v>42957</v>
      </c>
      <c r="B2780" s="1">
        <v>86</v>
      </c>
    </row>
    <row r="2781" spans="1:2">
      <c r="A2781" s="112">
        <v>42958</v>
      </c>
      <c r="B2781" s="1">
        <v>82</v>
      </c>
    </row>
    <row r="2782" spans="1:2">
      <c r="A2782" s="112">
        <v>42959</v>
      </c>
      <c r="B2782" s="1">
        <v>76</v>
      </c>
    </row>
    <row r="2783" spans="1:2">
      <c r="A2783" s="112">
        <v>42960</v>
      </c>
      <c r="B2783" s="1">
        <v>68</v>
      </c>
    </row>
    <row r="2784" spans="1:2">
      <c r="A2784" s="112">
        <v>42961</v>
      </c>
      <c r="B2784" s="1">
        <v>60</v>
      </c>
    </row>
    <row r="2785" spans="1:2">
      <c r="A2785" s="112">
        <v>42962</v>
      </c>
      <c r="B2785" s="1">
        <v>55</v>
      </c>
    </row>
    <row r="2786" spans="1:2">
      <c r="A2786" s="112">
        <v>42963</v>
      </c>
      <c r="B2786" s="1">
        <v>56</v>
      </c>
    </row>
    <row r="2787" spans="1:2">
      <c r="A2787" s="112">
        <v>42964</v>
      </c>
      <c r="B2787" s="1">
        <v>63</v>
      </c>
    </row>
    <row r="2788" spans="1:2">
      <c r="A2788" s="112">
        <v>42965</v>
      </c>
      <c r="B2788" s="1">
        <v>73</v>
      </c>
    </row>
    <row r="2789" spans="1:2">
      <c r="A2789" s="112">
        <v>42966</v>
      </c>
      <c r="B2789" s="1">
        <v>84</v>
      </c>
    </row>
    <row r="2790" spans="1:2">
      <c r="A2790" s="112">
        <v>42967</v>
      </c>
      <c r="B2790" s="1">
        <v>93</v>
      </c>
    </row>
    <row r="2791" spans="1:2">
      <c r="A2791" s="112">
        <v>42968</v>
      </c>
      <c r="B2791" s="1">
        <v>99</v>
      </c>
    </row>
    <row r="2792" spans="1:2">
      <c r="A2792" s="112">
        <v>42969</v>
      </c>
      <c r="B2792" s="1">
        <v>100</v>
      </c>
    </row>
    <row r="2793" spans="1:2">
      <c r="A2793" s="112">
        <v>42970</v>
      </c>
      <c r="B2793" s="1">
        <v>97</v>
      </c>
    </row>
    <row r="2794" spans="1:2">
      <c r="A2794" s="112">
        <v>42971</v>
      </c>
      <c r="B2794" s="1">
        <v>90</v>
      </c>
    </row>
    <row r="2795" spans="1:2">
      <c r="A2795" s="112">
        <v>42972</v>
      </c>
      <c r="B2795" s="1">
        <v>80</v>
      </c>
    </row>
    <row r="2796" spans="1:2">
      <c r="A2796" s="112">
        <v>42973</v>
      </c>
      <c r="B2796" s="1">
        <v>68</v>
      </c>
    </row>
    <row r="2797" spans="1:2">
      <c r="A2797" s="112">
        <v>42974</v>
      </c>
      <c r="B2797" s="1">
        <v>56</v>
      </c>
    </row>
    <row r="2798" spans="1:2">
      <c r="A2798" s="112">
        <v>42975</v>
      </c>
      <c r="B2798" s="1">
        <v>46</v>
      </c>
    </row>
    <row r="2799" spans="1:2">
      <c r="A2799" s="112">
        <v>42976</v>
      </c>
      <c r="B2799" s="1">
        <v>38</v>
      </c>
    </row>
    <row r="2800" spans="1:2">
      <c r="A2800" s="112">
        <v>42977</v>
      </c>
      <c r="B2800" s="1">
        <v>36</v>
      </c>
    </row>
    <row r="2801" spans="1:2">
      <c r="A2801" s="112">
        <v>42978</v>
      </c>
      <c r="B2801" s="1">
        <v>40</v>
      </c>
    </row>
    <row r="2802" spans="1:2">
      <c r="A2802" s="112">
        <v>42979</v>
      </c>
      <c r="B2802" s="1">
        <v>48</v>
      </c>
    </row>
    <row r="2803" spans="1:2">
      <c r="A2803" s="112">
        <v>42980</v>
      </c>
      <c r="B2803" s="1">
        <v>59</v>
      </c>
    </row>
    <row r="2804" spans="1:2">
      <c r="A2804" s="112">
        <v>42981</v>
      </c>
      <c r="B2804" s="1">
        <v>71</v>
      </c>
    </row>
    <row r="2805" spans="1:2">
      <c r="A2805" s="112">
        <v>42982</v>
      </c>
      <c r="B2805" s="1">
        <v>81</v>
      </c>
    </row>
    <row r="2806" spans="1:2">
      <c r="A2806" s="112">
        <v>42983</v>
      </c>
      <c r="B2806" s="1">
        <v>89</v>
      </c>
    </row>
    <row r="2807" spans="1:2">
      <c r="A2807" s="112">
        <v>42984</v>
      </c>
      <c r="B2807" s="1">
        <v>95</v>
      </c>
    </row>
    <row r="2808" spans="1:2">
      <c r="A2808" s="112">
        <v>42985</v>
      </c>
      <c r="B2808" s="1">
        <v>97</v>
      </c>
    </row>
    <row r="2809" spans="1:2">
      <c r="A2809" s="112">
        <v>42986</v>
      </c>
      <c r="B2809" s="1">
        <v>96</v>
      </c>
    </row>
    <row r="2810" spans="1:2">
      <c r="A2810" s="112">
        <v>42987</v>
      </c>
      <c r="B2810" s="1">
        <v>91</v>
      </c>
    </row>
    <row r="2811" spans="1:2">
      <c r="A2811" s="112">
        <v>42988</v>
      </c>
      <c r="B2811" s="1">
        <v>82</v>
      </c>
    </row>
    <row r="2812" spans="1:2">
      <c r="A2812" s="112">
        <v>42989</v>
      </c>
      <c r="B2812" s="1">
        <v>71</v>
      </c>
    </row>
    <row r="2813" spans="1:2">
      <c r="A2813" s="112">
        <v>42990</v>
      </c>
      <c r="B2813" s="1">
        <v>59</v>
      </c>
    </row>
    <row r="2814" spans="1:2">
      <c r="A2814" s="112">
        <v>42991</v>
      </c>
      <c r="B2814" s="1">
        <v>51</v>
      </c>
    </row>
    <row r="2815" spans="1:2">
      <c r="A2815" s="112">
        <v>42992</v>
      </c>
      <c r="B2815" s="1">
        <v>51</v>
      </c>
    </row>
    <row r="2816" spans="1:2">
      <c r="A2816" s="112">
        <v>42993</v>
      </c>
      <c r="B2816" s="1">
        <v>59</v>
      </c>
    </row>
    <row r="2817" spans="1:2">
      <c r="A2817" s="112">
        <v>42994</v>
      </c>
      <c r="B2817" s="1">
        <v>71</v>
      </c>
    </row>
    <row r="2818" spans="1:2">
      <c r="A2818" s="112">
        <v>42995</v>
      </c>
      <c r="B2818" s="1">
        <v>83</v>
      </c>
    </row>
    <row r="2819" spans="1:2">
      <c r="A2819" s="112">
        <v>42996</v>
      </c>
      <c r="B2819" s="1">
        <v>92</v>
      </c>
    </row>
    <row r="2820" spans="1:2">
      <c r="A2820" s="112">
        <v>42997</v>
      </c>
      <c r="B2820" s="1">
        <v>98</v>
      </c>
    </row>
    <row r="2821" spans="1:2">
      <c r="A2821" s="112">
        <v>42998</v>
      </c>
      <c r="B2821" s="1">
        <v>99</v>
      </c>
    </row>
    <row r="2822" spans="1:2">
      <c r="A2822" s="112">
        <v>42999</v>
      </c>
      <c r="B2822" s="1">
        <v>96</v>
      </c>
    </row>
    <row r="2823" spans="1:2">
      <c r="A2823" s="112">
        <v>43000</v>
      </c>
      <c r="B2823" s="1">
        <v>89</v>
      </c>
    </row>
    <row r="2824" spans="1:2">
      <c r="A2824" s="112">
        <v>43001</v>
      </c>
      <c r="B2824" s="1">
        <v>80</v>
      </c>
    </row>
    <row r="2825" spans="1:2">
      <c r="A2825" s="112">
        <v>43002</v>
      </c>
      <c r="B2825" s="1">
        <v>70</v>
      </c>
    </row>
    <row r="2826" spans="1:2">
      <c r="A2826" s="112">
        <v>43003</v>
      </c>
      <c r="B2826" s="1">
        <v>58</v>
      </c>
    </row>
    <row r="2827" spans="1:2">
      <c r="A2827" s="112">
        <v>43004</v>
      </c>
      <c r="B2827" s="1">
        <v>46</v>
      </c>
    </row>
    <row r="2828" spans="1:2">
      <c r="A2828" s="112">
        <v>43005</v>
      </c>
      <c r="B2828" s="1">
        <v>37</v>
      </c>
    </row>
    <row r="2829" spans="1:2">
      <c r="A2829" s="112">
        <v>43006</v>
      </c>
      <c r="B2829" s="1">
        <v>33</v>
      </c>
    </row>
    <row r="2830" spans="1:2">
      <c r="A2830" s="112">
        <v>43007</v>
      </c>
      <c r="B2830" s="1">
        <v>36</v>
      </c>
    </row>
    <row r="2831" spans="1:2">
      <c r="A2831" s="112">
        <v>43008</v>
      </c>
      <c r="B2831" s="1">
        <v>46</v>
      </c>
    </row>
    <row r="2832" spans="1:2">
      <c r="A2832" s="112">
        <v>43009</v>
      </c>
      <c r="B2832" s="1">
        <v>59</v>
      </c>
    </row>
    <row r="2833" spans="1:2">
      <c r="A2833" s="112">
        <v>43010</v>
      </c>
      <c r="B2833" s="1">
        <v>72</v>
      </c>
    </row>
    <row r="2834" spans="1:2">
      <c r="A2834" s="112">
        <v>43011</v>
      </c>
      <c r="B2834" s="1">
        <v>84</v>
      </c>
    </row>
    <row r="2835" spans="1:2">
      <c r="A2835" s="112">
        <v>43012</v>
      </c>
      <c r="B2835" s="1">
        <v>95</v>
      </c>
    </row>
    <row r="2836" spans="1:2">
      <c r="A2836" s="112">
        <v>43013</v>
      </c>
      <c r="B2836" s="1">
        <v>102</v>
      </c>
    </row>
    <row r="2837" spans="1:2">
      <c r="A2837" s="112">
        <v>43014</v>
      </c>
      <c r="B2837" s="1">
        <v>105</v>
      </c>
    </row>
    <row r="2838" spans="1:2">
      <c r="A2838" s="112">
        <v>43015</v>
      </c>
      <c r="B2838" s="1">
        <v>103</v>
      </c>
    </row>
    <row r="2839" spans="1:2">
      <c r="A2839" s="112">
        <v>43016</v>
      </c>
      <c r="B2839" s="1">
        <v>96</v>
      </c>
    </row>
    <row r="2840" spans="1:2">
      <c r="A2840" s="112">
        <v>43017</v>
      </c>
      <c r="B2840" s="1">
        <v>84</v>
      </c>
    </row>
    <row r="2841" spans="1:2">
      <c r="A2841" s="112">
        <v>43018</v>
      </c>
      <c r="B2841" s="1">
        <v>70</v>
      </c>
    </row>
    <row r="2842" spans="1:2">
      <c r="A2842" s="112">
        <v>43019</v>
      </c>
      <c r="B2842" s="1">
        <v>57</v>
      </c>
    </row>
    <row r="2843" spans="1:2">
      <c r="A2843" s="112">
        <v>43020</v>
      </c>
      <c r="B2843" s="1">
        <v>49</v>
      </c>
    </row>
    <row r="2844" spans="1:2">
      <c r="A2844" s="112">
        <v>43021</v>
      </c>
      <c r="B2844" s="1">
        <v>50</v>
      </c>
    </row>
    <row r="2845" spans="1:2">
      <c r="A2845" s="112">
        <v>43022</v>
      </c>
      <c r="B2845" s="1">
        <v>59</v>
      </c>
    </row>
    <row r="2846" spans="1:2">
      <c r="A2846" s="112">
        <v>43023</v>
      </c>
      <c r="B2846" s="1">
        <v>70</v>
      </c>
    </row>
    <row r="2847" spans="1:2">
      <c r="A2847" s="112">
        <v>43024</v>
      </c>
      <c r="B2847" s="1">
        <v>80</v>
      </c>
    </row>
    <row r="2848" spans="1:2">
      <c r="A2848" s="112">
        <v>43025</v>
      </c>
      <c r="B2848" s="1">
        <v>88</v>
      </c>
    </row>
    <row r="2849" spans="1:2">
      <c r="A2849" s="112">
        <v>43026</v>
      </c>
      <c r="B2849" s="1">
        <v>92</v>
      </c>
    </row>
    <row r="2850" spans="1:2">
      <c r="A2850" s="112">
        <v>43027</v>
      </c>
      <c r="B2850" s="1">
        <v>94</v>
      </c>
    </row>
    <row r="2851" spans="1:2">
      <c r="A2851" s="112">
        <v>43028</v>
      </c>
      <c r="B2851" s="1">
        <v>92</v>
      </c>
    </row>
    <row r="2852" spans="1:2">
      <c r="A2852" s="112">
        <v>43029</v>
      </c>
      <c r="B2852" s="1">
        <v>87</v>
      </c>
    </row>
    <row r="2853" spans="1:2">
      <c r="A2853" s="112">
        <v>43030</v>
      </c>
      <c r="B2853" s="1">
        <v>79</v>
      </c>
    </row>
    <row r="2854" spans="1:2">
      <c r="A2854" s="112">
        <v>43031</v>
      </c>
      <c r="B2854" s="1">
        <v>70</v>
      </c>
    </row>
    <row r="2855" spans="1:2">
      <c r="A2855" s="112">
        <v>43032</v>
      </c>
      <c r="B2855" s="1">
        <v>59</v>
      </c>
    </row>
    <row r="2856" spans="1:2">
      <c r="A2856" s="112">
        <v>43033</v>
      </c>
      <c r="B2856" s="1">
        <v>49</v>
      </c>
    </row>
    <row r="2857" spans="1:2">
      <c r="A2857" s="112">
        <v>43034</v>
      </c>
      <c r="B2857" s="1">
        <v>40</v>
      </c>
    </row>
    <row r="2858" spans="1:2">
      <c r="A2858" s="112">
        <v>43035</v>
      </c>
      <c r="B2858" s="1">
        <v>39</v>
      </c>
    </row>
    <row r="2859" spans="1:2">
      <c r="A2859" s="112">
        <v>43036</v>
      </c>
      <c r="B2859" s="1">
        <v>37</v>
      </c>
    </row>
    <row r="2860" spans="1:2">
      <c r="A2860" s="112">
        <v>43037</v>
      </c>
      <c r="B2860" s="1">
        <v>45</v>
      </c>
    </row>
    <row r="2861" spans="1:2">
      <c r="A2861" s="112">
        <v>43038</v>
      </c>
      <c r="B2861" s="1">
        <v>57</v>
      </c>
    </row>
    <row r="2862" spans="1:2">
      <c r="A2862" s="112">
        <v>43039</v>
      </c>
      <c r="B2862" s="1">
        <v>71</v>
      </c>
    </row>
    <row r="2863" spans="1:2">
      <c r="A2863" s="112">
        <v>43040</v>
      </c>
      <c r="B2863" s="1">
        <v>85</v>
      </c>
    </row>
    <row r="2864" spans="1:2">
      <c r="A2864" s="112">
        <v>43041</v>
      </c>
      <c r="B2864" s="1">
        <v>96</v>
      </c>
    </row>
    <row r="2865" spans="1:2">
      <c r="A2865" s="112">
        <v>43042</v>
      </c>
      <c r="B2865" s="1">
        <v>104</v>
      </c>
    </row>
    <row r="2866" spans="1:2">
      <c r="A2866" s="112">
        <v>43043</v>
      </c>
      <c r="B2866" s="1">
        <v>107</v>
      </c>
    </row>
    <row r="2867" spans="1:2">
      <c r="A2867" s="112">
        <v>43044</v>
      </c>
      <c r="B2867" s="1">
        <v>105</v>
      </c>
    </row>
    <row r="2868" spans="1:2">
      <c r="A2868" s="112">
        <v>43045</v>
      </c>
      <c r="B2868" s="1">
        <v>97</v>
      </c>
    </row>
    <row r="2869" spans="1:2">
      <c r="A2869" s="112">
        <v>43046</v>
      </c>
      <c r="B2869" s="1">
        <v>85</v>
      </c>
    </row>
    <row r="2870" spans="1:2">
      <c r="A2870" s="112">
        <v>43047</v>
      </c>
      <c r="B2870" s="1">
        <v>72</v>
      </c>
    </row>
    <row r="2871" spans="1:2">
      <c r="A2871" s="112">
        <v>43048</v>
      </c>
      <c r="B2871" s="1">
        <v>59</v>
      </c>
    </row>
    <row r="2872" spans="1:2">
      <c r="A2872" s="112">
        <v>43049</v>
      </c>
      <c r="B2872" s="1">
        <v>52</v>
      </c>
    </row>
    <row r="2873" spans="1:2">
      <c r="A2873" s="112">
        <v>43050</v>
      </c>
      <c r="B2873" s="1">
        <v>51</v>
      </c>
    </row>
    <row r="2874" spans="1:2">
      <c r="A2874" s="112">
        <v>43051</v>
      </c>
      <c r="B2874" s="1">
        <v>57</v>
      </c>
    </row>
    <row r="2875" spans="1:2">
      <c r="A2875" s="112">
        <v>43052</v>
      </c>
      <c r="B2875" s="1">
        <v>65</v>
      </c>
    </row>
    <row r="2876" spans="1:2">
      <c r="A2876" s="112">
        <v>43053</v>
      </c>
      <c r="B2876" s="1">
        <v>73</v>
      </c>
    </row>
    <row r="2877" spans="1:2">
      <c r="A2877" s="112">
        <v>43054</v>
      </c>
      <c r="B2877" s="1">
        <v>79</v>
      </c>
    </row>
    <row r="2878" spans="1:2">
      <c r="A2878" s="112">
        <v>43055</v>
      </c>
      <c r="B2878" s="1">
        <v>84</v>
      </c>
    </row>
    <row r="2879" spans="1:2">
      <c r="A2879" s="112">
        <v>43056</v>
      </c>
      <c r="B2879" s="1">
        <v>86</v>
      </c>
    </row>
    <row r="2880" spans="1:2">
      <c r="A2880" s="112">
        <v>43057</v>
      </c>
      <c r="B2880" s="1">
        <v>84</v>
      </c>
    </row>
    <row r="2881" spans="1:2">
      <c r="A2881" s="112">
        <v>43058</v>
      </c>
      <c r="B2881" s="1">
        <v>82</v>
      </c>
    </row>
    <row r="2882" spans="1:2">
      <c r="A2882" s="112">
        <v>43059</v>
      </c>
      <c r="B2882" s="1">
        <v>77</v>
      </c>
    </row>
    <row r="2883" spans="1:2">
      <c r="A2883" s="112">
        <v>43060</v>
      </c>
      <c r="B2883" s="1">
        <v>71</v>
      </c>
    </row>
    <row r="2884" spans="1:2">
      <c r="A2884" s="112">
        <v>43061</v>
      </c>
      <c r="B2884" s="1">
        <v>64</v>
      </c>
    </row>
    <row r="2885" spans="1:2">
      <c r="A2885" s="112">
        <v>43062</v>
      </c>
      <c r="B2885" s="1">
        <v>55</v>
      </c>
    </row>
    <row r="2886" spans="1:2">
      <c r="A2886" s="112">
        <v>43063</v>
      </c>
      <c r="B2886" s="1">
        <v>47</v>
      </c>
    </row>
    <row r="2887" spans="1:2">
      <c r="A2887" s="112">
        <v>43064</v>
      </c>
      <c r="B2887" s="1">
        <v>42</v>
      </c>
    </row>
    <row r="2888" spans="1:2">
      <c r="A2888" s="112">
        <v>43065</v>
      </c>
      <c r="B2888" s="1">
        <v>41</v>
      </c>
    </row>
    <row r="2889" spans="1:2">
      <c r="A2889" s="112">
        <v>43066</v>
      </c>
      <c r="B2889" s="1">
        <v>46</v>
      </c>
    </row>
    <row r="2890" spans="1:2">
      <c r="A2890" s="112">
        <v>43067</v>
      </c>
      <c r="B2890" s="1">
        <v>56</v>
      </c>
    </row>
    <row r="2891" spans="1:2">
      <c r="A2891" s="112">
        <v>43068</v>
      </c>
      <c r="B2891" s="1">
        <v>68</v>
      </c>
    </row>
    <row r="2892" spans="1:2">
      <c r="A2892" s="112">
        <v>43069</v>
      </c>
      <c r="B2892" s="1">
        <v>81</v>
      </c>
    </row>
    <row r="2893" spans="1:2">
      <c r="A2893" s="112">
        <v>43070</v>
      </c>
      <c r="B2893" s="1">
        <v>92</v>
      </c>
    </row>
    <row r="2894" spans="1:2">
      <c r="A2894" s="112">
        <v>43071</v>
      </c>
      <c r="B2894" s="1">
        <v>101</v>
      </c>
    </row>
    <row r="2895" spans="1:2">
      <c r="A2895" s="112">
        <v>43072</v>
      </c>
      <c r="B2895" s="1">
        <v>105</v>
      </c>
    </row>
    <row r="2896" spans="1:2">
      <c r="A2896" s="112">
        <v>43073</v>
      </c>
      <c r="B2896" s="1">
        <v>104</v>
      </c>
    </row>
    <row r="2897" spans="1:2">
      <c r="A2897" s="112">
        <v>43074</v>
      </c>
      <c r="B2897" s="1">
        <v>98</v>
      </c>
    </row>
    <row r="2898" spans="1:2">
      <c r="A2898" s="112">
        <v>43075</v>
      </c>
      <c r="B2898" s="1">
        <v>89</v>
      </c>
    </row>
    <row r="2899" spans="1:2">
      <c r="A2899" s="112">
        <v>43076</v>
      </c>
      <c r="B2899" s="1">
        <v>77</v>
      </c>
    </row>
    <row r="2900" spans="1:2">
      <c r="A2900" s="112">
        <v>43077</v>
      </c>
      <c r="B2900" s="1">
        <v>66</v>
      </c>
    </row>
    <row r="2901" spans="1:2">
      <c r="A2901" s="112">
        <v>43078</v>
      </c>
      <c r="B2901" s="1">
        <v>57</v>
      </c>
    </row>
    <row r="2902" spans="1:2">
      <c r="A2902" s="112">
        <v>43079</v>
      </c>
      <c r="B2902" s="1">
        <v>52</v>
      </c>
    </row>
    <row r="2903" spans="1:2">
      <c r="A2903" s="112">
        <v>43080</v>
      </c>
      <c r="B2903" s="1">
        <v>53</v>
      </c>
    </row>
    <row r="2904" spans="1:2">
      <c r="A2904" s="112">
        <v>43081</v>
      </c>
      <c r="B2904" s="1">
        <v>57</v>
      </c>
    </row>
    <row r="2905" spans="1:2">
      <c r="A2905" s="112">
        <v>43082</v>
      </c>
      <c r="B2905" s="1">
        <v>62</v>
      </c>
    </row>
    <row r="2906" spans="1:2">
      <c r="A2906" s="112">
        <v>43083</v>
      </c>
      <c r="B2906" s="1">
        <v>67</v>
      </c>
    </row>
    <row r="2907" spans="1:2">
      <c r="A2907" s="112">
        <v>43084</v>
      </c>
      <c r="B2907" s="1">
        <v>72</v>
      </c>
    </row>
    <row r="2908" spans="1:2">
      <c r="A2908" s="112">
        <v>43085</v>
      </c>
      <c r="B2908" s="1">
        <v>75</v>
      </c>
    </row>
    <row r="2909" spans="1:2">
      <c r="A2909" s="112">
        <v>43086</v>
      </c>
      <c r="B2909" s="1">
        <v>78</v>
      </c>
    </row>
    <row r="2910" spans="1:2">
      <c r="A2910" s="112">
        <v>43087</v>
      </c>
      <c r="B2910" s="1">
        <v>78</v>
      </c>
    </row>
    <row r="2911" spans="1:2">
      <c r="A2911" s="112">
        <v>43088</v>
      </c>
      <c r="B2911" s="1">
        <v>78</v>
      </c>
    </row>
    <row r="2912" spans="1:2">
      <c r="A2912" s="112">
        <v>43089</v>
      </c>
      <c r="B2912" s="1">
        <v>75</v>
      </c>
    </row>
    <row r="2913" spans="1:2">
      <c r="A2913" s="112">
        <v>43090</v>
      </c>
      <c r="B2913" s="1">
        <v>70</v>
      </c>
    </row>
    <row r="2914" spans="1:2">
      <c r="A2914" s="112">
        <v>43091</v>
      </c>
      <c r="B2914" s="1">
        <v>64</v>
      </c>
    </row>
    <row r="2915" spans="1:2">
      <c r="A2915" s="112">
        <v>43092</v>
      </c>
      <c r="B2915" s="1">
        <v>59</v>
      </c>
    </row>
    <row r="2916" spans="1:2">
      <c r="A2916" s="112">
        <v>43093</v>
      </c>
      <c r="B2916" s="1">
        <v>53</v>
      </c>
    </row>
    <row r="2917" spans="1:2">
      <c r="A2917" s="112">
        <v>43094</v>
      </c>
      <c r="B2917" s="1">
        <v>50</v>
      </c>
    </row>
    <row r="2918" spans="1:2">
      <c r="A2918" s="112">
        <v>43095</v>
      </c>
      <c r="B2918" s="1">
        <v>50</v>
      </c>
    </row>
    <row r="2919" spans="1:2">
      <c r="A2919" s="112">
        <v>43096</v>
      </c>
      <c r="B2919" s="1">
        <v>54</v>
      </c>
    </row>
    <row r="2920" spans="1:2">
      <c r="A2920" s="112">
        <v>43097</v>
      </c>
      <c r="B2920" s="1">
        <v>62</v>
      </c>
    </row>
    <row r="2921" spans="1:2">
      <c r="A2921" s="112">
        <v>43098</v>
      </c>
      <c r="B2921" s="1">
        <v>73</v>
      </c>
    </row>
    <row r="2922" spans="1:2">
      <c r="A2922" s="112">
        <v>43099</v>
      </c>
      <c r="B2922" s="1">
        <v>84</v>
      </c>
    </row>
    <row r="2923" spans="1:2">
      <c r="A2923" s="112">
        <v>43100</v>
      </c>
      <c r="B2923" s="1">
        <v>94</v>
      </c>
    </row>
    <row r="2924" spans="1:2">
      <c r="A2924" s="112">
        <v>43101</v>
      </c>
      <c r="B2924" s="1">
        <v>100</v>
      </c>
    </row>
    <row r="2925" spans="1:2">
      <c r="A2925" s="112">
        <v>43102</v>
      </c>
      <c r="B2925" s="1">
        <v>103</v>
      </c>
    </row>
    <row r="2926" spans="1:2">
      <c r="A2926" s="112">
        <v>43103</v>
      </c>
      <c r="B2926" s="1">
        <v>101</v>
      </c>
    </row>
    <row r="2927" spans="1:2">
      <c r="A2927" s="112">
        <v>43104</v>
      </c>
      <c r="B2927" s="1">
        <v>95</v>
      </c>
    </row>
    <row r="2928" spans="1:2">
      <c r="A2928" s="112">
        <v>43105</v>
      </c>
      <c r="B2928" s="1">
        <v>86</v>
      </c>
    </row>
    <row r="2929" spans="1:2">
      <c r="A2929" s="112">
        <v>43106</v>
      </c>
      <c r="B2929" s="1">
        <v>75</v>
      </c>
    </row>
    <row r="2930" spans="1:2">
      <c r="A2930" s="112">
        <v>43107</v>
      </c>
      <c r="B2930" s="1">
        <v>64</v>
      </c>
    </row>
    <row r="2931" spans="1:2">
      <c r="A2931" s="112">
        <v>43108</v>
      </c>
      <c r="B2931" s="1">
        <v>54</v>
      </c>
    </row>
    <row r="2932" spans="1:2">
      <c r="A2932" s="112">
        <v>43109</v>
      </c>
      <c r="B2932" s="1">
        <v>48</v>
      </c>
    </row>
    <row r="2933" spans="1:2">
      <c r="A2933" s="112">
        <v>43110</v>
      </c>
      <c r="B2933" s="1">
        <v>47</v>
      </c>
    </row>
    <row r="2934" spans="1:2">
      <c r="A2934" s="112">
        <v>43111</v>
      </c>
      <c r="B2934" s="1">
        <v>49</v>
      </c>
    </row>
    <row r="2935" spans="1:2">
      <c r="A2935" s="112">
        <v>43112</v>
      </c>
      <c r="B2935" s="1">
        <v>54</v>
      </c>
    </row>
    <row r="2936" spans="1:2">
      <c r="A2936" s="112">
        <v>43113</v>
      </c>
      <c r="B2936" s="1">
        <v>60</v>
      </c>
    </row>
    <row r="2937" spans="1:2">
      <c r="A2937" s="112">
        <v>43114</v>
      </c>
      <c r="B2937" s="1">
        <v>66</v>
      </c>
    </row>
    <row r="2938" spans="1:2">
      <c r="A2938" s="112">
        <v>43115</v>
      </c>
      <c r="B2938" s="1">
        <v>72</v>
      </c>
    </row>
    <row r="2939" spans="1:2">
      <c r="A2939" s="112">
        <v>43116</v>
      </c>
      <c r="B2939" s="1">
        <v>76</v>
      </c>
    </row>
    <row r="2940" spans="1:2">
      <c r="A2940" s="112">
        <v>43117</v>
      </c>
      <c r="B2940" s="1">
        <v>78</v>
      </c>
    </row>
    <row r="2941" spans="1:2">
      <c r="A2941" s="112">
        <v>43118</v>
      </c>
      <c r="B2941" s="1">
        <v>79</v>
      </c>
    </row>
    <row r="2942" spans="1:2">
      <c r="A2942" s="112">
        <v>43119</v>
      </c>
      <c r="B2942" s="1">
        <v>78</v>
      </c>
    </row>
    <row r="2943" spans="1:2">
      <c r="A2943" s="112">
        <v>43120</v>
      </c>
      <c r="B2943" s="1">
        <v>75</v>
      </c>
    </row>
    <row r="2944" spans="1:2">
      <c r="A2944" s="112">
        <v>43121</v>
      </c>
      <c r="B2944" s="1">
        <v>71</v>
      </c>
    </row>
    <row r="2945" spans="1:2">
      <c r="A2945" s="112">
        <v>43122</v>
      </c>
      <c r="B2945" s="1">
        <v>65</v>
      </c>
    </row>
    <row r="2946" spans="1:2">
      <c r="A2946" s="112">
        <v>43123</v>
      </c>
      <c r="B2946" s="1">
        <v>60</v>
      </c>
    </row>
    <row r="2947" spans="1:2">
      <c r="A2947" s="112">
        <v>43124</v>
      </c>
      <c r="B2947" s="1">
        <v>55</v>
      </c>
    </row>
    <row r="2948" spans="1:2">
      <c r="A2948" s="112">
        <v>43125</v>
      </c>
      <c r="B2948" s="1">
        <v>53</v>
      </c>
    </row>
    <row r="2949" spans="1:2">
      <c r="A2949" s="112">
        <v>43126</v>
      </c>
      <c r="B2949" s="1">
        <v>56</v>
      </c>
    </row>
    <row r="2950" spans="1:2">
      <c r="A2950" s="112">
        <v>43127</v>
      </c>
      <c r="B2950" s="1">
        <v>64</v>
      </c>
    </row>
    <row r="2951" spans="1:2">
      <c r="A2951" s="112">
        <v>43128</v>
      </c>
      <c r="B2951" s="1">
        <v>75</v>
      </c>
    </row>
    <row r="2952" spans="1:2">
      <c r="A2952" s="112">
        <v>43129</v>
      </c>
      <c r="B2952" s="1">
        <v>87</v>
      </c>
    </row>
    <row r="2953" spans="1:2">
      <c r="A2953" s="112">
        <v>43130</v>
      </c>
      <c r="B2953" s="1">
        <v>97</v>
      </c>
    </row>
    <row r="2954" spans="1:2">
      <c r="A2954" s="112">
        <v>43131</v>
      </c>
      <c r="B2954" s="1">
        <v>104</v>
      </c>
    </row>
    <row r="2955" spans="1:2">
      <c r="A2955" s="112">
        <v>43132</v>
      </c>
      <c r="B2955" s="1">
        <v>105</v>
      </c>
    </row>
    <row r="2956" spans="1:2">
      <c r="A2956" s="112">
        <v>43133</v>
      </c>
      <c r="B2956" s="1">
        <v>101</v>
      </c>
    </row>
    <row r="2957" spans="1:2">
      <c r="A2957" s="112">
        <v>43134</v>
      </c>
      <c r="B2957" s="1">
        <v>93</v>
      </c>
    </row>
    <row r="2958" spans="1:2">
      <c r="A2958" s="112">
        <v>43135</v>
      </c>
      <c r="B2958" s="1">
        <v>82</v>
      </c>
    </row>
    <row r="2959" spans="1:2">
      <c r="A2959" s="112">
        <v>43136</v>
      </c>
      <c r="B2959" s="1">
        <v>69</v>
      </c>
    </row>
    <row r="2960" spans="1:2">
      <c r="A2960" s="112">
        <v>43137</v>
      </c>
      <c r="B2960" s="1">
        <v>56</v>
      </c>
    </row>
    <row r="2961" spans="1:2">
      <c r="A2961" s="112">
        <v>43138</v>
      </c>
      <c r="B2961" s="1">
        <v>45</v>
      </c>
    </row>
    <row r="2962" spans="1:2">
      <c r="A2962" s="112">
        <v>43139</v>
      </c>
      <c r="B2962" s="1">
        <v>39</v>
      </c>
    </row>
    <row r="2963" spans="1:2">
      <c r="A2963" s="112">
        <v>43140</v>
      </c>
      <c r="B2963" s="1">
        <v>39</v>
      </c>
    </row>
    <row r="2964" spans="1:2">
      <c r="A2964" s="112">
        <v>43141</v>
      </c>
      <c r="B2964" s="1">
        <v>44</v>
      </c>
    </row>
    <row r="2965" spans="1:2">
      <c r="A2965" s="112">
        <v>43142</v>
      </c>
      <c r="B2965" s="1">
        <v>52</v>
      </c>
    </row>
    <row r="2966" spans="1:2">
      <c r="A2966" s="112">
        <v>43143</v>
      </c>
      <c r="B2966" s="1">
        <v>61</v>
      </c>
    </row>
    <row r="2967" spans="1:2">
      <c r="A2967" s="112">
        <v>43144</v>
      </c>
      <c r="B2967" s="1">
        <v>70</v>
      </c>
    </row>
    <row r="2968" spans="1:2">
      <c r="A2968" s="112">
        <v>43145</v>
      </c>
      <c r="B2968" s="1">
        <v>77</v>
      </c>
    </row>
    <row r="2969" spans="1:2">
      <c r="A2969" s="112">
        <v>43146</v>
      </c>
      <c r="B2969" s="1">
        <v>83</v>
      </c>
    </row>
    <row r="2970" spans="1:2">
      <c r="A2970" s="112">
        <v>43147</v>
      </c>
      <c r="B2970" s="1">
        <v>87</v>
      </c>
    </row>
    <row r="2971" spans="1:2">
      <c r="A2971" s="112">
        <v>43148</v>
      </c>
      <c r="B2971" s="1">
        <v>88</v>
      </c>
    </row>
    <row r="2972" spans="1:2">
      <c r="A2972" s="112">
        <v>43149</v>
      </c>
      <c r="B2972" s="1">
        <v>87</v>
      </c>
    </row>
    <row r="2973" spans="1:2">
      <c r="A2973" s="112">
        <v>43150</v>
      </c>
      <c r="B2973" s="1">
        <v>83</v>
      </c>
    </row>
    <row r="2974" spans="1:2">
      <c r="A2974" s="112">
        <v>43151</v>
      </c>
      <c r="B2974" s="1">
        <v>76</v>
      </c>
    </row>
    <row r="2975" spans="1:2">
      <c r="A2975" s="112">
        <v>43152</v>
      </c>
      <c r="B2975" s="1">
        <v>67</v>
      </c>
    </row>
    <row r="2976" spans="1:2">
      <c r="A2976" s="112">
        <v>43153</v>
      </c>
      <c r="B2976" s="1">
        <v>58</v>
      </c>
    </row>
    <row r="2977" spans="1:2">
      <c r="A2977" s="112">
        <v>43154</v>
      </c>
      <c r="B2977" s="1">
        <v>51</v>
      </c>
    </row>
    <row r="2978" spans="1:2">
      <c r="A2978" s="112">
        <v>43155</v>
      </c>
      <c r="B2978" s="1">
        <v>50</v>
      </c>
    </row>
    <row r="2979" spans="1:2">
      <c r="A2979" s="112">
        <v>43156</v>
      </c>
      <c r="B2979" s="1">
        <v>58</v>
      </c>
    </row>
    <row r="2980" spans="1:2">
      <c r="A2980" s="112">
        <v>43157</v>
      </c>
      <c r="B2980" s="1">
        <v>70</v>
      </c>
    </row>
    <row r="2981" spans="1:2">
      <c r="A2981" s="112">
        <v>43158</v>
      </c>
      <c r="B2981" s="1">
        <v>84</v>
      </c>
    </row>
    <row r="2982" spans="1:2">
      <c r="A2982" s="112">
        <v>43159</v>
      </c>
      <c r="B2982" s="1">
        <v>96</v>
      </c>
    </row>
    <row r="2983" spans="1:2">
      <c r="A2983" s="112">
        <v>43160</v>
      </c>
      <c r="B2983" s="1">
        <v>104</v>
      </c>
    </row>
    <row r="2984" spans="1:2">
      <c r="A2984" s="112">
        <v>43161</v>
      </c>
      <c r="B2984" s="1">
        <v>106</v>
      </c>
    </row>
    <row r="2985" spans="1:2">
      <c r="A2985" s="112">
        <v>43162</v>
      </c>
      <c r="B2985" s="1">
        <v>104</v>
      </c>
    </row>
    <row r="2986" spans="1:2">
      <c r="A2986" s="112">
        <v>43163</v>
      </c>
      <c r="B2986" s="1">
        <v>96</v>
      </c>
    </row>
    <row r="2987" spans="1:2">
      <c r="A2987" s="112">
        <v>43164</v>
      </c>
      <c r="B2987" s="1">
        <v>85</v>
      </c>
    </row>
    <row r="2988" spans="1:2">
      <c r="A2988" s="112">
        <v>43165</v>
      </c>
      <c r="B2988" s="1">
        <v>71</v>
      </c>
    </row>
    <row r="2989" spans="1:2">
      <c r="A2989" s="112">
        <v>43166</v>
      </c>
      <c r="B2989" s="1">
        <v>57</v>
      </c>
    </row>
    <row r="2990" spans="1:2">
      <c r="A2990" s="112">
        <v>43167</v>
      </c>
      <c r="B2990" s="1">
        <v>45</v>
      </c>
    </row>
    <row r="2991" spans="1:2">
      <c r="A2991" s="112">
        <v>43168</v>
      </c>
      <c r="B2991" s="1">
        <v>35</v>
      </c>
    </row>
    <row r="2992" spans="1:2">
      <c r="A2992" s="112">
        <v>43169</v>
      </c>
      <c r="B2992" s="1">
        <v>32</v>
      </c>
    </row>
    <row r="2993" spans="1:2">
      <c r="A2993" s="112">
        <v>43170</v>
      </c>
      <c r="B2993" s="1">
        <v>37</v>
      </c>
    </row>
    <row r="2994" spans="1:2">
      <c r="A2994" s="112">
        <v>43171</v>
      </c>
      <c r="B2994" s="1">
        <v>47</v>
      </c>
    </row>
    <row r="2995" spans="1:2">
      <c r="A2995" s="112">
        <v>43172</v>
      </c>
      <c r="B2995" s="1">
        <v>58</v>
      </c>
    </row>
    <row r="2996" spans="1:2">
      <c r="A2996" s="112">
        <v>43173</v>
      </c>
      <c r="B2996" s="1">
        <v>69</v>
      </c>
    </row>
    <row r="2997" spans="1:2">
      <c r="A2997" s="112">
        <v>43174</v>
      </c>
      <c r="B2997" s="1">
        <v>79</v>
      </c>
    </row>
    <row r="2998" spans="1:2">
      <c r="A2998" s="112">
        <v>43175</v>
      </c>
      <c r="B2998" s="1">
        <v>88</v>
      </c>
    </row>
    <row r="2999" spans="1:2">
      <c r="A2999" s="112">
        <v>43176</v>
      </c>
      <c r="B2999" s="1">
        <v>94</v>
      </c>
    </row>
    <row r="3000" spans="1:2">
      <c r="A3000" s="112">
        <v>43177</v>
      </c>
      <c r="B3000" s="1">
        <v>96</v>
      </c>
    </row>
    <row r="3001" spans="1:2">
      <c r="A3001" s="112">
        <v>43178</v>
      </c>
      <c r="B3001" s="1">
        <v>95</v>
      </c>
    </row>
    <row r="3002" spans="1:2">
      <c r="A3002" s="112">
        <v>43179</v>
      </c>
      <c r="B3002" s="1">
        <v>90</v>
      </c>
    </row>
    <row r="3003" spans="1:2">
      <c r="A3003" s="112">
        <v>43180</v>
      </c>
      <c r="B3003" s="1">
        <v>82</v>
      </c>
    </row>
    <row r="3004" spans="1:2">
      <c r="A3004" s="112">
        <v>43181</v>
      </c>
      <c r="B3004" s="1">
        <v>70</v>
      </c>
    </row>
    <row r="3005" spans="1:2">
      <c r="A3005" s="112">
        <v>43182</v>
      </c>
      <c r="B3005" s="1">
        <v>58</v>
      </c>
    </row>
    <row r="3006" spans="1:2">
      <c r="A3006" s="112">
        <v>43183</v>
      </c>
      <c r="B3006" s="1">
        <v>50</v>
      </c>
    </row>
    <row r="3007" spans="1:2">
      <c r="A3007" s="112">
        <v>43184</v>
      </c>
      <c r="B3007" s="1">
        <v>49</v>
      </c>
    </row>
    <row r="3008" spans="1:2">
      <c r="A3008" s="112">
        <v>43185</v>
      </c>
      <c r="B3008" s="1">
        <v>57</v>
      </c>
    </row>
    <row r="3009" spans="1:2">
      <c r="A3009" s="112">
        <v>43186</v>
      </c>
      <c r="B3009" s="1">
        <v>70</v>
      </c>
    </row>
    <row r="3010" spans="1:2">
      <c r="A3010" s="112">
        <v>43187</v>
      </c>
      <c r="B3010" s="1">
        <v>83</v>
      </c>
    </row>
    <row r="3011" spans="1:2">
      <c r="A3011" s="112">
        <v>43188</v>
      </c>
      <c r="B3011" s="1">
        <v>94</v>
      </c>
    </row>
    <row r="3012" spans="1:2">
      <c r="A3012" s="112">
        <v>43189</v>
      </c>
      <c r="B3012" s="1">
        <v>101</v>
      </c>
    </row>
    <row r="3013" spans="1:2">
      <c r="A3013" s="112">
        <v>43190</v>
      </c>
      <c r="B3013" s="1">
        <v>102</v>
      </c>
    </row>
    <row r="3014" spans="1:2">
      <c r="A3014" s="112">
        <v>43191</v>
      </c>
      <c r="B3014" s="1">
        <v>100</v>
      </c>
    </row>
    <row r="3015" spans="1:2">
      <c r="A3015" s="112">
        <v>43192</v>
      </c>
      <c r="B3015" s="1">
        <v>93</v>
      </c>
    </row>
    <row r="3016" spans="1:2">
      <c r="A3016" s="112">
        <v>43193</v>
      </c>
      <c r="B3016" s="1">
        <v>83</v>
      </c>
    </row>
    <row r="3017" spans="1:2">
      <c r="A3017" s="112">
        <v>43194</v>
      </c>
      <c r="B3017" s="1">
        <v>71</v>
      </c>
    </row>
    <row r="3018" spans="1:2">
      <c r="A3018" s="112">
        <v>43195</v>
      </c>
      <c r="B3018" s="1">
        <v>58</v>
      </c>
    </row>
    <row r="3019" spans="1:2">
      <c r="A3019" s="112">
        <v>43196</v>
      </c>
      <c r="B3019" s="1">
        <v>46</v>
      </c>
    </row>
    <row r="3020" spans="1:2">
      <c r="A3020" s="112">
        <v>43197</v>
      </c>
      <c r="B3020" s="1">
        <v>36</v>
      </c>
    </row>
    <row r="3021" spans="1:2">
      <c r="A3021" s="112">
        <v>43198</v>
      </c>
      <c r="B3021" s="1">
        <v>32</v>
      </c>
    </row>
    <row r="3022" spans="1:2">
      <c r="A3022" s="112">
        <v>43199</v>
      </c>
      <c r="B3022" s="1">
        <v>35</v>
      </c>
    </row>
    <row r="3023" spans="1:2">
      <c r="A3023" s="112">
        <v>43200</v>
      </c>
      <c r="B3023" s="1">
        <v>45</v>
      </c>
    </row>
    <row r="3024" spans="1:2">
      <c r="A3024" s="112">
        <v>43201</v>
      </c>
      <c r="B3024" s="1">
        <v>56</v>
      </c>
    </row>
    <row r="3025" spans="1:2">
      <c r="A3025" s="112">
        <v>43202</v>
      </c>
      <c r="B3025" s="1">
        <v>69</v>
      </c>
    </row>
    <row r="3026" spans="1:2">
      <c r="A3026" s="112">
        <v>43203</v>
      </c>
      <c r="B3026" s="1">
        <v>80</v>
      </c>
    </row>
    <row r="3027" spans="1:2">
      <c r="A3027" s="112">
        <v>43204</v>
      </c>
      <c r="B3027" s="1">
        <v>90</v>
      </c>
    </row>
    <row r="3028" spans="1:2">
      <c r="A3028" s="112">
        <v>43205</v>
      </c>
      <c r="B3028" s="1">
        <v>97</v>
      </c>
    </row>
    <row r="3029" spans="1:2">
      <c r="A3029" s="112">
        <v>43206</v>
      </c>
      <c r="B3029" s="1">
        <v>100</v>
      </c>
    </row>
    <row r="3030" spans="1:2">
      <c r="A3030" s="112">
        <v>43207</v>
      </c>
      <c r="B3030" s="1">
        <v>99</v>
      </c>
    </row>
    <row r="3031" spans="1:2">
      <c r="A3031" s="112">
        <v>43208</v>
      </c>
      <c r="B3031" s="1">
        <v>93</v>
      </c>
    </row>
    <row r="3032" spans="1:2">
      <c r="A3032" s="112">
        <v>43209</v>
      </c>
      <c r="B3032" s="1">
        <v>83</v>
      </c>
    </row>
    <row r="3033" spans="1:2">
      <c r="A3033" s="112">
        <v>43210</v>
      </c>
      <c r="B3033" s="1">
        <v>71</v>
      </c>
    </row>
    <row r="3034" spans="1:2">
      <c r="A3034" s="112">
        <v>43211</v>
      </c>
      <c r="B3034" s="1">
        <v>59</v>
      </c>
    </row>
    <row r="3035" spans="1:2">
      <c r="A3035" s="112">
        <v>43212</v>
      </c>
      <c r="B3035" s="1">
        <v>51</v>
      </c>
    </row>
    <row r="3036" spans="1:2">
      <c r="A3036" s="112">
        <v>43213</v>
      </c>
      <c r="B3036" s="1">
        <v>51</v>
      </c>
    </row>
    <row r="3037" spans="1:2">
      <c r="A3037" s="112">
        <v>43214</v>
      </c>
      <c r="B3037" s="1">
        <v>59</v>
      </c>
    </row>
    <row r="3038" spans="1:2">
      <c r="A3038" s="112">
        <v>43215</v>
      </c>
      <c r="B3038" s="1">
        <v>69</v>
      </c>
    </row>
    <row r="3039" spans="1:2">
      <c r="A3039" s="112">
        <v>43216</v>
      </c>
      <c r="B3039" s="1">
        <v>80</v>
      </c>
    </row>
    <row r="3040" spans="1:2">
      <c r="A3040" s="112">
        <v>43217</v>
      </c>
      <c r="B3040" s="1">
        <v>88</v>
      </c>
    </row>
    <row r="3041" spans="1:2">
      <c r="A3041" s="112">
        <v>43218</v>
      </c>
      <c r="B3041" s="1">
        <v>93</v>
      </c>
    </row>
    <row r="3042" spans="1:2">
      <c r="A3042" s="112">
        <v>43219</v>
      </c>
      <c r="B3042" s="1">
        <v>94</v>
      </c>
    </row>
    <row r="3043" spans="1:2">
      <c r="A3043" s="112">
        <v>43220</v>
      </c>
      <c r="B3043" s="1">
        <v>91</v>
      </c>
    </row>
    <row r="3044" spans="1:2">
      <c r="A3044" s="112">
        <v>43221</v>
      </c>
      <c r="B3044" s="1">
        <v>86</v>
      </c>
    </row>
    <row r="3045" spans="1:2">
      <c r="A3045" s="112">
        <v>43222</v>
      </c>
      <c r="B3045" s="1">
        <v>78</v>
      </c>
    </row>
    <row r="3046" spans="1:2">
      <c r="A3046" s="112">
        <v>43223</v>
      </c>
      <c r="B3046" s="1">
        <v>69</v>
      </c>
    </row>
    <row r="3047" spans="1:2">
      <c r="A3047" s="112">
        <v>43224</v>
      </c>
      <c r="B3047" s="1">
        <v>59</v>
      </c>
    </row>
    <row r="3048" spans="1:2">
      <c r="A3048" s="112">
        <v>43225</v>
      </c>
      <c r="B3048" s="1">
        <v>49</v>
      </c>
    </row>
    <row r="3049" spans="1:2">
      <c r="A3049" s="112">
        <v>43226</v>
      </c>
      <c r="B3049" s="1">
        <v>41</v>
      </c>
    </row>
    <row r="3050" spans="1:2">
      <c r="A3050" s="112">
        <v>43227</v>
      </c>
      <c r="B3050" s="1">
        <v>36</v>
      </c>
    </row>
    <row r="3051" spans="1:2">
      <c r="A3051" s="112">
        <v>43228</v>
      </c>
      <c r="B3051" s="1">
        <v>38</v>
      </c>
    </row>
    <row r="3052" spans="1:2">
      <c r="A3052" s="112">
        <v>43229</v>
      </c>
      <c r="B3052" s="1">
        <v>45</v>
      </c>
    </row>
    <row r="3053" spans="1:2">
      <c r="A3053" s="112">
        <v>43230</v>
      </c>
      <c r="B3053" s="1">
        <v>55</v>
      </c>
    </row>
    <row r="3054" spans="1:2">
      <c r="A3054" s="112">
        <v>43231</v>
      </c>
      <c r="B3054" s="1">
        <v>67</v>
      </c>
    </row>
    <row r="3055" spans="1:2">
      <c r="A3055" s="112">
        <v>43232</v>
      </c>
      <c r="B3055" s="1">
        <v>79</v>
      </c>
    </row>
    <row r="3056" spans="1:2">
      <c r="A3056" s="112">
        <v>43233</v>
      </c>
      <c r="B3056" s="1">
        <v>89</v>
      </c>
    </row>
    <row r="3057" spans="1:2">
      <c r="A3057" s="112">
        <v>43234</v>
      </c>
      <c r="B3057" s="1">
        <v>97</v>
      </c>
    </row>
    <row r="3058" spans="1:2">
      <c r="A3058" s="112">
        <v>43235</v>
      </c>
      <c r="B3058" s="1">
        <v>100</v>
      </c>
    </row>
    <row r="3059" spans="1:2">
      <c r="A3059" s="112">
        <v>43236</v>
      </c>
      <c r="B3059" s="1">
        <v>99</v>
      </c>
    </row>
    <row r="3060" spans="1:2">
      <c r="A3060" s="112">
        <v>43237</v>
      </c>
      <c r="B3060" s="1">
        <v>94</v>
      </c>
    </row>
    <row r="3061" spans="1:2">
      <c r="A3061" s="112">
        <v>43238</v>
      </c>
      <c r="B3061" s="1">
        <v>85</v>
      </c>
    </row>
    <row r="3062" spans="1:2">
      <c r="A3062" s="112">
        <v>43239</v>
      </c>
      <c r="B3062" s="1">
        <v>74</v>
      </c>
    </row>
    <row r="3063" spans="1:2">
      <c r="A3063" s="112">
        <v>43240</v>
      </c>
      <c r="B3063" s="1">
        <v>64</v>
      </c>
    </row>
    <row r="3064" spans="1:2">
      <c r="A3064" s="112">
        <v>43241</v>
      </c>
      <c r="B3064" s="1">
        <v>57</v>
      </c>
    </row>
    <row r="3065" spans="1:2">
      <c r="A3065" s="112">
        <v>43242</v>
      </c>
      <c r="B3065" s="1">
        <v>56</v>
      </c>
    </row>
    <row r="3066" spans="1:2">
      <c r="A3066" s="112">
        <v>43243</v>
      </c>
      <c r="B3066" s="1">
        <v>60</v>
      </c>
    </row>
    <row r="3067" spans="1:2">
      <c r="A3067" s="112">
        <v>43244</v>
      </c>
      <c r="B3067" s="1">
        <v>66</v>
      </c>
    </row>
    <row r="3068" spans="1:2">
      <c r="A3068" s="112">
        <v>43245</v>
      </c>
      <c r="B3068" s="1">
        <v>72</v>
      </c>
    </row>
    <row r="3069" spans="1:2">
      <c r="A3069" s="112">
        <v>43246</v>
      </c>
      <c r="B3069" s="1">
        <v>78</v>
      </c>
    </row>
    <row r="3070" spans="1:2">
      <c r="A3070" s="112">
        <v>43247</v>
      </c>
      <c r="B3070" s="1">
        <v>81</v>
      </c>
    </row>
    <row r="3071" spans="1:2">
      <c r="A3071" s="112">
        <v>43248</v>
      </c>
      <c r="B3071" s="1">
        <v>83</v>
      </c>
    </row>
    <row r="3072" spans="1:2">
      <c r="A3072" s="112">
        <v>43249</v>
      </c>
      <c r="B3072" s="1">
        <v>82</v>
      </c>
    </row>
    <row r="3073" spans="1:2">
      <c r="A3073" s="112">
        <v>43250</v>
      </c>
      <c r="B3073" s="1">
        <v>79</v>
      </c>
    </row>
    <row r="3074" spans="1:2">
      <c r="A3074" s="112">
        <v>43251</v>
      </c>
      <c r="B3074" s="1">
        <v>74</v>
      </c>
    </row>
    <row r="3075" spans="1:2">
      <c r="A3075" s="112">
        <v>43252</v>
      </c>
      <c r="B3075" s="1">
        <v>68</v>
      </c>
    </row>
    <row r="3076" spans="1:2">
      <c r="A3076" s="112">
        <v>43253</v>
      </c>
      <c r="B3076" s="1">
        <v>62</v>
      </c>
    </row>
    <row r="3077" spans="1:2">
      <c r="A3077" s="112">
        <v>43254</v>
      </c>
      <c r="B3077" s="1">
        <v>55</v>
      </c>
    </row>
    <row r="3078" spans="1:2">
      <c r="A3078" s="112">
        <v>43255</v>
      </c>
      <c r="B3078" s="1">
        <v>48</v>
      </c>
    </row>
    <row r="3079" spans="1:2">
      <c r="A3079" s="112">
        <v>43256</v>
      </c>
      <c r="B3079" s="1">
        <v>44</v>
      </c>
    </row>
    <row r="3080" spans="1:2">
      <c r="A3080" s="112">
        <v>43257</v>
      </c>
      <c r="B3080" s="1">
        <v>43</v>
      </c>
    </row>
    <row r="3081" spans="1:2">
      <c r="A3081" s="112">
        <v>43258</v>
      </c>
      <c r="B3081" s="1">
        <v>47</v>
      </c>
    </row>
    <row r="3082" spans="1:2">
      <c r="A3082" s="112">
        <v>43259</v>
      </c>
      <c r="B3082" s="1">
        <v>55</v>
      </c>
    </row>
    <row r="3083" spans="1:2">
      <c r="A3083" s="112">
        <v>43260</v>
      </c>
      <c r="B3083" s="1">
        <v>65</v>
      </c>
    </row>
    <row r="3084" spans="1:2">
      <c r="A3084" s="112">
        <v>43261</v>
      </c>
      <c r="B3084" s="1">
        <v>75</v>
      </c>
    </row>
    <row r="3085" spans="1:2">
      <c r="A3085" s="112">
        <v>43262</v>
      </c>
      <c r="B3085" s="1">
        <v>85</v>
      </c>
    </row>
    <row r="3086" spans="1:2">
      <c r="A3086" s="112">
        <v>43263</v>
      </c>
      <c r="B3086" s="1">
        <v>93</v>
      </c>
    </row>
    <row r="3087" spans="1:2">
      <c r="A3087" s="112">
        <v>43264</v>
      </c>
      <c r="B3087" s="1">
        <v>68</v>
      </c>
    </row>
    <row r="3088" spans="1:2">
      <c r="A3088" s="112">
        <v>43265</v>
      </c>
      <c r="B3088" s="1">
        <v>99</v>
      </c>
    </row>
    <row r="3089" spans="1:2">
      <c r="A3089" s="112">
        <v>43266</v>
      </c>
      <c r="B3089" s="1">
        <v>95</v>
      </c>
    </row>
    <row r="3090" spans="1:2">
      <c r="A3090" s="112">
        <v>43267</v>
      </c>
      <c r="B3090" s="1">
        <v>89</v>
      </c>
    </row>
    <row r="3091" spans="1:2">
      <c r="A3091" s="112">
        <v>43268</v>
      </c>
      <c r="B3091" s="1">
        <v>80</v>
      </c>
    </row>
    <row r="3092" spans="1:2">
      <c r="A3092" s="112">
        <v>43269</v>
      </c>
      <c r="B3092" s="1">
        <v>71</v>
      </c>
    </row>
    <row r="3093" spans="1:2">
      <c r="A3093" s="112">
        <v>43270</v>
      </c>
      <c r="B3093" s="1">
        <v>63</v>
      </c>
    </row>
    <row r="3094" spans="1:2">
      <c r="A3094" s="112">
        <v>43271</v>
      </c>
      <c r="B3094" s="1">
        <v>58</v>
      </c>
    </row>
    <row r="3095" spans="1:2">
      <c r="A3095" s="112">
        <v>43272</v>
      </c>
      <c r="B3095" s="1">
        <v>57</v>
      </c>
    </row>
    <row r="3096" spans="1:2">
      <c r="A3096" s="112">
        <v>43273</v>
      </c>
      <c r="B3096" s="1">
        <v>59</v>
      </c>
    </row>
    <row r="3097" spans="1:2">
      <c r="A3097" s="112">
        <v>43274</v>
      </c>
      <c r="B3097" s="1">
        <v>62</v>
      </c>
    </row>
    <row r="3098" spans="1:2">
      <c r="A3098" s="112">
        <v>43275</v>
      </c>
      <c r="B3098" s="1">
        <v>66</v>
      </c>
    </row>
    <row r="3099" spans="1:2">
      <c r="A3099" s="112">
        <v>43276</v>
      </c>
      <c r="B3099" s="1">
        <v>70</v>
      </c>
    </row>
    <row r="3100" spans="1:2">
      <c r="A3100" s="112">
        <v>43277</v>
      </c>
      <c r="B3100" s="1">
        <v>73</v>
      </c>
    </row>
    <row r="3101" spans="1:2">
      <c r="A3101" s="112">
        <v>43278</v>
      </c>
      <c r="B3101" s="1">
        <v>75</v>
      </c>
    </row>
    <row r="3102" spans="1:2">
      <c r="A3102" s="112">
        <v>43279</v>
      </c>
      <c r="B3102" s="1">
        <v>75</v>
      </c>
    </row>
    <row r="3103" spans="1:2">
      <c r="A3103" s="112">
        <v>43280</v>
      </c>
      <c r="B3103" s="1">
        <v>74</v>
      </c>
    </row>
    <row r="3104" spans="1:2">
      <c r="A3104" s="112">
        <v>43281</v>
      </c>
      <c r="B3104" s="1">
        <v>71</v>
      </c>
    </row>
    <row r="3105" spans="1:2">
      <c r="A3105" s="112">
        <v>43282</v>
      </c>
      <c r="B3105" s="1">
        <v>67</v>
      </c>
    </row>
    <row r="3106" spans="1:2">
      <c r="A3106" s="112">
        <v>43283</v>
      </c>
      <c r="B3106" s="1">
        <v>63</v>
      </c>
    </row>
    <row r="3107" spans="1:2">
      <c r="A3107" s="112">
        <v>43284</v>
      </c>
      <c r="B3107" s="1">
        <v>58</v>
      </c>
    </row>
    <row r="3108" spans="1:2">
      <c r="A3108" s="112">
        <v>43285</v>
      </c>
      <c r="B3108" s="1">
        <v>54</v>
      </c>
    </row>
    <row r="3109" spans="1:2">
      <c r="A3109" s="112">
        <v>43286</v>
      </c>
      <c r="B3109" s="1">
        <v>51</v>
      </c>
    </row>
    <row r="3110" spans="1:2">
      <c r="A3110" s="112">
        <v>43287</v>
      </c>
      <c r="B3110" s="1">
        <v>50</v>
      </c>
    </row>
    <row r="3111" spans="1:2">
      <c r="A3111" s="112">
        <v>43288</v>
      </c>
      <c r="B3111" s="1">
        <v>54</v>
      </c>
    </row>
    <row r="3112" spans="1:2">
      <c r="A3112" s="112">
        <v>43289</v>
      </c>
      <c r="B3112" s="1">
        <v>60</v>
      </c>
    </row>
    <row r="3113" spans="1:2">
      <c r="A3113" s="112">
        <v>43290</v>
      </c>
      <c r="B3113" s="1">
        <v>69</v>
      </c>
    </row>
    <row r="3114" spans="1:2">
      <c r="A3114" s="112">
        <v>43291</v>
      </c>
      <c r="B3114" s="1">
        <v>79</v>
      </c>
    </row>
    <row r="3115" spans="1:2">
      <c r="A3115" s="112">
        <v>43292</v>
      </c>
      <c r="B3115" s="1">
        <v>89</v>
      </c>
    </row>
    <row r="3116" spans="1:2">
      <c r="A3116" s="112">
        <v>43293</v>
      </c>
      <c r="B3116" s="1">
        <v>96</v>
      </c>
    </row>
    <row r="3117" spans="1:2">
      <c r="A3117" s="112">
        <v>43294</v>
      </c>
      <c r="B3117" s="1">
        <v>100</v>
      </c>
    </row>
    <row r="3118" spans="1:2">
      <c r="A3118" s="112">
        <v>43295</v>
      </c>
      <c r="B3118" s="1">
        <v>100</v>
      </c>
    </row>
    <row r="3119" spans="1:2">
      <c r="A3119" s="112">
        <v>43296</v>
      </c>
      <c r="B3119" s="1">
        <v>96</v>
      </c>
    </row>
    <row r="3120" spans="1:2">
      <c r="A3120" s="112">
        <v>43297</v>
      </c>
      <c r="B3120" s="1">
        <v>88</v>
      </c>
    </row>
    <row r="3121" spans="1:2">
      <c r="A3121" s="112">
        <v>43298</v>
      </c>
      <c r="B3121" s="1">
        <v>78</v>
      </c>
    </row>
    <row r="3122" spans="1:2">
      <c r="A3122" s="112">
        <v>43299</v>
      </c>
      <c r="B3122" s="1">
        <v>67</v>
      </c>
    </row>
    <row r="3123" spans="1:2">
      <c r="A3123" s="112">
        <v>43300</v>
      </c>
      <c r="B3123" s="1">
        <v>58</v>
      </c>
    </row>
    <row r="3124" spans="1:2">
      <c r="A3124" s="112">
        <v>43301</v>
      </c>
      <c r="B3124" s="1">
        <v>51</v>
      </c>
    </row>
    <row r="3125" spans="1:2">
      <c r="A3125" s="112">
        <v>43302</v>
      </c>
      <c r="B3125" s="1">
        <v>49</v>
      </c>
    </row>
    <row r="3126" spans="1:2">
      <c r="A3126" s="112">
        <v>43303</v>
      </c>
      <c r="B3126" s="1">
        <v>51</v>
      </c>
    </row>
    <row r="3127" spans="1:2">
      <c r="A3127" s="112">
        <v>43304</v>
      </c>
      <c r="B3127" s="1">
        <v>55</v>
      </c>
    </row>
    <row r="3128" spans="1:2">
      <c r="A3128" s="112">
        <v>43305</v>
      </c>
      <c r="B3128" s="1">
        <v>61</v>
      </c>
    </row>
    <row r="3129" spans="1:2">
      <c r="A3129" s="112">
        <v>43306</v>
      </c>
      <c r="B3129" s="1">
        <v>67</v>
      </c>
    </row>
    <row r="3130" spans="1:2">
      <c r="A3130" s="112">
        <v>43307</v>
      </c>
      <c r="B3130" s="1">
        <v>71</v>
      </c>
    </row>
    <row r="3131" spans="1:2">
      <c r="A3131" s="112">
        <v>43308</v>
      </c>
      <c r="B3131" s="1">
        <v>75</v>
      </c>
    </row>
    <row r="3132" spans="1:2">
      <c r="A3132" s="112">
        <v>43309</v>
      </c>
      <c r="B3132" s="1">
        <v>77</v>
      </c>
    </row>
    <row r="3133" spans="1:2">
      <c r="A3133" s="112">
        <v>43310</v>
      </c>
      <c r="B3133" s="1">
        <v>77</v>
      </c>
    </row>
    <row r="3134" spans="1:2">
      <c r="A3134" s="112">
        <v>43311</v>
      </c>
      <c r="B3134" s="1">
        <v>76</v>
      </c>
    </row>
    <row r="3135" spans="1:2">
      <c r="A3135" s="112">
        <v>43312</v>
      </c>
      <c r="B3135" s="1">
        <v>73</v>
      </c>
    </row>
    <row r="3136" spans="1:2">
      <c r="A3136" s="112">
        <v>43313</v>
      </c>
      <c r="B3136" s="1">
        <v>68</v>
      </c>
    </row>
    <row r="3137" spans="1:2">
      <c r="A3137" s="112">
        <v>43314</v>
      </c>
      <c r="B3137" s="1">
        <v>63</v>
      </c>
    </row>
    <row r="3138" spans="1:2">
      <c r="A3138" s="112">
        <v>43315</v>
      </c>
      <c r="B3138" s="1">
        <v>57</v>
      </c>
    </row>
    <row r="3139" spans="1:2">
      <c r="A3139" s="112">
        <v>43316</v>
      </c>
      <c r="B3139" s="1">
        <v>53</v>
      </c>
    </row>
    <row r="3140" spans="1:2">
      <c r="A3140" s="112">
        <v>43317</v>
      </c>
      <c r="B3140" s="1">
        <v>51</v>
      </c>
    </row>
    <row r="3141" spans="1:2">
      <c r="A3141" s="112">
        <v>43318</v>
      </c>
      <c r="B3141" s="1">
        <v>55</v>
      </c>
    </row>
    <row r="3142" spans="1:2">
      <c r="A3142" s="112">
        <v>43319</v>
      </c>
      <c r="B3142" s="1">
        <v>63</v>
      </c>
    </row>
    <row r="3143" spans="1:2">
      <c r="A3143" s="112">
        <v>43320</v>
      </c>
      <c r="B3143" s="1">
        <v>75</v>
      </c>
    </row>
    <row r="3144" spans="1:2">
      <c r="A3144" s="112">
        <v>43321</v>
      </c>
      <c r="B3144" s="1">
        <v>87</v>
      </c>
    </row>
    <row r="3145" spans="1:2">
      <c r="A3145" s="112">
        <v>43322</v>
      </c>
      <c r="B3145" s="1">
        <v>98</v>
      </c>
    </row>
    <row r="3146" spans="1:2">
      <c r="A3146" s="112">
        <v>43323</v>
      </c>
      <c r="B3146" s="1">
        <v>104</v>
      </c>
    </row>
    <row r="3147" spans="1:2">
      <c r="A3147" s="112">
        <v>43324</v>
      </c>
      <c r="B3147" s="1">
        <v>106</v>
      </c>
    </row>
    <row r="3148" spans="1:2">
      <c r="A3148" s="112">
        <v>43325</v>
      </c>
      <c r="B3148" s="1">
        <v>102</v>
      </c>
    </row>
    <row r="3149" spans="1:2">
      <c r="A3149" s="112">
        <v>43326</v>
      </c>
      <c r="B3149" s="1">
        <v>93</v>
      </c>
    </row>
    <row r="3150" spans="1:2">
      <c r="A3150" s="112">
        <v>43327</v>
      </c>
      <c r="B3150" s="1">
        <v>82</v>
      </c>
    </row>
    <row r="3151" spans="1:2">
      <c r="A3151" s="112">
        <v>43328</v>
      </c>
      <c r="B3151" s="1">
        <v>68</v>
      </c>
    </row>
    <row r="3152" spans="1:2">
      <c r="A3152" s="112">
        <v>43329</v>
      </c>
      <c r="B3152" s="1">
        <v>55</v>
      </c>
    </row>
    <row r="3153" spans="1:2">
      <c r="A3153" s="112">
        <v>43330</v>
      </c>
      <c r="B3153" s="1">
        <v>45</v>
      </c>
    </row>
    <row r="3154" spans="1:2">
      <c r="A3154" s="112">
        <v>43331</v>
      </c>
      <c r="B3154" s="1">
        <v>40</v>
      </c>
    </row>
    <row r="3155" spans="1:2">
      <c r="A3155" s="112">
        <v>43332</v>
      </c>
      <c r="B3155" s="1">
        <v>41</v>
      </c>
    </row>
    <row r="3156" spans="1:2">
      <c r="A3156" s="112">
        <v>43333</v>
      </c>
      <c r="B3156" s="1">
        <v>47</v>
      </c>
    </row>
    <row r="3157" spans="1:2">
      <c r="A3157" s="112">
        <v>43334</v>
      </c>
      <c r="B3157" s="1">
        <v>56</v>
      </c>
    </row>
    <row r="3158" spans="1:2">
      <c r="A3158" s="112">
        <v>43335</v>
      </c>
      <c r="B3158" s="1">
        <v>64</v>
      </c>
    </row>
    <row r="3159" spans="1:2">
      <c r="A3159" s="112">
        <v>43336</v>
      </c>
      <c r="B3159" s="1">
        <v>72</v>
      </c>
    </row>
    <row r="3160" spans="1:2">
      <c r="A3160" s="112">
        <v>43337</v>
      </c>
      <c r="B3160" s="1">
        <v>78</v>
      </c>
    </row>
    <row r="3161" spans="1:2">
      <c r="A3161" s="112">
        <v>43338</v>
      </c>
      <c r="B3161" s="1">
        <v>83</v>
      </c>
    </row>
    <row r="3162" spans="1:2">
      <c r="A3162" s="112">
        <v>43339</v>
      </c>
      <c r="B3162" s="1">
        <v>85</v>
      </c>
    </row>
    <row r="3163" spans="1:2">
      <c r="A3163" s="112">
        <v>43340</v>
      </c>
      <c r="B3163" s="1">
        <v>85</v>
      </c>
    </row>
    <row r="3164" spans="1:2">
      <c r="A3164" s="112">
        <v>43341</v>
      </c>
      <c r="B3164" s="1">
        <v>83</v>
      </c>
    </row>
    <row r="3165" spans="1:2">
      <c r="A3165" s="112">
        <v>43342</v>
      </c>
      <c r="B3165" s="1">
        <v>78</v>
      </c>
    </row>
    <row r="3166" spans="1:2">
      <c r="A3166" s="112">
        <v>43343</v>
      </c>
      <c r="B3166" s="1">
        <v>70</v>
      </c>
    </row>
    <row r="3167" spans="1:2">
      <c r="A3167" s="112">
        <v>43344</v>
      </c>
      <c r="B3167" s="1">
        <v>62</v>
      </c>
    </row>
    <row r="3168" spans="1:2">
      <c r="A3168" s="112">
        <v>43345</v>
      </c>
      <c r="B3168" s="1">
        <v>53</v>
      </c>
    </row>
    <row r="3169" spans="1:2">
      <c r="A3169" s="112">
        <v>43346</v>
      </c>
      <c r="B3169" s="1">
        <v>48</v>
      </c>
    </row>
    <row r="3170" spans="1:2">
      <c r="A3170" s="112">
        <v>43347</v>
      </c>
      <c r="B3170" s="1">
        <v>51</v>
      </c>
    </row>
    <row r="3171" spans="1:2">
      <c r="A3171" s="112">
        <v>43348</v>
      </c>
      <c r="B3171" s="1">
        <v>60</v>
      </c>
    </row>
    <row r="3172" spans="1:2">
      <c r="A3172" s="112">
        <v>43349</v>
      </c>
      <c r="B3172" s="1">
        <v>74</v>
      </c>
    </row>
    <row r="3173" spans="1:2">
      <c r="A3173" s="112">
        <v>43350</v>
      </c>
      <c r="B3173" s="1">
        <v>88</v>
      </c>
    </row>
    <row r="3174" spans="1:2">
      <c r="A3174" s="112">
        <v>43351</v>
      </c>
      <c r="B3174" s="1">
        <v>100</v>
      </c>
    </row>
    <row r="3175" spans="1:2">
      <c r="A3175" s="112">
        <v>43352</v>
      </c>
      <c r="B3175" s="1">
        <v>107</v>
      </c>
    </row>
    <row r="3176" spans="1:2">
      <c r="A3176" s="112">
        <v>43353</v>
      </c>
      <c r="B3176" s="1">
        <v>109</v>
      </c>
    </row>
    <row r="3177" spans="1:2">
      <c r="A3177" s="112">
        <v>43354</v>
      </c>
      <c r="B3177" s="1">
        <v>104</v>
      </c>
    </row>
    <row r="3178" spans="1:2">
      <c r="A3178" s="112">
        <v>43355</v>
      </c>
      <c r="B3178" s="1">
        <v>95</v>
      </c>
    </row>
    <row r="3179" spans="1:2">
      <c r="A3179" s="112">
        <v>43356</v>
      </c>
      <c r="B3179" s="1">
        <v>82</v>
      </c>
    </row>
    <row r="3180" spans="1:2">
      <c r="A3180" s="112">
        <v>43357</v>
      </c>
      <c r="B3180" s="1">
        <v>67</v>
      </c>
    </row>
    <row r="3181" spans="1:2">
      <c r="A3181" s="112">
        <v>43358</v>
      </c>
      <c r="B3181" s="1">
        <v>53</v>
      </c>
    </row>
    <row r="3182" spans="1:2">
      <c r="A3182" s="112">
        <v>43359</v>
      </c>
      <c r="B3182" s="1">
        <v>41</v>
      </c>
    </row>
    <row r="3183" spans="1:2">
      <c r="A3183" s="112">
        <v>43360</v>
      </c>
      <c r="B3183" s="1">
        <v>34</v>
      </c>
    </row>
    <row r="3184" spans="1:2">
      <c r="A3184" s="112">
        <v>43361</v>
      </c>
      <c r="B3184" s="1">
        <v>35</v>
      </c>
    </row>
    <row r="3185" spans="1:2">
      <c r="A3185" s="112">
        <v>43362</v>
      </c>
      <c r="B3185" s="1">
        <v>42</v>
      </c>
    </row>
    <row r="3186" spans="1:2">
      <c r="A3186" s="112">
        <v>43363</v>
      </c>
      <c r="B3186" s="1">
        <v>53</v>
      </c>
    </row>
    <row r="3187" spans="1:2">
      <c r="A3187" s="112">
        <v>43364</v>
      </c>
      <c r="B3187" s="1">
        <v>63</v>
      </c>
    </row>
    <row r="3188" spans="1:2">
      <c r="A3188" s="112">
        <v>43365</v>
      </c>
      <c r="B3188" s="1">
        <v>73</v>
      </c>
    </row>
    <row r="3189" spans="1:2">
      <c r="A3189" s="112">
        <v>43366</v>
      </c>
      <c r="B3189" s="1">
        <v>82</v>
      </c>
    </row>
    <row r="3190" spans="1:2">
      <c r="A3190" s="112">
        <v>43367</v>
      </c>
      <c r="B3190" s="1">
        <v>88</v>
      </c>
    </row>
    <row r="3191" spans="1:2">
      <c r="A3191" s="112">
        <v>43368</v>
      </c>
      <c r="B3191" s="1">
        <v>92</v>
      </c>
    </row>
    <row r="3192" spans="1:2">
      <c r="A3192" s="112">
        <v>43369</v>
      </c>
      <c r="B3192" s="1">
        <v>93</v>
      </c>
    </row>
    <row r="3193" spans="1:2">
      <c r="A3193" s="112">
        <v>43370</v>
      </c>
      <c r="B3193" s="1">
        <v>90</v>
      </c>
    </row>
    <row r="3194" spans="1:2">
      <c r="A3194" s="112">
        <v>43371</v>
      </c>
      <c r="B3194" s="1">
        <v>84</v>
      </c>
    </row>
    <row r="3195" spans="1:2">
      <c r="A3195" s="112">
        <v>43372</v>
      </c>
      <c r="B3195" s="1">
        <v>74</v>
      </c>
    </row>
    <row r="3196" spans="1:2">
      <c r="A3196" s="112">
        <v>43373</v>
      </c>
      <c r="B3196" s="1">
        <v>63</v>
      </c>
    </row>
    <row r="3197" spans="1:2">
      <c r="A3197" s="112">
        <v>43374</v>
      </c>
      <c r="B3197" s="1">
        <v>53</v>
      </c>
    </row>
    <row r="3198" spans="1:2">
      <c r="A3198" s="112">
        <v>43375</v>
      </c>
      <c r="B3198" s="1">
        <v>47</v>
      </c>
    </row>
    <row r="3199" spans="1:2">
      <c r="A3199" s="112">
        <v>43376</v>
      </c>
      <c r="B3199" s="1">
        <v>50</v>
      </c>
    </row>
    <row r="3200" spans="1:2">
      <c r="A3200" s="112">
        <v>43377</v>
      </c>
      <c r="B3200" s="1">
        <v>61</v>
      </c>
    </row>
    <row r="3201" spans="1:2">
      <c r="A3201" s="112">
        <v>43378</v>
      </c>
      <c r="B3201" s="1">
        <v>75</v>
      </c>
    </row>
    <row r="3202" spans="1:2">
      <c r="A3202" s="112">
        <v>43379</v>
      </c>
      <c r="B3202" s="1">
        <v>89</v>
      </c>
    </row>
    <row r="3203" spans="1:2">
      <c r="A3203" s="112">
        <v>43380</v>
      </c>
      <c r="B3203" s="1">
        <v>100</v>
      </c>
    </row>
    <row r="3204" spans="1:2">
      <c r="A3204" s="112">
        <v>43381</v>
      </c>
      <c r="B3204" s="1">
        <v>105</v>
      </c>
    </row>
    <row r="3205" spans="1:2">
      <c r="A3205" s="112">
        <v>43382</v>
      </c>
      <c r="B3205" s="1">
        <v>106</v>
      </c>
    </row>
    <row r="3206" spans="1:2">
      <c r="A3206" s="112">
        <v>43383</v>
      </c>
      <c r="B3206" s="1">
        <v>101</v>
      </c>
    </row>
    <row r="3207" spans="1:2">
      <c r="A3207" s="112">
        <v>43384</v>
      </c>
      <c r="B3207" s="1">
        <v>91</v>
      </c>
    </row>
    <row r="3208" spans="1:2">
      <c r="A3208" s="112">
        <v>43385</v>
      </c>
      <c r="B3208" s="1">
        <v>79</v>
      </c>
    </row>
    <row r="3209" spans="1:2">
      <c r="A3209" s="112">
        <v>43386</v>
      </c>
      <c r="B3209" s="1">
        <v>66</v>
      </c>
    </row>
    <row r="3210" spans="1:2">
      <c r="A3210" s="112">
        <v>43387</v>
      </c>
      <c r="B3210" s="1">
        <v>52</v>
      </c>
    </row>
    <row r="3211" spans="1:2">
      <c r="A3211" s="112">
        <v>43388</v>
      </c>
      <c r="B3211" s="1">
        <v>40</v>
      </c>
    </row>
    <row r="3212" spans="1:2">
      <c r="A3212" s="112">
        <v>43389</v>
      </c>
      <c r="B3212" s="1">
        <v>33</v>
      </c>
    </row>
    <row r="3213" spans="1:2">
      <c r="A3213" s="112">
        <v>43390</v>
      </c>
      <c r="B3213" s="1">
        <v>33</v>
      </c>
    </row>
    <row r="3214" spans="1:2">
      <c r="A3214" s="112">
        <v>43391</v>
      </c>
      <c r="B3214" s="1">
        <v>40</v>
      </c>
    </row>
    <row r="3215" spans="1:2">
      <c r="A3215" s="112">
        <v>43392</v>
      </c>
      <c r="B3215" s="1">
        <v>50</v>
      </c>
    </row>
    <row r="3216" spans="1:2">
      <c r="A3216" s="112">
        <v>43393</v>
      </c>
      <c r="B3216" s="1">
        <v>62</v>
      </c>
    </row>
    <row r="3217" spans="1:2">
      <c r="A3217" s="112">
        <v>43394</v>
      </c>
      <c r="B3217" s="1">
        <v>73</v>
      </c>
    </row>
    <row r="3218" spans="1:2">
      <c r="A3218" s="112">
        <v>43395</v>
      </c>
      <c r="B3218" s="1">
        <v>83</v>
      </c>
    </row>
    <row r="3219" spans="1:2">
      <c r="A3219" s="112">
        <v>43396</v>
      </c>
      <c r="B3219" s="1">
        <v>91</v>
      </c>
    </row>
    <row r="3220" spans="1:2">
      <c r="A3220" s="112">
        <v>43397</v>
      </c>
      <c r="B3220" s="1">
        <v>95</v>
      </c>
    </row>
    <row r="3221" spans="1:2">
      <c r="A3221" s="112">
        <v>43398</v>
      </c>
      <c r="B3221" s="1">
        <v>97</v>
      </c>
    </row>
    <row r="3222" spans="1:2">
      <c r="A3222" s="112">
        <v>43399</v>
      </c>
      <c r="B3222" s="1">
        <v>94</v>
      </c>
    </row>
    <row r="3223" spans="1:2">
      <c r="A3223" s="112">
        <v>43400</v>
      </c>
      <c r="B3223" s="1">
        <v>87</v>
      </c>
    </row>
    <row r="3224" spans="1:2">
      <c r="A3224" s="112">
        <v>43401</v>
      </c>
      <c r="B3224" s="1">
        <v>76</v>
      </c>
    </row>
    <row r="3225" spans="1:2">
      <c r="A3225" s="112">
        <v>43402</v>
      </c>
      <c r="B3225" s="1">
        <v>65</v>
      </c>
    </row>
    <row r="3226" spans="1:2">
      <c r="A3226" s="112">
        <v>43403</v>
      </c>
      <c r="B3226" s="1">
        <v>54</v>
      </c>
    </row>
    <row r="3227" spans="1:2">
      <c r="A3227" s="112">
        <v>43404</v>
      </c>
      <c r="B3227" s="1">
        <v>49</v>
      </c>
    </row>
    <row r="3228" spans="1:2">
      <c r="A3228" s="112">
        <v>43405</v>
      </c>
      <c r="B3228" s="1">
        <v>53</v>
      </c>
    </row>
    <row r="3229" spans="1:2">
      <c r="A3229" s="112">
        <v>43406</v>
      </c>
      <c r="B3229" s="1">
        <v>63</v>
      </c>
    </row>
    <row r="3230" spans="1:2">
      <c r="A3230" s="112">
        <v>43407</v>
      </c>
      <c r="B3230" s="1">
        <v>75</v>
      </c>
    </row>
    <row r="3231" spans="1:2">
      <c r="A3231" s="112">
        <v>43408</v>
      </c>
      <c r="B3231" s="1">
        <v>85</v>
      </c>
    </row>
    <row r="3232" spans="1:2">
      <c r="A3232" s="112">
        <v>43409</v>
      </c>
      <c r="B3232" s="1">
        <v>93</v>
      </c>
    </row>
    <row r="3233" spans="1:2">
      <c r="A3233" s="112">
        <v>43410</v>
      </c>
      <c r="B3233" s="1">
        <v>97</v>
      </c>
    </row>
    <row r="3234" spans="1:2">
      <c r="A3234" s="112">
        <v>43411</v>
      </c>
      <c r="B3234" s="1">
        <v>97</v>
      </c>
    </row>
    <row r="3235" spans="1:2">
      <c r="A3235" s="112">
        <v>43412</v>
      </c>
      <c r="B3235" s="1">
        <v>93</v>
      </c>
    </row>
    <row r="3236" spans="1:2">
      <c r="A3236" s="112">
        <v>43413</v>
      </c>
      <c r="B3236" s="1">
        <v>85</v>
      </c>
    </row>
    <row r="3237" spans="1:2">
      <c r="A3237" s="112">
        <v>43414</v>
      </c>
      <c r="B3237" s="1">
        <v>76</v>
      </c>
    </row>
    <row r="3238" spans="1:2">
      <c r="A3238" s="112">
        <v>43415</v>
      </c>
      <c r="B3238" s="1">
        <v>65</v>
      </c>
    </row>
    <row r="3239" spans="1:2">
      <c r="A3239" s="112">
        <v>43416</v>
      </c>
      <c r="B3239" s="1">
        <v>54</v>
      </c>
    </row>
    <row r="3240" spans="1:2">
      <c r="A3240" s="112">
        <v>43417</v>
      </c>
      <c r="B3240" s="1">
        <v>44</v>
      </c>
    </row>
    <row r="3241" spans="1:2">
      <c r="A3241" s="112">
        <v>43418</v>
      </c>
      <c r="B3241" s="1">
        <v>37</v>
      </c>
    </row>
    <row r="3242" spans="1:2">
      <c r="A3242" s="112">
        <v>43419</v>
      </c>
      <c r="B3242" s="1">
        <v>35</v>
      </c>
    </row>
    <row r="3243" spans="1:2">
      <c r="A3243" s="112">
        <v>43420</v>
      </c>
      <c r="B3243" s="1">
        <v>39</v>
      </c>
    </row>
    <row r="3244" spans="1:2">
      <c r="A3244" s="112">
        <v>43421</v>
      </c>
      <c r="B3244" s="1">
        <v>48</v>
      </c>
    </row>
    <row r="3245" spans="1:2">
      <c r="A3245" s="112">
        <v>43422</v>
      </c>
      <c r="B3245" s="1">
        <v>58</v>
      </c>
    </row>
    <row r="3246" spans="1:2">
      <c r="A3246" s="112">
        <v>43423</v>
      </c>
      <c r="B3246" s="1">
        <v>70</v>
      </c>
    </row>
    <row r="3247" spans="1:2">
      <c r="A3247" s="112">
        <v>43424</v>
      </c>
      <c r="B3247" s="1">
        <v>80</v>
      </c>
    </row>
    <row r="3248" spans="1:2">
      <c r="A3248" s="112">
        <v>43425</v>
      </c>
      <c r="B3248" s="1">
        <v>89</v>
      </c>
    </row>
    <row r="3249" spans="1:2">
      <c r="A3249" s="112">
        <v>43426</v>
      </c>
      <c r="B3249" s="1">
        <v>95</v>
      </c>
    </row>
    <row r="3250" spans="1:2">
      <c r="A3250" s="112">
        <v>43427</v>
      </c>
      <c r="B3250" s="1">
        <v>97</v>
      </c>
    </row>
    <row r="3251" spans="1:2">
      <c r="A3251" s="112">
        <v>43428</v>
      </c>
      <c r="B3251" s="1">
        <v>95</v>
      </c>
    </row>
    <row r="3252" spans="1:2">
      <c r="A3252" s="112">
        <v>43429</v>
      </c>
      <c r="B3252" s="1">
        <v>89</v>
      </c>
    </row>
    <row r="3253" spans="1:2">
      <c r="A3253" s="112">
        <v>43430</v>
      </c>
      <c r="B3253" s="1">
        <v>81</v>
      </c>
    </row>
    <row r="3254" spans="1:2">
      <c r="A3254" s="112">
        <v>43431</v>
      </c>
      <c r="B3254" s="1">
        <v>70</v>
      </c>
    </row>
    <row r="3255" spans="1:2">
      <c r="A3255" s="112">
        <v>43432</v>
      </c>
      <c r="B3255" s="1">
        <v>61</v>
      </c>
    </row>
    <row r="3256" spans="1:2">
      <c r="A3256" s="112">
        <v>43433</v>
      </c>
      <c r="B3256" s="1">
        <v>56</v>
      </c>
    </row>
    <row r="3257" spans="1:2">
      <c r="A3257" s="112">
        <v>43434</v>
      </c>
      <c r="B3257" s="1">
        <v>56</v>
      </c>
    </row>
    <row r="3258" spans="1:2">
      <c r="A3258" s="112">
        <v>43435</v>
      </c>
      <c r="B3258" s="1">
        <v>61</v>
      </c>
    </row>
    <row r="3259" spans="1:2">
      <c r="A3259" s="112">
        <v>43436</v>
      </c>
      <c r="B3259" s="1">
        <v>69</v>
      </c>
    </row>
    <row r="3260" spans="1:2">
      <c r="A3260" s="112">
        <v>43437</v>
      </c>
      <c r="B3260" s="1">
        <v>75</v>
      </c>
    </row>
    <row r="3261" spans="1:2">
      <c r="A3261" s="112">
        <v>43438</v>
      </c>
      <c r="B3261" s="1">
        <v>81</v>
      </c>
    </row>
    <row r="3262" spans="1:2">
      <c r="A3262" s="112">
        <v>43439</v>
      </c>
      <c r="B3262" s="1">
        <v>84</v>
      </c>
    </row>
    <row r="3263" spans="1:2">
      <c r="A3263" s="112">
        <v>43440</v>
      </c>
      <c r="B3263" s="1">
        <v>85</v>
      </c>
    </row>
    <row r="3264" spans="1:2">
      <c r="A3264" s="112">
        <v>43441</v>
      </c>
      <c r="B3264" s="1">
        <v>84</v>
      </c>
    </row>
    <row r="3265" spans="1:2">
      <c r="A3265" s="112">
        <v>43442</v>
      </c>
      <c r="B3265" s="1">
        <v>80</v>
      </c>
    </row>
    <row r="3266" spans="1:2">
      <c r="A3266" s="112">
        <v>43443</v>
      </c>
      <c r="B3266" s="1">
        <v>75</v>
      </c>
    </row>
    <row r="3267" spans="1:2">
      <c r="A3267" s="112">
        <v>43444</v>
      </c>
      <c r="B3267" s="1">
        <v>68</v>
      </c>
    </row>
    <row r="3268" spans="1:2">
      <c r="A3268" s="112">
        <v>43445</v>
      </c>
      <c r="B3268" s="1">
        <v>60</v>
      </c>
    </row>
    <row r="3269" spans="1:2">
      <c r="A3269" s="112">
        <v>43446</v>
      </c>
      <c r="B3269" s="1">
        <v>53</v>
      </c>
    </row>
    <row r="3270" spans="1:2">
      <c r="A3270" s="112">
        <v>43447</v>
      </c>
      <c r="B3270" s="1">
        <v>46</v>
      </c>
    </row>
    <row r="3271" spans="1:2">
      <c r="A3271" s="112">
        <v>43448</v>
      </c>
      <c r="B3271" s="1">
        <v>42</v>
      </c>
    </row>
    <row r="3272" spans="1:2">
      <c r="A3272" s="112">
        <v>43449</v>
      </c>
      <c r="B3272" s="1">
        <v>42</v>
      </c>
    </row>
    <row r="3273" spans="1:2">
      <c r="A3273" s="112">
        <v>43450</v>
      </c>
      <c r="B3273" s="1">
        <v>46</v>
      </c>
    </row>
    <row r="3274" spans="1:2">
      <c r="A3274" s="112">
        <v>43451</v>
      </c>
      <c r="B3274" s="1">
        <v>53</v>
      </c>
    </row>
    <row r="3275" spans="1:2">
      <c r="A3275" s="112">
        <v>43452</v>
      </c>
      <c r="B3275" s="1">
        <v>63</v>
      </c>
    </row>
    <row r="3276" spans="1:2">
      <c r="A3276" s="112">
        <v>43453</v>
      </c>
      <c r="B3276" s="1">
        <v>73</v>
      </c>
    </row>
    <row r="3277" spans="1:2">
      <c r="A3277" s="112">
        <v>43454</v>
      </c>
      <c r="B3277" s="1">
        <v>83</v>
      </c>
    </row>
    <row r="3278" spans="1:2">
      <c r="A3278" s="112">
        <v>43455</v>
      </c>
      <c r="B3278" s="1">
        <v>91</v>
      </c>
    </row>
    <row r="3279" spans="1:2">
      <c r="A3279" s="112">
        <v>43456</v>
      </c>
      <c r="B3279" s="1">
        <v>96</v>
      </c>
    </row>
    <row r="3280" spans="1:2">
      <c r="A3280" s="112">
        <v>43457</v>
      </c>
      <c r="B3280" s="1">
        <v>98</v>
      </c>
    </row>
    <row r="3281" spans="1:2">
      <c r="A3281" s="112">
        <v>43458</v>
      </c>
      <c r="B3281" s="1">
        <v>95</v>
      </c>
    </row>
    <row r="3282" spans="1:2">
      <c r="A3282" s="112">
        <v>43459</v>
      </c>
      <c r="B3282" s="1">
        <v>89</v>
      </c>
    </row>
    <row r="3283" spans="1:2">
      <c r="A3283" s="112">
        <v>43460</v>
      </c>
      <c r="B3283" s="1">
        <v>81</v>
      </c>
    </row>
    <row r="3284" spans="1:2">
      <c r="A3284" s="112">
        <v>43461</v>
      </c>
      <c r="B3284" s="1">
        <v>72</v>
      </c>
    </row>
    <row r="3285" spans="1:2">
      <c r="A3285" s="112">
        <v>43462</v>
      </c>
      <c r="B3285" s="1">
        <v>64</v>
      </c>
    </row>
    <row r="3286" spans="1:2">
      <c r="A3286" s="112">
        <v>43463</v>
      </c>
      <c r="B3286" s="1">
        <v>58</v>
      </c>
    </row>
    <row r="3287" spans="1:2">
      <c r="A3287" s="112">
        <v>43464</v>
      </c>
      <c r="B3287" s="1">
        <v>56</v>
      </c>
    </row>
    <row r="3288" spans="1:2">
      <c r="A3288" s="112">
        <v>43465</v>
      </c>
      <c r="B3288" s="1">
        <v>58</v>
      </c>
    </row>
    <row r="3289" spans="1:2">
      <c r="A3289" s="112">
        <v>43466</v>
      </c>
      <c r="B3289" s="1">
        <v>62</v>
      </c>
    </row>
    <row r="3290" spans="1:2">
      <c r="A3290" s="112">
        <v>43467</v>
      </c>
      <c r="B3290" s="1">
        <v>67</v>
      </c>
    </row>
    <row r="3291" spans="1:2">
      <c r="A3291" s="112">
        <v>43468</v>
      </c>
      <c r="B3291" s="1">
        <v>71</v>
      </c>
    </row>
    <row r="3292" spans="1:2">
      <c r="A3292" s="112">
        <v>43469</v>
      </c>
      <c r="B3292" s="1">
        <v>75</v>
      </c>
    </row>
    <row r="3293" spans="1:2">
      <c r="A3293" s="112">
        <v>43470</v>
      </c>
      <c r="B3293" s="1">
        <v>77</v>
      </c>
    </row>
    <row r="3294" spans="1:2">
      <c r="A3294" s="112">
        <v>43471</v>
      </c>
      <c r="B3294" s="1">
        <v>78</v>
      </c>
    </row>
    <row r="3295" spans="1:2">
      <c r="A3295" s="112">
        <v>43472</v>
      </c>
      <c r="B3295" s="1">
        <v>76</v>
      </c>
    </row>
    <row r="3296" spans="1:2">
      <c r="A3296" s="112">
        <v>43473</v>
      </c>
      <c r="B3296" s="1">
        <v>73</v>
      </c>
    </row>
    <row r="3297" spans="1:2">
      <c r="A3297" s="112">
        <v>43474</v>
      </c>
      <c r="B3297" s="1">
        <v>69</v>
      </c>
    </row>
    <row r="3298" spans="1:2">
      <c r="A3298" s="112">
        <v>43475</v>
      </c>
      <c r="B3298" s="1">
        <v>64</v>
      </c>
    </row>
    <row r="3299" spans="1:2">
      <c r="A3299" s="112">
        <v>43476</v>
      </c>
      <c r="B3299" s="1">
        <v>58</v>
      </c>
    </row>
    <row r="3300" spans="1:2">
      <c r="A3300" s="112">
        <v>43477</v>
      </c>
      <c r="B3300" s="1">
        <v>52</v>
      </c>
    </row>
    <row r="3301" spans="1:2">
      <c r="A3301" s="112">
        <v>43478</v>
      </c>
      <c r="B3301" s="1">
        <v>48</v>
      </c>
    </row>
    <row r="3302" spans="1:2">
      <c r="A3302" s="112">
        <v>43479</v>
      </c>
      <c r="B3302" s="1">
        <v>46</v>
      </c>
    </row>
    <row r="3303" spans="1:2">
      <c r="A3303" s="112">
        <v>43480</v>
      </c>
      <c r="B3303" s="1">
        <v>48</v>
      </c>
    </row>
    <row r="3304" spans="1:2">
      <c r="A3304" s="112">
        <v>43481</v>
      </c>
      <c r="B3304" s="1">
        <v>54</v>
      </c>
    </row>
    <row r="3305" spans="1:2">
      <c r="A3305" s="112">
        <v>43482</v>
      </c>
      <c r="B3305" s="1">
        <v>64</v>
      </c>
    </row>
    <row r="3306" spans="1:2">
      <c r="A3306" s="112">
        <v>43483</v>
      </c>
      <c r="B3306" s="1">
        <v>75</v>
      </c>
    </row>
    <row r="3307" spans="1:2">
      <c r="A3307" s="112">
        <v>43484</v>
      </c>
      <c r="B3307" s="1">
        <v>87</v>
      </c>
    </row>
    <row r="3308" spans="1:2">
      <c r="A3308" s="112">
        <v>43485</v>
      </c>
      <c r="B3308" s="1">
        <v>96</v>
      </c>
    </row>
    <row r="3309" spans="1:2">
      <c r="A3309" s="112">
        <v>43486</v>
      </c>
      <c r="B3309" s="1">
        <v>102</v>
      </c>
    </row>
    <row r="3310" spans="1:2">
      <c r="A3310" s="112">
        <v>43487</v>
      </c>
      <c r="B3310" s="1">
        <v>104</v>
      </c>
    </row>
    <row r="3311" spans="1:2">
      <c r="A3311" s="112">
        <v>43488</v>
      </c>
      <c r="B3311" s="1">
        <v>100</v>
      </c>
    </row>
    <row r="3312" spans="1:2">
      <c r="A3312" s="112">
        <v>43489</v>
      </c>
      <c r="B3312" s="1">
        <v>93</v>
      </c>
    </row>
    <row r="3313" spans="1:2">
      <c r="A3313" s="112">
        <v>43490</v>
      </c>
      <c r="B3313" s="1">
        <v>82</v>
      </c>
    </row>
    <row r="3314" spans="1:2">
      <c r="A3314" s="112">
        <v>43491</v>
      </c>
      <c r="B3314" s="1">
        <v>69</v>
      </c>
    </row>
    <row r="3315" spans="1:2">
      <c r="A3315" s="112">
        <v>43492</v>
      </c>
      <c r="B3315" s="1">
        <v>58</v>
      </c>
    </row>
    <row r="3316" spans="1:2">
      <c r="A3316" s="112">
        <v>43493</v>
      </c>
      <c r="B3316" s="1">
        <v>49</v>
      </c>
    </row>
    <row r="3317" spans="1:2">
      <c r="A3317" s="112">
        <v>43494</v>
      </c>
      <c r="B3317" s="1">
        <v>46</v>
      </c>
    </row>
    <row r="3318" spans="1:2">
      <c r="A3318" s="112">
        <v>43495</v>
      </c>
      <c r="B3318" s="1">
        <v>49</v>
      </c>
    </row>
    <row r="3319" spans="1:2">
      <c r="A3319" s="112">
        <v>43496</v>
      </c>
      <c r="B3319" s="1">
        <v>55</v>
      </c>
    </row>
    <row r="3320" spans="1:2">
      <c r="A3320" s="112">
        <v>43497</v>
      </c>
      <c r="B3320" s="1">
        <v>62</v>
      </c>
    </row>
    <row r="3321" spans="1:2">
      <c r="A3321" s="112">
        <v>43498</v>
      </c>
      <c r="B3321" s="1">
        <v>68</v>
      </c>
    </row>
    <row r="3322" spans="1:2">
      <c r="A3322" s="112">
        <v>43499</v>
      </c>
      <c r="B3322" s="1">
        <v>74</v>
      </c>
    </row>
    <row r="3323" spans="1:2">
      <c r="A3323" s="112">
        <v>43500</v>
      </c>
      <c r="B3323" s="1">
        <v>78</v>
      </c>
    </row>
    <row r="3324" spans="1:2">
      <c r="A3324" s="112">
        <v>43501</v>
      </c>
      <c r="B3324" s="1">
        <v>80</v>
      </c>
    </row>
    <row r="3325" spans="1:2">
      <c r="A3325" s="112">
        <v>43502</v>
      </c>
      <c r="B3325" s="1">
        <v>80</v>
      </c>
    </row>
    <row r="3326" spans="1:2">
      <c r="A3326" s="112">
        <v>43503</v>
      </c>
      <c r="B3326" s="1">
        <v>79</v>
      </c>
    </row>
    <row r="3327" spans="1:2">
      <c r="A3327" s="112">
        <v>43504</v>
      </c>
      <c r="B3327" s="1">
        <v>75</v>
      </c>
    </row>
    <row r="3328" spans="1:2">
      <c r="A3328" s="112">
        <v>43505</v>
      </c>
      <c r="B3328" s="1">
        <v>69</v>
      </c>
    </row>
    <row r="3329" spans="1:2">
      <c r="A3329" s="112">
        <v>43506</v>
      </c>
      <c r="B3329" s="1">
        <v>63</v>
      </c>
    </row>
    <row r="3330" spans="1:2">
      <c r="A3330" s="112">
        <v>43507</v>
      </c>
      <c r="B3330" s="1">
        <v>55</v>
      </c>
    </row>
    <row r="3331" spans="1:2">
      <c r="A3331" s="112">
        <v>43508</v>
      </c>
      <c r="B3331" s="1">
        <v>48</v>
      </c>
    </row>
    <row r="3332" spans="1:2">
      <c r="A3332" s="112">
        <v>43509</v>
      </c>
      <c r="B3332" s="1">
        <v>45</v>
      </c>
    </row>
    <row r="3333" spans="1:2">
      <c r="A3333" s="112">
        <v>43510</v>
      </c>
      <c r="B3333" s="1">
        <v>48</v>
      </c>
    </row>
    <row r="3334" spans="1:2">
      <c r="A3334" s="112">
        <v>43511</v>
      </c>
      <c r="B3334" s="1">
        <v>57</v>
      </c>
    </row>
    <row r="3335" spans="1:2">
      <c r="A3335" s="112">
        <v>43512</v>
      </c>
      <c r="B3335" s="1">
        <v>71</v>
      </c>
    </row>
    <row r="3336" spans="1:2">
      <c r="A3336" s="112">
        <v>43513</v>
      </c>
      <c r="B3336" s="1">
        <v>86</v>
      </c>
    </row>
    <row r="3337" spans="1:2">
      <c r="A3337" s="112">
        <v>43514</v>
      </c>
      <c r="B3337" s="1">
        <v>99</v>
      </c>
    </row>
    <row r="3338" spans="1:2">
      <c r="A3338" s="112">
        <v>43515</v>
      </c>
      <c r="B3338" s="1">
        <v>108</v>
      </c>
    </row>
    <row r="3339" spans="1:2">
      <c r="A3339" s="112">
        <v>43516</v>
      </c>
      <c r="B3339" s="1">
        <v>112</v>
      </c>
    </row>
    <row r="3340" spans="1:2">
      <c r="A3340" s="112">
        <v>43517</v>
      </c>
      <c r="B3340" s="1">
        <v>109</v>
      </c>
    </row>
    <row r="3341" spans="1:2">
      <c r="A3341" s="112">
        <v>43518</v>
      </c>
      <c r="B3341" s="1">
        <v>100</v>
      </c>
    </row>
    <row r="3342" spans="1:2">
      <c r="A3342" s="112">
        <v>43519</v>
      </c>
      <c r="B3342" s="1">
        <v>87</v>
      </c>
    </row>
    <row r="3343" spans="1:2">
      <c r="A3343" s="112">
        <v>43520</v>
      </c>
      <c r="B3343" s="1">
        <v>71</v>
      </c>
    </row>
    <row r="3344" spans="1:2">
      <c r="A3344" s="112">
        <v>43521</v>
      </c>
      <c r="B3344" s="1">
        <v>56</v>
      </c>
    </row>
    <row r="3345" spans="1:2">
      <c r="A3345" s="112">
        <v>43522</v>
      </c>
      <c r="B3345" s="1">
        <v>43</v>
      </c>
    </row>
    <row r="3346" spans="1:2">
      <c r="A3346" s="112">
        <v>43523</v>
      </c>
      <c r="B3346" s="1">
        <v>37</v>
      </c>
    </row>
    <row r="3347" spans="1:2">
      <c r="A3347" s="112">
        <v>43524</v>
      </c>
      <c r="B3347" s="1">
        <v>39</v>
      </c>
    </row>
    <row r="3348" spans="1:2">
      <c r="A3348" s="112">
        <v>43525</v>
      </c>
      <c r="B3348" s="1">
        <v>47</v>
      </c>
    </row>
    <row r="3349" spans="1:2">
      <c r="A3349" s="112">
        <v>43526</v>
      </c>
      <c r="B3349" s="1">
        <v>56</v>
      </c>
    </row>
    <row r="3350" spans="1:2">
      <c r="A3350" s="112">
        <v>43527</v>
      </c>
      <c r="B3350" s="1">
        <v>65</v>
      </c>
    </row>
    <row r="3351" spans="1:2">
      <c r="A3351" s="112">
        <v>43528</v>
      </c>
      <c r="B3351" s="1">
        <v>74</v>
      </c>
    </row>
    <row r="3352" spans="1:2">
      <c r="A3352" s="112">
        <v>43529</v>
      </c>
      <c r="B3352" s="1">
        <v>80</v>
      </c>
    </row>
    <row r="3353" spans="1:2">
      <c r="A3353" s="112">
        <v>43530</v>
      </c>
      <c r="B3353" s="1">
        <v>85</v>
      </c>
    </row>
    <row r="3354" spans="1:2">
      <c r="A3354" s="112">
        <v>43531</v>
      </c>
      <c r="B3354" s="1">
        <v>87</v>
      </c>
    </row>
    <row r="3355" spans="1:2">
      <c r="A3355" s="112">
        <v>43532</v>
      </c>
      <c r="B3355" s="1">
        <v>86</v>
      </c>
    </row>
    <row r="3356" spans="1:2">
      <c r="A3356" s="112">
        <v>43533</v>
      </c>
      <c r="B3356" s="1">
        <v>83</v>
      </c>
    </row>
    <row r="3357" spans="1:2">
      <c r="A3357" s="112">
        <v>43534</v>
      </c>
      <c r="B3357" s="1">
        <v>78</v>
      </c>
    </row>
    <row r="3358" spans="1:2">
      <c r="A3358" s="112">
        <v>43535</v>
      </c>
      <c r="B3358" s="1">
        <v>69</v>
      </c>
    </row>
    <row r="3359" spans="1:2">
      <c r="A3359" s="112">
        <v>43536</v>
      </c>
      <c r="B3359" s="1">
        <v>60</v>
      </c>
    </row>
    <row r="3360" spans="1:2">
      <c r="A3360" s="112">
        <v>43537</v>
      </c>
      <c r="B3360" s="1">
        <v>50</v>
      </c>
    </row>
    <row r="3361" spans="1:2">
      <c r="A3361" s="112">
        <v>43538</v>
      </c>
      <c r="B3361" s="1">
        <v>44</v>
      </c>
    </row>
    <row r="3362" spans="1:2">
      <c r="A3362" s="112">
        <v>43539</v>
      </c>
      <c r="B3362" s="1">
        <v>45</v>
      </c>
    </row>
    <row r="3363" spans="1:2">
      <c r="A3363" s="112">
        <v>43540</v>
      </c>
      <c r="B3363" s="1">
        <v>55</v>
      </c>
    </row>
    <row r="3364" spans="1:2">
      <c r="A3364" s="112">
        <v>43541</v>
      </c>
      <c r="B3364" s="1">
        <v>71</v>
      </c>
    </row>
    <row r="3365" spans="1:2">
      <c r="A3365" s="112">
        <v>43542</v>
      </c>
      <c r="B3365" s="1">
        <v>87</v>
      </c>
    </row>
    <row r="3366" spans="1:2">
      <c r="A3366" s="112">
        <v>43543</v>
      </c>
      <c r="B3366" s="1">
        <v>101</v>
      </c>
    </row>
    <row r="3367" spans="1:2">
      <c r="A3367" s="112">
        <v>43544</v>
      </c>
      <c r="B3367" s="1">
        <v>111</v>
      </c>
    </row>
    <row r="3368" spans="1:2">
      <c r="A3368" s="112">
        <v>43545</v>
      </c>
      <c r="B3368" s="1">
        <v>113</v>
      </c>
    </row>
    <row r="3369" spans="1:2">
      <c r="A3369" s="112">
        <v>43546</v>
      </c>
      <c r="B3369" s="1">
        <v>110</v>
      </c>
    </row>
    <row r="3370" spans="1:2">
      <c r="A3370" s="112">
        <v>43547</v>
      </c>
      <c r="B3370" s="1">
        <v>100</v>
      </c>
    </row>
    <row r="3371" spans="1:2">
      <c r="A3371" s="112">
        <v>43548</v>
      </c>
      <c r="B3371" s="1">
        <v>86</v>
      </c>
    </row>
    <row r="3372" spans="1:2">
      <c r="A3372" s="112">
        <v>43549</v>
      </c>
      <c r="B3372" s="1">
        <v>70</v>
      </c>
    </row>
    <row r="3373" spans="1:2">
      <c r="A3373" s="112">
        <v>43550</v>
      </c>
      <c r="B3373" s="1">
        <v>54</v>
      </c>
    </row>
    <row r="3374" spans="1:2">
      <c r="A3374" s="112">
        <v>43551</v>
      </c>
      <c r="B3374" s="1">
        <v>41</v>
      </c>
    </row>
    <row r="3375" spans="1:2">
      <c r="A3375" s="112">
        <v>43552</v>
      </c>
      <c r="B3375" s="1">
        <v>33</v>
      </c>
    </row>
    <row r="3376" spans="1:2">
      <c r="A3376" s="112">
        <v>43553</v>
      </c>
      <c r="B3376" s="1">
        <v>35</v>
      </c>
    </row>
    <row r="3377" spans="1:2">
      <c r="A3377" s="112">
        <v>43554</v>
      </c>
      <c r="B3377" s="1">
        <v>43</v>
      </c>
    </row>
    <row r="3378" spans="1:2">
      <c r="A3378" s="112">
        <v>43555</v>
      </c>
      <c r="B3378" s="1">
        <v>53</v>
      </c>
    </row>
    <row r="3379" spans="1:2">
      <c r="A3379" s="112">
        <v>43556</v>
      </c>
      <c r="B3379" s="1">
        <v>63</v>
      </c>
    </row>
    <row r="3380" spans="1:2">
      <c r="A3380" s="112">
        <v>43557</v>
      </c>
      <c r="B3380" s="1">
        <v>73</v>
      </c>
    </row>
    <row r="3381" spans="1:2">
      <c r="A3381" s="112">
        <v>43558</v>
      </c>
      <c r="B3381" s="1">
        <v>81</v>
      </c>
    </row>
    <row r="3382" spans="1:2">
      <c r="A3382" s="112">
        <v>43559</v>
      </c>
      <c r="B3382" s="1">
        <v>87</v>
      </c>
    </row>
    <row r="3383" spans="1:2">
      <c r="A3383" s="112">
        <v>43560</v>
      </c>
      <c r="B3383" s="1">
        <v>90</v>
      </c>
    </row>
    <row r="3384" spans="1:2">
      <c r="A3384" s="112">
        <v>43561</v>
      </c>
      <c r="B3384" s="1">
        <v>90</v>
      </c>
    </row>
    <row r="3385" spans="1:2">
      <c r="A3385" s="112">
        <v>43562</v>
      </c>
      <c r="B3385" s="1">
        <v>87</v>
      </c>
    </row>
    <row r="3386" spans="1:2">
      <c r="A3386" s="112">
        <v>43563</v>
      </c>
      <c r="B3386" s="1">
        <v>81</v>
      </c>
    </row>
    <row r="3387" spans="1:2">
      <c r="A3387" s="112">
        <v>43564</v>
      </c>
      <c r="B3387" s="1">
        <v>73</v>
      </c>
    </row>
    <row r="3388" spans="1:2">
      <c r="A3388" s="112">
        <v>43565</v>
      </c>
      <c r="B3388" s="1">
        <v>62</v>
      </c>
    </row>
    <row r="3389" spans="1:2">
      <c r="A3389" s="112">
        <v>43566</v>
      </c>
      <c r="B3389" s="1">
        <v>52</v>
      </c>
    </row>
    <row r="3390" spans="1:2">
      <c r="A3390" s="112">
        <v>43567</v>
      </c>
      <c r="B3390" s="1">
        <v>45</v>
      </c>
    </row>
    <row r="3391" spans="1:2">
      <c r="A3391" s="112">
        <v>43568</v>
      </c>
      <c r="B3391" s="1">
        <v>48</v>
      </c>
    </row>
    <row r="3392" spans="1:2">
      <c r="A3392" s="112">
        <v>43569</v>
      </c>
      <c r="B3392" s="1">
        <v>58</v>
      </c>
    </row>
    <row r="3393" spans="1:2">
      <c r="A3393" s="112">
        <v>43570</v>
      </c>
      <c r="B3393" s="1">
        <v>73</v>
      </c>
    </row>
    <row r="3394" spans="1:2">
      <c r="A3394" s="112">
        <v>43571</v>
      </c>
      <c r="B3394" s="1">
        <v>88</v>
      </c>
    </row>
    <row r="3395" spans="1:2">
      <c r="A3395" s="112">
        <v>43572</v>
      </c>
      <c r="B3395" s="1">
        <v>100</v>
      </c>
    </row>
    <row r="3396" spans="1:2">
      <c r="A3396" s="112">
        <v>43573</v>
      </c>
      <c r="B3396" s="1">
        <v>106</v>
      </c>
    </row>
    <row r="3397" spans="1:2">
      <c r="A3397" s="112">
        <v>43574</v>
      </c>
      <c r="B3397" s="1">
        <v>107</v>
      </c>
    </row>
    <row r="3398" spans="1:2">
      <c r="A3398" s="112">
        <v>43575</v>
      </c>
      <c r="B3398" s="1">
        <v>103</v>
      </c>
    </row>
    <row r="3399" spans="1:2">
      <c r="A3399" s="112">
        <v>43576</v>
      </c>
      <c r="B3399" s="1">
        <v>93</v>
      </c>
    </row>
    <row r="3400" spans="1:2">
      <c r="A3400" s="112">
        <v>43577</v>
      </c>
      <c r="B3400" s="1">
        <v>81</v>
      </c>
    </row>
    <row r="3401" spans="1:2">
      <c r="A3401" s="112">
        <v>43578</v>
      </c>
      <c r="B3401" s="1">
        <v>67</v>
      </c>
    </row>
    <row r="3402" spans="1:2">
      <c r="A3402" s="112">
        <v>43579</v>
      </c>
      <c r="B3402" s="1">
        <v>53</v>
      </c>
    </row>
    <row r="3403" spans="1:2">
      <c r="A3403" s="112">
        <v>43580</v>
      </c>
      <c r="B3403" s="1">
        <v>42</v>
      </c>
    </row>
    <row r="3404" spans="1:2">
      <c r="A3404" s="112">
        <v>43581</v>
      </c>
      <c r="B3404" s="1">
        <v>35</v>
      </c>
    </row>
    <row r="3405" spans="1:2">
      <c r="A3405" s="112">
        <v>43582</v>
      </c>
      <c r="B3405" s="1">
        <v>35</v>
      </c>
    </row>
    <row r="3406" spans="1:2">
      <c r="A3406" s="112">
        <v>43583</v>
      </c>
      <c r="B3406" s="1">
        <v>41</v>
      </c>
    </row>
    <row r="3407" spans="1:2">
      <c r="A3407" s="112">
        <v>43584</v>
      </c>
      <c r="B3407" s="1">
        <v>50</v>
      </c>
    </row>
    <row r="3408" spans="1:2">
      <c r="A3408" s="112">
        <v>43585</v>
      </c>
      <c r="B3408" s="1">
        <v>61</v>
      </c>
    </row>
    <row r="3409" spans="1:2">
      <c r="A3409" s="112">
        <v>43586</v>
      </c>
      <c r="B3409" s="1">
        <v>70</v>
      </c>
    </row>
    <row r="3410" spans="1:2">
      <c r="A3410" s="112">
        <v>43587</v>
      </c>
      <c r="B3410" s="1">
        <v>79</v>
      </c>
    </row>
    <row r="3411" spans="1:2">
      <c r="A3411" s="112">
        <v>43588</v>
      </c>
      <c r="B3411" s="1">
        <v>86</v>
      </c>
    </row>
    <row r="3412" spans="1:2">
      <c r="A3412" s="112">
        <v>43589</v>
      </c>
      <c r="B3412" s="1">
        <v>90</v>
      </c>
    </row>
    <row r="3413" spans="1:2">
      <c r="A3413" s="112">
        <v>43590</v>
      </c>
      <c r="B3413" s="1">
        <v>91</v>
      </c>
    </row>
    <row r="3414" spans="1:2">
      <c r="A3414" s="112">
        <v>43591</v>
      </c>
      <c r="B3414" s="1">
        <v>88</v>
      </c>
    </row>
    <row r="3415" spans="1:2">
      <c r="A3415" s="112">
        <v>43592</v>
      </c>
      <c r="B3415" s="1">
        <v>83</v>
      </c>
    </row>
    <row r="3416" spans="1:2">
      <c r="A3416" s="112">
        <v>43593</v>
      </c>
      <c r="B3416" s="1">
        <v>74</v>
      </c>
    </row>
    <row r="3417" spans="1:2">
      <c r="A3417" s="112">
        <v>43594</v>
      </c>
      <c r="B3417" s="1">
        <v>65</v>
      </c>
    </row>
    <row r="3418" spans="1:2">
      <c r="A3418" s="112">
        <v>43595</v>
      </c>
      <c r="B3418" s="1">
        <v>56</v>
      </c>
    </row>
    <row r="3419" spans="1:2">
      <c r="A3419" s="112">
        <v>43596</v>
      </c>
      <c r="B3419" s="1">
        <v>52</v>
      </c>
    </row>
    <row r="3420" spans="1:2">
      <c r="A3420" s="112">
        <v>43597</v>
      </c>
      <c r="B3420" s="1">
        <v>54</v>
      </c>
    </row>
    <row r="3421" spans="1:2">
      <c r="A3421" s="112">
        <v>43598</v>
      </c>
      <c r="B3421" s="1">
        <v>63</v>
      </c>
    </row>
    <row r="3422" spans="1:2">
      <c r="A3422" s="112">
        <v>43599</v>
      </c>
      <c r="B3422" s="1">
        <v>74</v>
      </c>
    </row>
    <row r="3423" spans="1:2">
      <c r="A3423" s="112">
        <v>43600</v>
      </c>
      <c r="B3423" s="1">
        <v>84</v>
      </c>
    </row>
    <row r="3424" spans="1:2">
      <c r="A3424" s="112">
        <v>43601</v>
      </c>
      <c r="B3424" s="1">
        <v>92</v>
      </c>
    </row>
    <row r="3425" spans="1:2">
      <c r="A3425" s="112">
        <v>43602</v>
      </c>
      <c r="B3425" s="1">
        <v>96</v>
      </c>
    </row>
    <row r="3426" spans="1:2">
      <c r="A3426" s="112">
        <v>43603</v>
      </c>
      <c r="B3426" s="1">
        <v>96</v>
      </c>
    </row>
    <row r="3427" spans="1:2">
      <c r="A3427" s="112">
        <v>43604</v>
      </c>
      <c r="B3427" s="1">
        <v>92</v>
      </c>
    </row>
    <row r="3428" spans="1:2">
      <c r="A3428" s="112">
        <v>43605</v>
      </c>
      <c r="B3428" s="1">
        <v>85</v>
      </c>
    </row>
    <row r="3429" spans="1:2">
      <c r="A3429" s="112">
        <v>43606</v>
      </c>
      <c r="B3429" s="1">
        <v>76</v>
      </c>
    </row>
    <row r="3430" spans="1:2">
      <c r="A3430" s="112">
        <v>43607</v>
      </c>
      <c r="B3430" s="1">
        <v>66</v>
      </c>
    </row>
    <row r="3431" spans="1:2">
      <c r="A3431" s="112">
        <v>43608</v>
      </c>
      <c r="B3431" s="1">
        <v>55</v>
      </c>
    </row>
    <row r="3432" spans="1:2">
      <c r="A3432" s="112">
        <v>43609</v>
      </c>
      <c r="B3432" s="1">
        <v>46</v>
      </c>
    </row>
    <row r="3433" spans="1:2">
      <c r="A3433" s="112">
        <v>43610</v>
      </c>
      <c r="B3433" s="1">
        <v>40</v>
      </c>
    </row>
    <row r="3434" spans="1:2">
      <c r="A3434" s="112">
        <v>43611</v>
      </c>
      <c r="B3434" s="1">
        <v>38</v>
      </c>
    </row>
    <row r="3435" spans="1:2">
      <c r="A3435" s="112">
        <v>43612</v>
      </c>
      <c r="B3435" s="1">
        <v>41</v>
      </c>
    </row>
    <row r="3436" spans="1:2">
      <c r="A3436" s="112">
        <v>43613</v>
      </c>
      <c r="B3436" s="1">
        <v>48</v>
      </c>
    </row>
    <row r="3437" spans="1:2">
      <c r="A3437" s="112">
        <v>43614</v>
      </c>
      <c r="B3437" s="1">
        <v>57</v>
      </c>
    </row>
    <row r="3438" spans="1:2">
      <c r="A3438" s="112">
        <v>43615</v>
      </c>
      <c r="B3438" s="1">
        <v>66</v>
      </c>
    </row>
    <row r="3439" spans="1:2">
      <c r="A3439" s="112">
        <v>43616</v>
      </c>
      <c r="B3439" s="1">
        <v>74</v>
      </c>
    </row>
    <row r="3440" spans="1:2">
      <c r="A3440" s="112">
        <v>43617</v>
      </c>
      <c r="B3440" s="1">
        <v>82</v>
      </c>
    </row>
    <row r="3441" spans="1:2">
      <c r="A3441" s="112">
        <v>43618</v>
      </c>
      <c r="B3441" s="1">
        <v>87</v>
      </c>
    </row>
    <row r="3442" spans="1:2">
      <c r="A3442" s="112">
        <v>43619</v>
      </c>
      <c r="B3442" s="1">
        <v>89</v>
      </c>
    </row>
    <row r="3443" spans="1:2">
      <c r="A3443" s="112">
        <v>43620</v>
      </c>
      <c r="B3443" s="1">
        <v>89</v>
      </c>
    </row>
    <row r="3444" spans="1:2">
      <c r="A3444" s="112">
        <v>43621</v>
      </c>
      <c r="B3444" s="1">
        <v>85</v>
      </c>
    </row>
    <row r="3445" spans="1:2">
      <c r="A3445" s="112">
        <v>43622</v>
      </c>
      <c r="B3445" s="1">
        <v>79</v>
      </c>
    </row>
    <row r="3446" spans="1:2">
      <c r="A3446" s="112">
        <v>43623</v>
      </c>
      <c r="B3446" s="1">
        <v>72</v>
      </c>
    </row>
    <row r="3447" spans="1:2">
      <c r="A3447" s="112">
        <v>43624</v>
      </c>
      <c r="B3447" s="1">
        <v>65</v>
      </c>
    </row>
    <row r="3448" spans="1:2">
      <c r="A3448" s="112">
        <v>43625</v>
      </c>
      <c r="B3448" s="1">
        <v>61</v>
      </c>
    </row>
    <row r="3449" spans="1:2">
      <c r="A3449" s="112">
        <v>43626</v>
      </c>
      <c r="B3449" s="1">
        <v>60</v>
      </c>
    </row>
    <row r="3450" spans="1:2">
      <c r="A3450" s="112">
        <v>43627</v>
      </c>
      <c r="B3450" s="1">
        <v>64</v>
      </c>
    </row>
    <row r="3451" spans="1:2">
      <c r="A3451" s="112">
        <v>43628</v>
      </c>
      <c r="B3451" s="1">
        <v>69</v>
      </c>
    </row>
    <row r="3452" spans="1:2">
      <c r="A3452" s="112">
        <v>43629</v>
      </c>
      <c r="B3452" s="1">
        <v>75</v>
      </c>
    </row>
    <row r="3453" spans="1:2">
      <c r="A3453" s="112">
        <v>43630</v>
      </c>
      <c r="B3453" s="1">
        <v>79</v>
      </c>
    </row>
    <row r="3454" spans="1:2">
      <c r="A3454" s="112">
        <v>43631</v>
      </c>
      <c r="B3454" s="1">
        <v>82</v>
      </c>
    </row>
    <row r="3455" spans="1:2">
      <c r="A3455" s="112">
        <v>43632</v>
      </c>
      <c r="B3455" s="1">
        <v>83</v>
      </c>
    </row>
    <row r="3456" spans="1:2">
      <c r="A3456" s="112">
        <v>43633</v>
      </c>
      <c r="B3456" s="1">
        <v>82</v>
      </c>
    </row>
    <row r="3457" spans="1:2">
      <c r="A3457" s="112">
        <v>43634</v>
      </c>
      <c r="B3457" s="1">
        <v>79</v>
      </c>
    </row>
    <row r="3458" spans="1:2">
      <c r="A3458" s="112">
        <v>43635</v>
      </c>
      <c r="B3458" s="1">
        <v>74</v>
      </c>
    </row>
    <row r="3459" spans="1:2">
      <c r="A3459" s="112">
        <v>43636</v>
      </c>
      <c r="B3459" s="1">
        <v>68</v>
      </c>
    </row>
    <row r="3460" spans="1:2">
      <c r="A3460" s="112">
        <v>43637</v>
      </c>
      <c r="B3460" s="1">
        <v>61</v>
      </c>
    </row>
    <row r="3461" spans="1:2">
      <c r="A3461" s="112">
        <v>43638</v>
      </c>
      <c r="B3461" s="1">
        <v>54</v>
      </c>
    </row>
    <row r="3462" spans="1:2">
      <c r="A3462" s="112">
        <v>43639</v>
      </c>
      <c r="B3462" s="1">
        <v>48</v>
      </c>
    </row>
    <row r="3463" spans="1:2">
      <c r="A3463" s="112">
        <v>43640</v>
      </c>
      <c r="B3463" s="1">
        <v>45</v>
      </c>
    </row>
    <row r="3464" spans="1:2">
      <c r="A3464" s="112">
        <v>43641</v>
      </c>
      <c r="B3464" s="1">
        <v>44</v>
      </c>
    </row>
    <row r="3465" spans="1:2">
      <c r="A3465" s="112">
        <v>43642</v>
      </c>
      <c r="B3465" s="1">
        <v>47</v>
      </c>
    </row>
    <row r="3466" spans="1:2">
      <c r="A3466" s="112">
        <v>43643</v>
      </c>
      <c r="B3466" s="1">
        <v>52</v>
      </c>
    </row>
    <row r="3467" spans="1:2">
      <c r="A3467" s="112">
        <v>43644</v>
      </c>
      <c r="B3467" s="1">
        <v>60</v>
      </c>
    </row>
    <row r="3468" spans="1:2">
      <c r="A3468" s="112">
        <v>43645</v>
      </c>
      <c r="B3468" s="1">
        <v>68</v>
      </c>
    </row>
    <row r="3469" spans="1:2">
      <c r="A3469" s="112">
        <v>43646</v>
      </c>
      <c r="B3469" s="1">
        <v>76</v>
      </c>
    </row>
    <row r="3470" spans="1:2">
      <c r="A3470" s="112">
        <v>43647</v>
      </c>
      <c r="B3470" s="1">
        <v>84</v>
      </c>
    </row>
    <row r="3471" spans="1:2">
      <c r="A3471" s="112">
        <v>43648</v>
      </c>
      <c r="B3471" s="1">
        <v>89</v>
      </c>
    </row>
    <row r="3472" spans="1:2">
      <c r="A3472" s="112">
        <v>43649</v>
      </c>
      <c r="B3472" s="1">
        <v>92</v>
      </c>
    </row>
    <row r="3473" spans="1:2">
      <c r="A3473" s="112">
        <v>43650</v>
      </c>
      <c r="B3473" s="1">
        <v>92</v>
      </c>
    </row>
    <row r="3474" spans="1:2">
      <c r="A3474" s="112">
        <v>43651</v>
      </c>
      <c r="B3474" s="1">
        <v>88</v>
      </c>
    </row>
    <row r="3475" spans="1:2">
      <c r="A3475" s="112">
        <v>43652</v>
      </c>
      <c r="B3475" s="1">
        <v>82</v>
      </c>
    </row>
    <row r="3476" spans="1:2">
      <c r="A3476" s="112">
        <v>43653</v>
      </c>
      <c r="B3476" s="1">
        <v>75</v>
      </c>
    </row>
    <row r="3477" spans="1:2">
      <c r="A3477" s="112">
        <v>43654</v>
      </c>
      <c r="B3477" s="1">
        <v>68</v>
      </c>
    </row>
    <row r="3478" spans="1:2">
      <c r="A3478" s="112">
        <v>43655</v>
      </c>
      <c r="B3478" s="1">
        <v>62</v>
      </c>
    </row>
    <row r="3479" spans="1:2">
      <c r="A3479" s="112">
        <v>43656</v>
      </c>
      <c r="B3479" s="1">
        <v>59</v>
      </c>
    </row>
    <row r="3480" spans="1:2">
      <c r="A3480" s="112">
        <v>43657</v>
      </c>
      <c r="B3480" s="1">
        <v>60</v>
      </c>
    </row>
    <row r="3481" spans="1:2">
      <c r="A3481" s="112">
        <v>43658</v>
      </c>
      <c r="B3481" s="1">
        <v>62</v>
      </c>
    </row>
    <row r="3482" spans="1:2">
      <c r="A3482" s="112">
        <v>43659</v>
      </c>
      <c r="B3482" s="1">
        <v>67</v>
      </c>
    </row>
    <row r="3483" spans="1:2">
      <c r="A3483" s="112">
        <v>43660</v>
      </c>
      <c r="B3483" s="1">
        <v>71</v>
      </c>
    </row>
    <row r="3484" spans="1:2">
      <c r="A3484" s="112">
        <v>43661</v>
      </c>
      <c r="B3484" s="1">
        <v>75</v>
      </c>
    </row>
    <row r="3485" spans="1:2">
      <c r="A3485" s="112">
        <v>43662</v>
      </c>
      <c r="B3485" s="1">
        <v>77</v>
      </c>
    </row>
    <row r="3486" spans="1:2">
      <c r="A3486" s="112">
        <v>43663</v>
      </c>
      <c r="B3486" s="1">
        <v>77</v>
      </c>
    </row>
    <row r="3487" spans="1:2">
      <c r="A3487" s="112">
        <v>43664</v>
      </c>
      <c r="B3487" s="1">
        <v>76</v>
      </c>
    </row>
    <row r="3488" spans="1:2">
      <c r="A3488" s="112">
        <v>43665</v>
      </c>
      <c r="B3488" s="1">
        <v>73</v>
      </c>
    </row>
    <row r="3489" spans="1:2">
      <c r="A3489" s="112">
        <v>43666</v>
      </c>
      <c r="B3489" s="1">
        <v>68</v>
      </c>
    </row>
    <row r="3490" spans="1:2">
      <c r="A3490" s="112">
        <v>43667</v>
      </c>
      <c r="B3490" s="1">
        <v>63</v>
      </c>
    </row>
    <row r="3491" spans="1:2">
      <c r="A3491" s="112">
        <v>43668</v>
      </c>
      <c r="B3491" s="1">
        <v>57</v>
      </c>
    </row>
    <row r="3492" spans="1:2">
      <c r="A3492" s="112">
        <v>43669</v>
      </c>
      <c r="B3492" s="1">
        <v>52</v>
      </c>
    </row>
    <row r="3493" spans="1:2">
      <c r="A3493" s="112">
        <v>43670</v>
      </c>
      <c r="B3493" s="1">
        <v>47</v>
      </c>
    </row>
    <row r="3494" spans="1:2">
      <c r="A3494" s="112">
        <v>43671</v>
      </c>
      <c r="B3494" s="1">
        <v>45</v>
      </c>
    </row>
    <row r="3495" spans="1:2">
      <c r="A3495" s="112">
        <v>43672</v>
      </c>
      <c r="B3495" s="1">
        <v>47</v>
      </c>
    </row>
    <row r="3496" spans="1:2">
      <c r="A3496" s="112">
        <v>43673</v>
      </c>
      <c r="B3496" s="1">
        <v>53</v>
      </c>
    </row>
    <row r="3497" spans="1:2">
      <c r="A3497" s="112">
        <v>43674</v>
      </c>
      <c r="B3497" s="1">
        <v>62</v>
      </c>
    </row>
    <row r="3498" spans="1:2">
      <c r="A3498" s="112">
        <v>43675</v>
      </c>
      <c r="B3498" s="1">
        <v>73</v>
      </c>
    </row>
    <row r="3499" spans="1:2">
      <c r="A3499" s="112">
        <v>43676</v>
      </c>
      <c r="B3499" s="1">
        <v>84</v>
      </c>
    </row>
    <row r="3500" spans="1:2">
      <c r="A3500" s="112">
        <v>43677</v>
      </c>
      <c r="B3500" s="1">
        <v>93</v>
      </c>
    </row>
    <row r="3501" spans="1:2">
      <c r="A3501" s="112">
        <v>43678</v>
      </c>
      <c r="B3501" s="1">
        <v>99</v>
      </c>
    </row>
    <row r="3502" spans="1:2">
      <c r="A3502" s="112">
        <v>43679</v>
      </c>
      <c r="B3502" s="1">
        <v>102</v>
      </c>
    </row>
    <row r="3503" spans="1:2">
      <c r="A3503" s="112">
        <v>43680</v>
      </c>
      <c r="B3503" s="1">
        <v>99</v>
      </c>
    </row>
    <row r="3504" spans="1:2">
      <c r="A3504" s="112">
        <v>43681</v>
      </c>
      <c r="B3504" s="1">
        <v>93</v>
      </c>
    </row>
    <row r="3505" spans="1:2">
      <c r="A3505" s="112">
        <v>43682</v>
      </c>
      <c r="B3505" s="1">
        <v>82</v>
      </c>
    </row>
    <row r="3506" spans="1:2">
      <c r="A3506" s="112">
        <v>43683</v>
      </c>
      <c r="B3506" s="1">
        <v>70</v>
      </c>
    </row>
    <row r="3507" spans="1:2">
      <c r="A3507" s="112">
        <v>43684</v>
      </c>
      <c r="B3507" s="1">
        <v>59</v>
      </c>
    </row>
    <row r="3508" spans="1:2">
      <c r="A3508" s="112">
        <v>43685</v>
      </c>
      <c r="B3508" s="1">
        <v>51</v>
      </c>
    </row>
    <row r="3509" spans="1:2">
      <c r="A3509" s="112">
        <v>43686</v>
      </c>
      <c r="B3509" s="1">
        <v>48</v>
      </c>
    </row>
    <row r="3510" spans="1:2">
      <c r="A3510" s="112">
        <v>43687</v>
      </c>
      <c r="B3510" s="1">
        <v>51</v>
      </c>
    </row>
    <row r="3511" spans="1:2">
      <c r="A3511" s="112">
        <v>43688</v>
      </c>
      <c r="B3511" s="1">
        <v>57</v>
      </c>
    </row>
    <row r="3512" spans="1:2">
      <c r="A3512" s="112">
        <v>43689</v>
      </c>
      <c r="B3512" s="1">
        <v>64</v>
      </c>
    </row>
    <row r="3513" spans="1:2">
      <c r="A3513" s="112">
        <v>43690</v>
      </c>
      <c r="B3513" s="1">
        <v>71</v>
      </c>
    </row>
    <row r="3514" spans="1:2">
      <c r="A3514" s="112">
        <v>43691</v>
      </c>
      <c r="B3514" s="1">
        <v>76</v>
      </c>
    </row>
    <row r="3515" spans="1:2">
      <c r="A3515" s="112">
        <v>43692</v>
      </c>
      <c r="B3515" s="1">
        <v>79</v>
      </c>
    </row>
    <row r="3516" spans="1:2">
      <c r="A3516" s="112">
        <v>43693</v>
      </c>
      <c r="B3516" s="1">
        <v>80</v>
      </c>
    </row>
    <row r="3517" spans="1:2">
      <c r="A3517" s="112">
        <v>43694</v>
      </c>
      <c r="B3517" s="1">
        <v>79</v>
      </c>
    </row>
    <row r="3518" spans="1:2">
      <c r="A3518" s="112">
        <v>43695</v>
      </c>
      <c r="B3518" s="1">
        <v>77</v>
      </c>
    </row>
    <row r="3519" spans="1:2">
      <c r="A3519" s="112">
        <v>43696</v>
      </c>
      <c r="B3519" s="1">
        <v>72</v>
      </c>
    </row>
    <row r="3520" spans="1:2">
      <c r="A3520" s="112">
        <v>43697</v>
      </c>
      <c r="B3520" s="1">
        <v>66</v>
      </c>
    </row>
    <row r="3521" spans="1:2">
      <c r="A3521" s="112">
        <v>43698</v>
      </c>
      <c r="B3521" s="1">
        <v>58</v>
      </c>
    </row>
    <row r="3522" spans="1:2">
      <c r="A3522" s="112">
        <v>43699</v>
      </c>
      <c r="B3522" s="1">
        <v>51</v>
      </c>
    </row>
    <row r="3523" spans="1:2">
      <c r="A3523" s="112">
        <v>43700</v>
      </c>
      <c r="B3523" s="1">
        <v>45</v>
      </c>
    </row>
    <row r="3524" spans="1:2">
      <c r="A3524" s="112">
        <v>43701</v>
      </c>
      <c r="B3524" s="1">
        <v>43</v>
      </c>
    </row>
    <row r="3525" spans="1:2">
      <c r="A3525" s="112">
        <v>43702</v>
      </c>
      <c r="B3525" s="1">
        <v>47</v>
      </c>
    </row>
    <row r="3526" spans="1:2">
      <c r="A3526" s="112">
        <v>43703</v>
      </c>
      <c r="B3526" s="1">
        <v>58</v>
      </c>
    </row>
    <row r="3527" spans="1:2">
      <c r="A3527" s="112">
        <v>43704</v>
      </c>
      <c r="B3527" s="1">
        <v>72</v>
      </c>
    </row>
    <row r="3528" spans="1:2">
      <c r="A3528" s="112">
        <v>43705</v>
      </c>
      <c r="B3528" s="1">
        <v>87</v>
      </c>
    </row>
    <row r="3529" spans="1:2">
      <c r="A3529" s="112">
        <v>43706</v>
      </c>
      <c r="B3529" s="1">
        <v>100</v>
      </c>
    </row>
    <row r="3530" spans="1:2">
      <c r="A3530" s="112">
        <v>43707</v>
      </c>
      <c r="B3530" s="1">
        <v>108</v>
      </c>
    </row>
    <row r="3531" spans="1:2">
      <c r="A3531" s="112">
        <v>43708</v>
      </c>
      <c r="B3531" s="1">
        <v>111</v>
      </c>
    </row>
    <row r="3532" spans="1:2">
      <c r="A3532" s="112">
        <v>43709</v>
      </c>
      <c r="B3532" s="1">
        <v>108</v>
      </c>
    </row>
    <row r="3533" spans="1:2">
      <c r="A3533" s="112">
        <v>43710</v>
      </c>
      <c r="B3533" s="1">
        <v>98</v>
      </c>
    </row>
    <row r="3534" spans="1:2">
      <c r="A3534" s="112">
        <v>43711</v>
      </c>
      <c r="B3534" s="1">
        <v>84</v>
      </c>
    </row>
    <row r="3535" spans="1:2">
      <c r="A3535" s="112">
        <v>43712</v>
      </c>
      <c r="B3535" s="1">
        <v>68</v>
      </c>
    </row>
    <row r="3536" spans="1:2">
      <c r="A3536" s="112">
        <v>43713</v>
      </c>
      <c r="B3536" s="1">
        <v>53</v>
      </c>
    </row>
    <row r="3537" spans="1:2">
      <c r="A3537" s="112">
        <v>43714</v>
      </c>
      <c r="B3537" s="1">
        <v>42</v>
      </c>
    </row>
    <row r="3538" spans="1:2">
      <c r="A3538" s="112">
        <v>43715</v>
      </c>
      <c r="B3538" s="1">
        <v>39</v>
      </c>
    </row>
    <row r="3539" spans="1:2">
      <c r="A3539" s="112">
        <v>43716</v>
      </c>
      <c r="B3539" s="1">
        <v>44</v>
      </c>
    </row>
    <row r="3540" spans="1:2">
      <c r="A3540" s="112">
        <v>43717</v>
      </c>
      <c r="B3540" s="1">
        <v>52</v>
      </c>
    </row>
    <row r="3541" spans="1:2">
      <c r="A3541" s="112">
        <v>43718</v>
      </c>
      <c r="B3541" s="1">
        <v>62</v>
      </c>
    </row>
    <row r="3542" spans="1:2">
      <c r="A3542" s="112">
        <v>43719</v>
      </c>
      <c r="B3542" s="1">
        <v>70</v>
      </c>
    </row>
    <row r="3543" spans="1:2">
      <c r="A3543" s="112">
        <v>43720</v>
      </c>
      <c r="B3543" s="1">
        <v>77</v>
      </c>
    </row>
    <row r="3544" spans="1:2">
      <c r="A3544" s="112">
        <v>43721</v>
      </c>
      <c r="B3544" s="1">
        <v>82</v>
      </c>
    </row>
    <row r="3545" spans="1:2">
      <c r="A3545" s="112">
        <v>43722</v>
      </c>
      <c r="B3545" s="1">
        <v>85</v>
      </c>
    </row>
    <row r="3546" spans="1:2">
      <c r="A3546" s="112">
        <v>43723</v>
      </c>
      <c r="B3546" s="1">
        <v>85</v>
      </c>
    </row>
    <row r="3547" spans="1:2">
      <c r="A3547" s="112">
        <v>43724</v>
      </c>
      <c r="B3547" s="1">
        <v>83</v>
      </c>
    </row>
    <row r="3548" spans="1:2">
      <c r="A3548" s="112">
        <v>43725</v>
      </c>
      <c r="B3548" s="1">
        <v>78</v>
      </c>
    </row>
    <row r="3549" spans="1:2">
      <c r="A3549" s="112">
        <v>43726</v>
      </c>
      <c r="B3549" s="1">
        <v>71</v>
      </c>
    </row>
    <row r="3550" spans="1:2">
      <c r="A3550" s="112">
        <v>43727</v>
      </c>
      <c r="B3550" s="1">
        <v>62</v>
      </c>
    </row>
    <row r="3551" spans="1:2">
      <c r="A3551" s="112">
        <v>43728</v>
      </c>
      <c r="B3551" s="1">
        <v>53</v>
      </c>
    </row>
    <row r="3552" spans="1:2">
      <c r="A3552" s="112">
        <v>43729</v>
      </c>
      <c r="B3552" s="1">
        <v>44</v>
      </c>
    </row>
    <row r="3553" spans="1:2">
      <c r="A3553" s="112">
        <v>43730</v>
      </c>
      <c r="B3553" s="1">
        <v>40</v>
      </c>
    </row>
    <row r="3554" spans="1:2">
      <c r="A3554" s="112">
        <v>43731</v>
      </c>
      <c r="B3554" s="1">
        <v>45</v>
      </c>
    </row>
    <row r="3555" spans="1:2">
      <c r="A3555" s="112">
        <v>43732</v>
      </c>
      <c r="B3555" s="1">
        <v>59</v>
      </c>
    </row>
    <row r="3556" spans="1:2">
      <c r="A3556" s="112">
        <v>43733</v>
      </c>
      <c r="B3556" s="1">
        <v>75</v>
      </c>
    </row>
    <row r="3557" spans="1:2">
      <c r="A3557" s="112">
        <v>43734</v>
      </c>
      <c r="B3557" s="1">
        <v>92</v>
      </c>
    </row>
    <row r="3558" spans="1:2">
      <c r="A3558" s="112">
        <v>43735</v>
      </c>
      <c r="B3558" s="1">
        <v>105</v>
      </c>
    </row>
    <row r="3559" spans="1:2">
      <c r="A3559" s="112">
        <v>43736</v>
      </c>
      <c r="B3559" s="1">
        <v>114</v>
      </c>
    </row>
    <row r="3560" spans="1:2">
      <c r="A3560" s="112">
        <v>43737</v>
      </c>
      <c r="B3560" s="1">
        <v>115</v>
      </c>
    </row>
    <row r="3561" spans="1:2">
      <c r="A3561" s="112">
        <v>43738</v>
      </c>
      <c r="B3561" s="1">
        <v>109</v>
      </c>
    </row>
    <row r="3562" spans="1:2">
      <c r="A3562" s="112">
        <v>43739</v>
      </c>
      <c r="B3562" s="1">
        <v>97</v>
      </c>
    </row>
    <row r="3563" spans="1:2">
      <c r="A3563" s="112">
        <v>43740</v>
      </c>
      <c r="B3563" s="1">
        <v>81</v>
      </c>
    </row>
    <row r="3564" spans="1:2">
      <c r="A3564" s="112">
        <v>43741</v>
      </c>
      <c r="B3564" s="1">
        <v>64</v>
      </c>
    </row>
    <row r="3565" spans="1:2">
      <c r="A3565" s="112">
        <v>43742</v>
      </c>
      <c r="B3565" s="1">
        <v>49</v>
      </c>
    </row>
    <row r="3566" spans="1:2">
      <c r="A3566" s="112">
        <v>43743</v>
      </c>
      <c r="B3566" s="1">
        <v>37</v>
      </c>
    </row>
    <row r="3567" spans="1:2">
      <c r="A3567" s="112">
        <v>43744</v>
      </c>
      <c r="B3567" s="1">
        <v>34</v>
      </c>
    </row>
    <row r="3568" spans="1:2">
      <c r="A3568" s="112">
        <v>43745</v>
      </c>
      <c r="B3568" s="1">
        <v>40</v>
      </c>
    </row>
    <row r="3569" spans="1:2">
      <c r="A3569" s="112">
        <v>43746</v>
      </c>
      <c r="B3569" s="1">
        <v>49</v>
      </c>
    </row>
    <row r="3570" spans="1:2">
      <c r="A3570" s="112">
        <v>43747</v>
      </c>
      <c r="B3570" s="1">
        <v>60</v>
      </c>
    </row>
    <row r="3571" spans="1:2">
      <c r="A3571" s="112">
        <v>43748</v>
      </c>
      <c r="B3571" s="1">
        <v>69</v>
      </c>
    </row>
    <row r="3572" spans="1:2">
      <c r="A3572" s="112">
        <v>43749</v>
      </c>
      <c r="B3572" s="1">
        <v>77</v>
      </c>
    </row>
    <row r="3573" spans="1:2">
      <c r="A3573" s="112">
        <v>43750</v>
      </c>
      <c r="B3573" s="1">
        <v>83</v>
      </c>
    </row>
    <row r="3574" spans="1:2">
      <c r="A3574" s="112">
        <v>43751</v>
      </c>
      <c r="B3574" s="1">
        <v>87</v>
      </c>
    </row>
    <row r="3575" spans="1:2">
      <c r="A3575" s="112">
        <v>43752</v>
      </c>
      <c r="B3575" s="1">
        <v>88</v>
      </c>
    </row>
    <row r="3576" spans="1:2">
      <c r="A3576" s="112">
        <v>43753</v>
      </c>
      <c r="B3576" s="1">
        <v>86</v>
      </c>
    </row>
    <row r="3577" spans="1:2">
      <c r="A3577" s="112">
        <v>43754</v>
      </c>
      <c r="B3577" s="1">
        <v>82</v>
      </c>
    </row>
    <row r="3578" spans="1:2">
      <c r="A3578" s="112">
        <v>43755</v>
      </c>
      <c r="B3578" s="1">
        <v>74</v>
      </c>
    </row>
    <row r="3579" spans="1:2">
      <c r="A3579" s="112">
        <v>43756</v>
      </c>
      <c r="B3579" s="1">
        <v>65</v>
      </c>
    </row>
    <row r="3580" spans="1:2">
      <c r="A3580" s="112">
        <v>43757</v>
      </c>
      <c r="B3580" s="1">
        <v>54</v>
      </c>
    </row>
    <row r="3581" spans="1:2">
      <c r="A3581" s="112">
        <v>43758</v>
      </c>
      <c r="B3581" s="1">
        <v>45</v>
      </c>
    </row>
    <row r="3582" spans="1:2">
      <c r="A3582" s="112">
        <v>43759</v>
      </c>
      <c r="B3582" s="1">
        <v>42</v>
      </c>
    </row>
    <row r="3583" spans="1:2">
      <c r="A3583" s="112">
        <v>43760</v>
      </c>
      <c r="B3583" s="1">
        <v>48</v>
      </c>
    </row>
    <row r="3584" spans="1:2">
      <c r="A3584" s="112">
        <v>43761</v>
      </c>
      <c r="B3584" s="1">
        <v>62</v>
      </c>
    </row>
    <row r="3585" spans="1:2">
      <c r="A3585" s="112">
        <v>43762</v>
      </c>
      <c r="B3585" s="1">
        <v>78</v>
      </c>
    </row>
    <row r="3586" spans="1:2">
      <c r="A3586" s="112">
        <v>43763</v>
      </c>
      <c r="B3586" s="1">
        <v>93</v>
      </c>
    </row>
    <row r="3587" spans="1:2">
      <c r="A3587" s="112">
        <v>43764</v>
      </c>
      <c r="B3587" s="1">
        <v>105</v>
      </c>
    </row>
    <row r="3588" spans="1:2">
      <c r="A3588" s="112">
        <v>43765</v>
      </c>
      <c r="B3588" s="1">
        <v>110</v>
      </c>
    </row>
    <row r="3589" spans="1:2">
      <c r="A3589" s="112">
        <v>43766</v>
      </c>
      <c r="B3589" s="1">
        <v>109</v>
      </c>
    </row>
    <row r="3590" spans="1:2">
      <c r="A3590" s="112">
        <v>43767</v>
      </c>
      <c r="B3590" s="1">
        <v>103</v>
      </c>
    </row>
    <row r="3591" spans="1:2">
      <c r="A3591" s="112">
        <v>43768</v>
      </c>
      <c r="B3591" s="1">
        <v>91</v>
      </c>
    </row>
    <row r="3592" spans="1:2">
      <c r="A3592" s="112">
        <v>43769</v>
      </c>
      <c r="B3592" s="1">
        <v>77</v>
      </c>
    </row>
    <row r="3593" spans="1:2">
      <c r="A3593" s="112">
        <v>43770</v>
      </c>
      <c r="B3593" s="1">
        <v>62</v>
      </c>
    </row>
    <row r="3594" spans="1:2">
      <c r="A3594" s="112">
        <v>43771</v>
      </c>
      <c r="B3594" s="1">
        <v>48</v>
      </c>
    </row>
    <row r="3595" spans="1:2">
      <c r="A3595" s="112">
        <v>43772</v>
      </c>
      <c r="B3595" s="1">
        <v>38</v>
      </c>
    </row>
    <row r="3596" spans="1:2">
      <c r="A3596" s="112">
        <v>43773</v>
      </c>
      <c r="B3596" s="1">
        <v>34</v>
      </c>
    </row>
    <row r="3597" spans="1:2">
      <c r="A3597" s="112">
        <v>43774</v>
      </c>
      <c r="B3597" s="1">
        <v>38</v>
      </c>
    </row>
    <row r="3598" spans="1:2">
      <c r="A3598" s="112">
        <v>43775</v>
      </c>
      <c r="B3598" s="1">
        <v>46</v>
      </c>
    </row>
    <row r="3599" spans="1:2">
      <c r="A3599" s="112">
        <v>43776</v>
      </c>
      <c r="B3599" s="1">
        <v>56</v>
      </c>
    </row>
    <row r="3600" spans="1:2">
      <c r="A3600" s="112">
        <v>43777</v>
      </c>
      <c r="B3600" s="1">
        <v>65</v>
      </c>
    </row>
    <row r="3601" spans="1:2">
      <c r="A3601" s="112">
        <v>43778</v>
      </c>
      <c r="B3601" s="1">
        <v>74</v>
      </c>
    </row>
    <row r="3602" spans="1:2">
      <c r="A3602" s="112">
        <v>43779</v>
      </c>
      <c r="B3602" s="1">
        <v>81</v>
      </c>
    </row>
    <row r="3603" spans="1:2">
      <c r="A3603" s="112">
        <v>43780</v>
      </c>
      <c r="B3603" s="1">
        <v>85</v>
      </c>
    </row>
    <row r="3604" spans="1:2">
      <c r="A3604" s="112">
        <v>43781</v>
      </c>
      <c r="B3604" s="1">
        <v>87</v>
      </c>
    </row>
    <row r="3605" spans="1:2">
      <c r="A3605" s="112">
        <v>43782</v>
      </c>
      <c r="B3605" s="1">
        <v>87</v>
      </c>
    </row>
    <row r="3606" spans="1:2">
      <c r="A3606" s="112">
        <v>43783</v>
      </c>
      <c r="B3606" s="1">
        <v>83</v>
      </c>
    </row>
    <row r="3607" spans="1:2">
      <c r="A3607" s="112">
        <v>43784</v>
      </c>
      <c r="B3607" s="1">
        <v>77</v>
      </c>
    </row>
    <row r="3608" spans="1:2">
      <c r="A3608" s="112">
        <v>43785</v>
      </c>
      <c r="B3608" s="1">
        <v>68</v>
      </c>
    </row>
    <row r="3609" spans="1:2">
      <c r="A3609" s="112">
        <v>43786</v>
      </c>
      <c r="B3609" s="1">
        <v>59</v>
      </c>
    </row>
    <row r="3610" spans="1:2">
      <c r="A3610" s="112">
        <v>43787</v>
      </c>
      <c r="B3610" s="1">
        <v>52</v>
      </c>
    </row>
    <row r="3611" spans="1:2">
      <c r="A3611" s="112">
        <v>43788</v>
      </c>
      <c r="B3611" s="1">
        <v>49</v>
      </c>
    </row>
    <row r="3612" spans="1:2">
      <c r="A3612" s="112">
        <v>43789</v>
      </c>
      <c r="B3612" s="1">
        <v>54</v>
      </c>
    </row>
    <row r="3613" spans="1:2">
      <c r="A3613" s="112">
        <v>43790</v>
      </c>
      <c r="B3613" s="1">
        <v>65</v>
      </c>
    </row>
    <row r="3614" spans="1:2">
      <c r="A3614" s="112">
        <v>43791</v>
      </c>
      <c r="B3614" s="1">
        <v>77</v>
      </c>
    </row>
    <row r="3615" spans="1:2">
      <c r="A3615" s="112">
        <v>43792</v>
      </c>
      <c r="B3615" s="1">
        <v>87</v>
      </c>
    </row>
    <row r="3616" spans="1:2">
      <c r="A3616" s="112">
        <v>43793</v>
      </c>
      <c r="B3616" s="1">
        <v>95</v>
      </c>
    </row>
    <row r="3617" spans="1:2">
      <c r="A3617" s="112">
        <v>43794</v>
      </c>
      <c r="B3617" s="1">
        <v>99</v>
      </c>
    </row>
    <row r="3618" spans="1:2">
      <c r="A3618" s="112">
        <v>43795</v>
      </c>
      <c r="B3618" s="1">
        <v>98</v>
      </c>
    </row>
    <row r="3619" spans="1:2">
      <c r="A3619" s="112">
        <v>43796</v>
      </c>
      <c r="B3619" s="1">
        <v>93</v>
      </c>
    </row>
    <row r="3620" spans="1:2">
      <c r="A3620" s="112">
        <v>43797</v>
      </c>
      <c r="B3620" s="1">
        <v>85</v>
      </c>
    </row>
    <row r="3621" spans="1:2">
      <c r="A3621" s="112">
        <v>43798</v>
      </c>
      <c r="B3621" s="1">
        <v>75</v>
      </c>
    </row>
    <row r="3622" spans="1:2">
      <c r="A3622" s="112">
        <v>43799</v>
      </c>
      <c r="B3622" s="1">
        <v>64</v>
      </c>
    </row>
    <row r="3623" spans="1:2">
      <c r="A3623" s="112">
        <v>43800</v>
      </c>
      <c r="B3623" s="1">
        <v>53</v>
      </c>
    </row>
    <row r="3624" spans="1:2">
      <c r="A3624" s="112">
        <v>43801</v>
      </c>
      <c r="B3624" s="1">
        <v>44</v>
      </c>
    </row>
    <row r="3625" spans="1:2">
      <c r="A3625" s="112">
        <v>43802</v>
      </c>
      <c r="B3625" s="1">
        <v>39</v>
      </c>
    </row>
    <row r="3626" spans="1:2">
      <c r="A3626" s="112">
        <v>43803</v>
      </c>
      <c r="B3626" s="1">
        <v>39</v>
      </c>
    </row>
    <row r="3627" spans="1:2">
      <c r="A3627" s="112">
        <v>43804</v>
      </c>
      <c r="B3627" s="1">
        <v>43</v>
      </c>
    </row>
    <row r="3628" spans="1:2">
      <c r="A3628" s="112">
        <v>43805</v>
      </c>
      <c r="B3628" s="1">
        <v>50</v>
      </c>
    </row>
    <row r="3629" spans="1:2">
      <c r="A3629" s="112">
        <v>43806</v>
      </c>
      <c r="B3629" s="1">
        <v>58</v>
      </c>
    </row>
    <row r="3630" spans="1:2">
      <c r="A3630" s="112">
        <v>43807</v>
      </c>
      <c r="B3630" s="1">
        <v>66</v>
      </c>
    </row>
    <row r="3631" spans="1:2">
      <c r="A3631" s="112">
        <v>43808</v>
      </c>
      <c r="B3631" s="1">
        <v>74</v>
      </c>
    </row>
    <row r="3632" spans="1:2">
      <c r="A3632" s="112">
        <v>43809</v>
      </c>
      <c r="B3632" s="1">
        <v>80</v>
      </c>
    </row>
    <row r="3633" spans="1:2">
      <c r="A3633" s="112">
        <v>43810</v>
      </c>
      <c r="B3633" s="1">
        <v>84</v>
      </c>
    </row>
    <row r="3634" spans="1:2">
      <c r="A3634" s="112">
        <v>43811</v>
      </c>
      <c r="B3634" s="1">
        <v>86</v>
      </c>
    </row>
    <row r="3635" spans="1:2">
      <c r="A3635" s="112">
        <v>43812</v>
      </c>
      <c r="B3635" s="1">
        <v>86</v>
      </c>
    </row>
    <row r="3636" spans="1:2">
      <c r="A3636" s="112">
        <v>43813</v>
      </c>
      <c r="B3636" s="1">
        <v>82</v>
      </c>
    </row>
    <row r="3637" spans="1:2">
      <c r="A3637" s="112">
        <v>43814</v>
      </c>
      <c r="B3637" s="1">
        <v>76</v>
      </c>
    </row>
    <row r="3638" spans="1:2">
      <c r="A3638" s="112">
        <v>43815</v>
      </c>
      <c r="B3638" s="1">
        <v>70</v>
      </c>
    </row>
    <row r="3639" spans="1:2">
      <c r="A3639" s="112">
        <v>43816</v>
      </c>
      <c r="B3639" s="1">
        <v>63</v>
      </c>
    </row>
    <row r="3640" spans="1:2">
      <c r="A3640" s="112">
        <v>43817</v>
      </c>
      <c r="B3640" s="1">
        <v>60</v>
      </c>
    </row>
    <row r="3641" spans="1:2">
      <c r="A3641" s="112">
        <v>43818</v>
      </c>
      <c r="B3641" s="1">
        <v>59</v>
      </c>
    </row>
    <row r="3642" spans="1:2">
      <c r="A3642" s="112">
        <v>43819</v>
      </c>
      <c r="B3642" s="1">
        <v>63</v>
      </c>
    </row>
    <row r="3643" spans="1:2">
      <c r="A3643" s="112">
        <v>43820</v>
      </c>
      <c r="B3643" s="1">
        <v>69</v>
      </c>
    </row>
    <row r="3644" spans="1:2">
      <c r="A3644" s="112">
        <v>43821</v>
      </c>
      <c r="B3644" s="1">
        <v>75</v>
      </c>
    </row>
    <row r="3645" spans="1:2">
      <c r="A3645" s="112">
        <v>43822</v>
      </c>
      <c r="B3645" s="1">
        <v>80</v>
      </c>
    </row>
    <row r="3646" spans="1:2">
      <c r="A3646" s="112">
        <v>43823</v>
      </c>
      <c r="B3646" s="1">
        <v>84</v>
      </c>
    </row>
    <row r="3647" spans="1:2">
      <c r="A3647" s="112">
        <v>43824</v>
      </c>
      <c r="B3647" s="1">
        <v>86</v>
      </c>
    </row>
    <row r="3648" spans="1:2">
      <c r="A3648" s="112">
        <v>43825</v>
      </c>
      <c r="B3648" s="1">
        <v>85</v>
      </c>
    </row>
    <row r="3649" spans="1:2">
      <c r="A3649" s="112">
        <v>43826</v>
      </c>
      <c r="B3649" s="1">
        <v>81</v>
      </c>
    </row>
    <row r="3650" spans="1:2">
      <c r="A3650" s="112">
        <v>43827</v>
      </c>
      <c r="B3650" s="1">
        <v>76</v>
      </c>
    </row>
    <row r="3651" spans="1:2">
      <c r="A3651" s="112">
        <v>43828</v>
      </c>
      <c r="B3651" s="1">
        <v>70</v>
      </c>
    </row>
    <row r="3652" spans="1:2">
      <c r="A3652" s="112">
        <v>43829</v>
      </c>
      <c r="B3652" s="1">
        <v>62</v>
      </c>
    </row>
    <row r="3653" spans="1:2">
      <c r="A3653" s="112">
        <v>43830</v>
      </c>
      <c r="B3653" s="1">
        <v>55</v>
      </c>
    </row>
    <row r="3654" spans="1:2">
      <c r="A3654" s="112">
        <v>43831</v>
      </c>
      <c r="B3654" s="1">
        <v>48</v>
      </c>
    </row>
    <row r="3655" spans="1:2">
      <c r="A3655" s="112">
        <v>43832</v>
      </c>
      <c r="B3655" s="1">
        <v>43</v>
      </c>
    </row>
    <row r="3656" spans="1:2">
      <c r="A3656" s="112">
        <v>43833</v>
      </c>
      <c r="B3656" s="1">
        <v>42</v>
      </c>
    </row>
    <row r="3657" spans="1:2">
      <c r="A3657" s="112">
        <v>43834</v>
      </c>
      <c r="B3657" s="1">
        <v>43</v>
      </c>
    </row>
    <row r="3658" spans="1:2">
      <c r="A3658" s="112">
        <v>43835</v>
      </c>
      <c r="B3658" s="1">
        <v>48</v>
      </c>
    </row>
    <row r="3659" spans="1:2">
      <c r="A3659" s="112">
        <v>43836</v>
      </c>
      <c r="B3659" s="1">
        <v>56</v>
      </c>
    </row>
    <row r="3660" spans="1:2">
      <c r="A3660" s="112">
        <v>43837</v>
      </c>
      <c r="B3660" s="1">
        <v>65</v>
      </c>
    </row>
    <row r="3661" spans="1:2">
      <c r="A3661" s="112">
        <v>43838</v>
      </c>
      <c r="B3661" s="1">
        <v>74</v>
      </c>
    </row>
    <row r="3662" spans="1:2">
      <c r="A3662" s="112">
        <v>43839</v>
      </c>
      <c r="B3662" s="1">
        <v>82</v>
      </c>
    </row>
    <row r="3663" spans="1:2">
      <c r="A3663" s="112">
        <v>43840</v>
      </c>
      <c r="B3663" s="1">
        <v>88</v>
      </c>
    </row>
    <row r="3664" spans="1:2">
      <c r="A3664" s="112">
        <v>43841</v>
      </c>
      <c r="B3664" s="1">
        <v>92</v>
      </c>
    </row>
    <row r="3665" spans="1:2">
      <c r="A3665" s="112">
        <v>43842</v>
      </c>
      <c r="B3665" s="1">
        <v>92</v>
      </c>
    </row>
    <row r="3666" spans="1:2">
      <c r="A3666" s="112">
        <v>43843</v>
      </c>
      <c r="B3666" s="1">
        <v>90</v>
      </c>
    </row>
    <row r="3667" spans="1:2">
      <c r="A3667" s="112">
        <v>43844</v>
      </c>
      <c r="B3667" s="1">
        <v>84</v>
      </c>
    </row>
    <row r="3668" spans="1:2">
      <c r="A3668" s="112">
        <v>43845</v>
      </c>
      <c r="B3668" s="1">
        <v>77</v>
      </c>
    </row>
    <row r="3669" spans="1:2">
      <c r="A3669" s="112">
        <v>43846</v>
      </c>
      <c r="B3669" s="1">
        <v>68</v>
      </c>
    </row>
    <row r="3670" spans="1:2">
      <c r="A3670" s="112">
        <v>43847</v>
      </c>
      <c r="B3670" s="1">
        <v>61</v>
      </c>
    </row>
    <row r="3671" spans="1:2">
      <c r="A3671" s="112">
        <v>43848</v>
      </c>
      <c r="B3671" s="1">
        <v>57</v>
      </c>
    </row>
    <row r="3672" spans="1:2">
      <c r="A3672" s="112">
        <v>43849</v>
      </c>
      <c r="B3672" s="1">
        <v>56</v>
      </c>
    </row>
    <row r="3673" spans="1:2">
      <c r="A3673" s="112">
        <v>43850</v>
      </c>
      <c r="B3673" s="1">
        <v>60</v>
      </c>
    </row>
    <row r="3674" spans="1:2">
      <c r="A3674" s="112">
        <v>43851</v>
      </c>
      <c r="B3674" s="1">
        <v>66</v>
      </c>
    </row>
    <row r="3675" spans="1:2">
      <c r="A3675" s="112">
        <v>43852</v>
      </c>
      <c r="B3675" s="1">
        <v>72</v>
      </c>
    </row>
    <row r="3676" spans="1:2">
      <c r="A3676" s="112">
        <v>43853</v>
      </c>
      <c r="B3676" s="1">
        <v>77</v>
      </c>
    </row>
    <row r="3677" spans="1:2">
      <c r="A3677" s="112">
        <v>43854</v>
      </c>
      <c r="B3677" s="1">
        <v>81</v>
      </c>
    </row>
    <row r="3678" spans="1:2">
      <c r="A3678" s="112">
        <v>43855</v>
      </c>
      <c r="B3678" s="1">
        <v>82</v>
      </c>
    </row>
    <row r="3679" spans="1:2">
      <c r="A3679" s="112">
        <v>43856</v>
      </c>
      <c r="B3679" s="1">
        <v>80</v>
      </c>
    </row>
    <row r="3680" spans="1:2">
      <c r="A3680" s="112">
        <v>43857</v>
      </c>
      <c r="B3680" s="1">
        <v>77</v>
      </c>
    </row>
    <row r="3681" spans="1:2">
      <c r="A3681" s="112">
        <v>43858</v>
      </c>
      <c r="B3681" s="1">
        <v>72</v>
      </c>
    </row>
    <row r="3682" spans="1:2">
      <c r="A3682" s="112">
        <v>43859</v>
      </c>
      <c r="B3682" s="1">
        <v>66</v>
      </c>
    </row>
    <row r="3683" spans="1:2">
      <c r="A3683" s="112">
        <v>43860</v>
      </c>
      <c r="B3683" s="1">
        <v>58</v>
      </c>
    </row>
    <row r="3684" spans="1:2">
      <c r="A3684" s="112">
        <v>43861</v>
      </c>
      <c r="B3684" s="1">
        <v>51</v>
      </c>
    </row>
    <row r="3685" spans="1:2">
      <c r="A3685" s="112">
        <v>43862</v>
      </c>
      <c r="B3685" s="1">
        <v>44</v>
      </c>
    </row>
    <row r="3686" spans="1:2">
      <c r="A3686" s="112">
        <v>43863</v>
      </c>
      <c r="B3686" s="1">
        <v>40</v>
      </c>
    </row>
    <row r="3687" spans="1:2">
      <c r="A3687" s="112">
        <v>43864</v>
      </c>
      <c r="B3687" s="1">
        <v>40</v>
      </c>
    </row>
    <row r="3688" spans="1:2">
      <c r="A3688" s="112">
        <v>43865</v>
      </c>
      <c r="B3688" s="1">
        <v>46</v>
      </c>
    </row>
    <row r="3689" spans="1:2">
      <c r="A3689" s="112">
        <v>43866</v>
      </c>
      <c r="B3689" s="1">
        <v>56</v>
      </c>
    </row>
    <row r="3690" spans="1:2">
      <c r="A3690" s="112">
        <v>43867</v>
      </c>
      <c r="B3690" s="1">
        <v>69</v>
      </c>
    </row>
    <row r="3691" spans="1:2">
      <c r="A3691" s="112">
        <v>43868</v>
      </c>
      <c r="B3691" s="1">
        <v>82</v>
      </c>
    </row>
    <row r="3692" spans="1:2">
      <c r="A3692" s="112">
        <v>43869</v>
      </c>
      <c r="B3692" s="1">
        <v>93</v>
      </c>
    </row>
    <row r="3693" spans="1:2">
      <c r="A3693" s="112">
        <v>43870</v>
      </c>
      <c r="B3693" s="1">
        <v>101</v>
      </c>
    </row>
    <row r="3694" spans="1:2">
      <c r="A3694" s="112">
        <v>43871</v>
      </c>
      <c r="B3694" s="1">
        <v>105</v>
      </c>
    </row>
    <row r="3695" spans="1:2">
      <c r="A3695" s="112">
        <v>43872</v>
      </c>
      <c r="B3695" s="1">
        <v>104</v>
      </c>
    </row>
    <row r="3696" spans="1:2">
      <c r="A3696" s="112">
        <v>43873</v>
      </c>
      <c r="B3696" s="1">
        <v>97</v>
      </c>
    </row>
    <row r="3697" spans="1:2">
      <c r="A3697" s="112">
        <v>43874</v>
      </c>
      <c r="B3697" s="1">
        <v>86</v>
      </c>
    </row>
    <row r="3698" spans="1:2">
      <c r="A3698" s="112">
        <v>43875</v>
      </c>
      <c r="B3698" s="1">
        <v>72</v>
      </c>
    </row>
    <row r="3699" spans="1:2">
      <c r="A3699" s="112">
        <v>43876</v>
      </c>
      <c r="B3699" s="1">
        <v>58</v>
      </c>
    </row>
    <row r="3700" spans="1:2">
      <c r="A3700" s="112">
        <v>43877</v>
      </c>
      <c r="B3700" s="1">
        <v>48</v>
      </c>
    </row>
    <row r="3701" spans="1:2">
      <c r="A3701" s="112">
        <v>43878</v>
      </c>
      <c r="B3701" s="1">
        <v>45</v>
      </c>
    </row>
    <row r="3702" spans="1:2">
      <c r="A3702" s="112">
        <v>43879</v>
      </c>
      <c r="B3702" s="1">
        <v>49</v>
      </c>
    </row>
    <row r="3703" spans="1:2">
      <c r="A3703" s="112">
        <v>43880</v>
      </c>
      <c r="B3703" s="1">
        <v>57</v>
      </c>
    </row>
    <row r="3704" spans="1:2">
      <c r="A3704" s="112">
        <v>43881</v>
      </c>
      <c r="B3704" s="1">
        <v>66</v>
      </c>
    </row>
    <row r="3705" spans="1:2">
      <c r="A3705" s="112">
        <v>43882</v>
      </c>
      <c r="B3705" s="1">
        <v>74</v>
      </c>
    </row>
    <row r="3706" spans="1:2">
      <c r="A3706" s="112">
        <v>43883</v>
      </c>
      <c r="B3706" s="1">
        <v>80</v>
      </c>
    </row>
    <row r="3707" spans="1:2">
      <c r="A3707" s="112">
        <v>43884</v>
      </c>
      <c r="B3707" s="1">
        <v>84</v>
      </c>
    </row>
    <row r="3708" spans="1:2">
      <c r="A3708" s="112">
        <v>43885</v>
      </c>
      <c r="B3708" s="1">
        <v>85</v>
      </c>
    </row>
    <row r="3709" spans="1:2">
      <c r="A3709" s="112">
        <v>43886</v>
      </c>
      <c r="B3709" s="1">
        <v>84</v>
      </c>
    </row>
    <row r="3710" spans="1:2">
      <c r="A3710" s="112">
        <v>43887</v>
      </c>
      <c r="B3710" s="1">
        <v>80</v>
      </c>
    </row>
    <row r="3711" spans="1:2">
      <c r="A3711" s="112">
        <v>43888</v>
      </c>
      <c r="B3711" s="1">
        <v>74</v>
      </c>
    </row>
    <row r="3712" spans="1:2">
      <c r="A3712" s="112">
        <v>43889</v>
      </c>
      <c r="B3712" s="1">
        <v>66</v>
      </c>
    </row>
    <row r="3713" spans="1:2">
      <c r="A3713" s="112">
        <v>43890</v>
      </c>
      <c r="B3713" s="1">
        <v>57</v>
      </c>
    </row>
    <row r="3714" spans="1:2">
      <c r="A3714" s="112">
        <v>43891</v>
      </c>
      <c r="B3714" s="1">
        <v>48</v>
      </c>
    </row>
    <row r="3715" spans="1:2">
      <c r="A3715" s="112">
        <v>43892</v>
      </c>
      <c r="B3715" s="1">
        <v>40</v>
      </c>
    </row>
    <row r="3716" spans="1:2">
      <c r="A3716" s="112">
        <v>43893</v>
      </c>
      <c r="B3716" s="1">
        <v>36</v>
      </c>
    </row>
    <row r="3717" spans="1:2">
      <c r="A3717" s="112">
        <v>43894</v>
      </c>
      <c r="B3717" s="1">
        <v>41</v>
      </c>
    </row>
    <row r="3718" spans="1:2">
      <c r="A3718" s="112">
        <v>43895</v>
      </c>
      <c r="B3718" s="1">
        <v>53</v>
      </c>
    </row>
    <row r="3719" spans="1:2">
      <c r="A3719" s="112">
        <v>43896</v>
      </c>
      <c r="B3719" s="1">
        <v>69</v>
      </c>
    </row>
    <row r="3720" spans="1:2">
      <c r="A3720" s="112">
        <v>43897</v>
      </c>
      <c r="B3720" s="1">
        <v>85</v>
      </c>
    </row>
    <row r="3721" spans="1:2">
      <c r="A3721" s="112">
        <v>43898</v>
      </c>
      <c r="B3721" s="1">
        <v>100</v>
      </c>
    </row>
    <row r="3722" spans="1:2">
      <c r="A3722" s="112">
        <v>43899</v>
      </c>
      <c r="B3722" s="1">
        <v>110</v>
      </c>
    </row>
    <row r="3723" spans="1:2">
      <c r="A3723" s="112">
        <v>43900</v>
      </c>
      <c r="B3723" s="1">
        <v>115</v>
      </c>
    </row>
    <row r="3724" spans="1:2">
      <c r="A3724" s="112">
        <v>43901</v>
      </c>
      <c r="B3724" s="1">
        <v>112</v>
      </c>
    </row>
    <row r="3725" spans="1:2">
      <c r="A3725" s="112">
        <v>43902</v>
      </c>
      <c r="B3725" s="1">
        <v>103</v>
      </c>
    </row>
    <row r="3726" spans="1:2">
      <c r="A3726" s="112">
        <v>43903</v>
      </c>
      <c r="B3726" s="1">
        <v>88</v>
      </c>
    </row>
    <row r="3727" spans="1:2">
      <c r="A3727" s="112">
        <v>43904</v>
      </c>
      <c r="B3727" s="1">
        <v>71</v>
      </c>
    </row>
    <row r="3728" spans="1:2">
      <c r="A3728" s="112">
        <v>43905</v>
      </c>
      <c r="B3728" s="1">
        <v>54</v>
      </c>
    </row>
    <row r="3729" spans="1:2">
      <c r="A3729" s="112">
        <v>43906</v>
      </c>
      <c r="B3729" s="1">
        <v>41</v>
      </c>
    </row>
    <row r="3730" spans="1:2">
      <c r="A3730" s="112">
        <v>43907</v>
      </c>
      <c r="B3730" s="1">
        <v>38</v>
      </c>
    </row>
    <row r="3731" spans="1:2">
      <c r="A3731" s="112">
        <v>43908</v>
      </c>
      <c r="B3731" s="1">
        <v>43</v>
      </c>
    </row>
    <row r="3732" spans="1:2">
      <c r="A3732" s="112">
        <v>43909</v>
      </c>
      <c r="B3732" s="1">
        <v>53</v>
      </c>
    </row>
    <row r="3733" spans="1:2">
      <c r="A3733" s="112">
        <v>43910</v>
      </c>
      <c r="B3733" s="1">
        <v>63</v>
      </c>
    </row>
    <row r="3734" spans="1:2">
      <c r="A3734" s="112">
        <v>43911</v>
      </c>
      <c r="B3734" s="1">
        <v>72</v>
      </c>
    </row>
    <row r="3735" spans="1:2">
      <c r="A3735" s="112">
        <v>43912</v>
      </c>
      <c r="B3735" s="1">
        <v>79</v>
      </c>
    </row>
    <row r="3736" spans="1:2">
      <c r="A3736" s="112">
        <v>43913</v>
      </c>
      <c r="B3736" s="1">
        <v>84</v>
      </c>
    </row>
    <row r="3737" spans="1:2">
      <c r="A3737" s="112">
        <v>43914</v>
      </c>
      <c r="B3737" s="1">
        <v>87</v>
      </c>
    </row>
    <row r="3738" spans="1:2">
      <c r="A3738" s="112">
        <v>43915</v>
      </c>
      <c r="B3738" s="1">
        <v>86</v>
      </c>
    </row>
    <row r="3739" spans="1:2">
      <c r="A3739" s="112">
        <v>43916</v>
      </c>
      <c r="B3739" s="1">
        <v>83</v>
      </c>
    </row>
    <row r="3740" spans="1:2">
      <c r="A3740" s="112">
        <v>43917</v>
      </c>
      <c r="B3740" s="1">
        <v>78</v>
      </c>
    </row>
    <row r="3741" spans="1:2">
      <c r="A3741" s="112">
        <v>43918</v>
      </c>
      <c r="B3741" s="1">
        <v>70</v>
      </c>
    </row>
    <row r="3742" spans="1:2">
      <c r="A3742" s="112">
        <v>43919</v>
      </c>
      <c r="B3742" s="1">
        <v>61</v>
      </c>
    </row>
    <row r="3743" spans="1:2">
      <c r="A3743" s="112">
        <v>43920</v>
      </c>
      <c r="B3743" s="1">
        <v>50</v>
      </c>
    </row>
    <row r="3744" spans="1:2">
      <c r="A3744" s="112">
        <v>43921</v>
      </c>
      <c r="B3744" s="1">
        <v>41</v>
      </c>
    </row>
    <row r="3745" spans="1:2">
      <c r="A3745" s="112">
        <v>43922</v>
      </c>
      <c r="B3745" s="1">
        <v>37</v>
      </c>
    </row>
    <row r="3746" spans="1:2">
      <c r="A3746" s="112">
        <v>43923</v>
      </c>
      <c r="B3746" s="1">
        <v>42</v>
      </c>
    </row>
    <row r="3747" spans="1:2">
      <c r="A3747" s="112">
        <v>43924</v>
      </c>
      <c r="B3747" s="1">
        <v>55</v>
      </c>
    </row>
    <row r="3748" spans="1:2">
      <c r="A3748" s="112">
        <v>43925</v>
      </c>
      <c r="B3748" s="1">
        <v>72</v>
      </c>
    </row>
    <row r="3749" spans="1:2">
      <c r="A3749" s="112">
        <v>43926</v>
      </c>
      <c r="B3749" s="1">
        <v>89</v>
      </c>
    </row>
    <row r="3750" spans="1:2">
      <c r="A3750" s="112">
        <v>43927</v>
      </c>
      <c r="B3750" s="1">
        <v>104</v>
      </c>
    </row>
    <row r="3751" spans="1:2">
      <c r="A3751" s="112">
        <v>43928</v>
      </c>
      <c r="B3751" s="1">
        <v>113</v>
      </c>
    </row>
    <row r="3752" spans="1:2">
      <c r="A3752" s="112">
        <v>43929</v>
      </c>
      <c r="B3752" s="1">
        <v>116</v>
      </c>
    </row>
    <row r="3753" spans="1:2">
      <c r="A3753" s="112">
        <v>43930</v>
      </c>
      <c r="B3753" s="1">
        <v>111</v>
      </c>
    </row>
    <row r="3754" spans="1:2">
      <c r="A3754" s="112">
        <v>43931</v>
      </c>
      <c r="B3754" s="1">
        <v>99</v>
      </c>
    </row>
    <row r="3755" spans="1:2">
      <c r="A3755" s="112">
        <v>43932</v>
      </c>
      <c r="B3755" s="1">
        <v>84</v>
      </c>
    </row>
    <row r="3756" spans="1:2">
      <c r="A3756" s="112">
        <v>43933</v>
      </c>
      <c r="B3756" s="1">
        <v>67</v>
      </c>
    </row>
    <row r="3757" spans="1:2">
      <c r="A3757" s="112">
        <v>43934</v>
      </c>
      <c r="B3757" s="1">
        <v>51</v>
      </c>
    </row>
    <row r="3758" spans="1:2">
      <c r="A3758" s="112">
        <v>43935</v>
      </c>
      <c r="B3758" s="1">
        <v>39</v>
      </c>
    </row>
    <row r="3759" spans="1:2">
      <c r="A3759" s="112">
        <v>43936</v>
      </c>
      <c r="B3759" s="1">
        <v>36</v>
      </c>
    </row>
    <row r="3760" spans="1:2">
      <c r="A3760" s="112">
        <v>43937</v>
      </c>
      <c r="B3760" s="1">
        <v>42</v>
      </c>
    </row>
    <row r="3761" spans="1:2">
      <c r="A3761" s="112">
        <v>43938</v>
      </c>
      <c r="B3761" s="1">
        <v>51</v>
      </c>
    </row>
    <row r="3762" spans="1:2">
      <c r="A3762" s="112">
        <v>43939</v>
      </c>
      <c r="B3762" s="1">
        <v>60</v>
      </c>
    </row>
    <row r="3763" spans="1:2">
      <c r="A3763" s="112">
        <v>43940</v>
      </c>
      <c r="B3763" s="1">
        <v>69</v>
      </c>
    </row>
    <row r="3764" spans="1:2">
      <c r="A3764" s="112">
        <v>43941</v>
      </c>
      <c r="B3764" s="1">
        <v>76</v>
      </c>
    </row>
    <row r="3765" spans="1:2">
      <c r="A3765" s="112">
        <v>43942</v>
      </c>
      <c r="B3765" s="1">
        <v>82</v>
      </c>
    </row>
    <row r="3766" spans="1:2">
      <c r="A3766" s="112">
        <v>43943</v>
      </c>
      <c r="B3766" s="1">
        <v>84</v>
      </c>
    </row>
    <row r="3767" spans="1:2">
      <c r="A3767" s="112">
        <v>43944</v>
      </c>
      <c r="B3767" s="1">
        <v>85</v>
      </c>
    </row>
    <row r="3768" spans="1:2">
      <c r="A3768" s="112">
        <v>43945</v>
      </c>
      <c r="B3768" s="1">
        <v>83</v>
      </c>
    </row>
    <row r="3769" spans="1:2">
      <c r="A3769" s="112">
        <v>43946</v>
      </c>
      <c r="B3769" s="1">
        <v>78</v>
      </c>
    </row>
    <row r="3770" spans="1:2">
      <c r="A3770" s="112">
        <v>43947</v>
      </c>
      <c r="B3770" s="1">
        <v>71</v>
      </c>
    </row>
    <row r="3771" spans="1:2">
      <c r="A3771" s="112">
        <v>43948</v>
      </c>
      <c r="B3771" s="1">
        <v>62</v>
      </c>
    </row>
    <row r="3772" spans="1:2">
      <c r="A3772" s="112">
        <v>43949</v>
      </c>
      <c r="B3772" s="1">
        <v>53</v>
      </c>
    </row>
    <row r="3773" spans="1:2">
      <c r="A3773" s="112">
        <v>43950</v>
      </c>
      <c r="B3773" s="1">
        <v>45</v>
      </c>
    </row>
    <row r="3774" spans="1:2">
      <c r="A3774" s="112">
        <v>43951</v>
      </c>
      <c r="B3774" s="1">
        <v>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L76"/>
  <sheetViews>
    <sheetView zoomScale="70" zoomScaleNormal="70" workbookViewId="0">
      <selection activeCell="E15" sqref="E15"/>
    </sheetView>
  </sheetViews>
  <sheetFormatPr baseColWidth="10" defaultColWidth="11.42578125" defaultRowHeight="15"/>
  <cols>
    <col min="1" max="1" width="19.28515625" style="11" customWidth="1"/>
    <col min="2" max="2" width="20.42578125" style="11" customWidth="1"/>
    <col min="3" max="4" width="11.42578125" style="11"/>
    <col min="5" max="5" width="11.5703125" style="11" customWidth="1"/>
    <col min="6" max="6" width="11.42578125" style="11"/>
    <col min="7" max="7" width="28" style="11" customWidth="1"/>
    <col min="8" max="8" width="15.85546875" style="11" customWidth="1"/>
    <col min="9" max="9" width="12.28515625" style="11" customWidth="1"/>
    <col min="10" max="10" width="29.140625" style="11" customWidth="1"/>
    <col min="11" max="11" width="17.140625" style="11" customWidth="1"/>
    <col min="12" max="16384" width="11.42578125" style="11"/>
  </cols>
  <sheetData>
    <row r="1" spans="1:12" s="12" customFormat="1" ht="41.25" customHeight="1" thickBot="1">
      <c r="A1" s="5" t="s">
        <v>101</v>
      </c>
      <c r="B1" s="6" t="s">
        <v>102</v>
      </c>
      <c r="C1" s="6" t="s">
        <v>103</v>
      </c>
      <c r="D1" s="6" t="s">
        <v>104</v>
      </c>
      <c r="E1" s="7" t="s">
        <v>105</v>
      </c>
      <c r="F1" s="7" t="s">
        <v>106</v>
      </c>
      <c r="G1" s="13" t="s">
        <v>122</v>
      </c>
      <c r="H1" s="8" t="s">
        <v>107</v>
      </c>
      <c r="I1" s="8" t="s">
        <v>108</v>
      </c>
      <c r="J1" s="8" t="s">
        <v>109</v>
      </c>
      <c r="K1" s="9" t="s">
        <v>60</v>
      </c>
      <c r="L1" s="10" t="s">
        <v>110</v>
      </c>
    </row>
    <row r="2" spans="1:12" ht="16.5" thickTop="1" thickBot="1">
      <c r="A2" s="61" t="s">
        <v>336</v>
      </c>
      <c r="B2" s="64" t="s">
        <v>15</v>
      </c>
      <c r="C2" s="66">
        <v>43754</v>
      </c>
      <c r="D2" s="71">
        <v>0.58333333333333337</v>
      </c>
      <c r="E2" s="75" t="s">
        <v>337</v>
      </c>
      <c r="F2" s="64">
        <v>1</v>
      </c>
      <c r="G2" s="64" t="s">
        <v>338</v>
      </c>
      <c r="H2" s="80" t="s">
        <v>339</v>
      </c>
      <c r="I2" s="64" t="s">
        <v>340</v>
      </c>
      <c r="J2" s="80"/>
      <c r="K2" s="84" t="s">
        <v>341</v>
      </c>
      <c r="L2" s="88" t="s">
        <v>342</v>
      </c>
    </row>
    <row r="3" spans="1:12" ht="16.5" thickTop="1" thickBot="1">
      <c r="A3" s="61" t="s">
        <v>336</v>
      </c>
      <c r="B3" s="63" t="s">
        <v>15</v>
      </c>
      <c r="C3" s="67">
        <v>43755</v>
      </c>
      <c r="D3" s="72">
        <v>0.58333333333333337</v>
      </c>
      <c r="E3" s="75" t="s">
        <v>337</v>
      </c>
      <c r="F3" s="76">
        <v>1</v>
      </c>
      <c r="G3" s="76" t="s">
        <v>343</v>
      </c>
      <c r="H3" s="80" t="s">
        <v>339</v>
      </c>
      <c r="I3" s="76" t="s">
        <v>8</v>
      </c>
      <c r="J3" s="81"/>
      <c r="K3" s="85"/>
      <c r="L3" s="88" t="s">
        <v>342</v>
      </c>
    </row>
    <row r="4" spans="1:12" ht="16.5" thickTop="1" thickBot="1">
      <c r="A4" s="61" t="s">
        <v>336</v>
      </c>
      <c r="B4" s="63" t="s">
        <v>15</v>
      </c>
      <c r="C4" s="67">
        <v>43759</v>
      </c>
      <c r="D4" s="72">
        <v>0.33333333333333331</v>
      </c>
      <c r="E4" s="75" t="s">
        <v>337</v>
      </c>
      <c r="F4" s="76">
        <v>1</v>
      </c>
      <c r="G4" s="76" t="s">
        <v>344</v>
      </c>
      <c r="H4" s="80" t="s">
        <v>337</v>
      </c>
      <c r="I4" s="76" t="s">
        <v>345</v>
      </c>
      <c r="J4" s="81" t="s">
        <v>136</v>
      </c>
      <c r="K4" s="85" t="s">
        <v>346</v>
      </c>
      <c r="L4" s="88" t="s">
        <v>342</v>
      </c>
    </row>
    <row r="5" spans="1:12" ht="16.5" thickTop="1" thickBot="1">
      <c r="A5" s="61" t="s">
        <v>336</v>
      </c>
      <c r="B5" s="63" t="s">
        <v>15</v>
      </c>
      <c r="C5" s="67">
        <v>43759</v>
      </c>
      <c r="D5" s="72">
        <v>0.58333333333333337</v>
      </c>
      <c r="E5" s="75" t="s">
        <v>337</v>
      </c>
      <c r="F5" s="76">
        <v>1</v>
      </c>
      <c r="G5" s="76" t="s">
        <v>347</v>
      </c>
      <c r="H5" s="80" t="s">
        <v>339</v>
      </c>
      <c r="I5" s="76" t="s">
        <v>8</v>
      </c>
      <c r="J5" s="81"/>
      <c r="K5" s="85"/>
      <c r="L5" s="88" t="s">
        <v>342</v>
      </c>
    </row>
    <row r="6" spans="1:12" ht="16.5" thickTop="1" thickBot="1">
      <c r="A6" s="61" t="s">
        <v>336</v>
      </c>
      <c r="B6" s="63" t="s">
        <v>15</v>
      </c>
      <c r="C6" s="69">
        <v>43760</v>
      </c>
      <c r="D6" s="74">
        <v>0.33333333333333331</v>
      </c>
      <c r="E6" s="75" t="s">
        <v>337</v>
      </c>
      <c r="F6" s="77">
        <v>1</v>
      </c>
      <c r="G6" s="77" t="s">
        <v>348</v>
      </c>
      <c r="H6" s="80" t="s">
        <v>339</v>
      </c>
      <c r="I6" s="77" t="s">
        <v>8</v>
      </c>
      <c r="J6" s="82"/>
      <c r="K6" s="87"/>
      <c r="L6" s="88" t="s">
        <v>342</v>
      </c>
    </row>
    <row r="7" spans="1:12" ht="16.5" thickTop="1" thickBot="1">
      <c r="A7" s="61" t="s">
        <v>336</v>
      </c>
      <c r="B7" s="63" t="s">
        <v>15</v>
      </c>
      <c r="C7" s="67">
        <v>43761</v>
      </c>
      <c r="D7" s="72">
        <v>0.33333333333333331</v>
      </c>
      <c r="E7" s="76" t="s">
        <v>339</v>
      </c>
      <c r="F7" s="76"/>
      <c r="G7" s="76"/>
      <c r="H7" s="80" t="s">
        <v>337</v>
      </c>
      <c r="I7" s="76" t="s">
        <v>349</v>
      </c>
      <c r="J7" s="81" t="s">
        <v>350</v>
      </c>
      <c r="K7" s="85"/>
      <c r="L7" s="88" t="s">
        <v>342</v>
      </c>
    </row>
    <row r="8" spans="1:12" ht="16.5" thickTop="1" thickBot="1">
      <c r="A8" s="61" t="s">
        <v>336</v>
      </c>
      <c r="B8" s="63" t="s">
        <v>15</v>
      </c>
      <c r="C8" s="69">
        <v>43762</v>
      </c>
      <c r="D8" s="74">
        <v>0.33333333333333331</v>
      </c>
      <c r="E8" s="76" t="s">
        <v>339</v>
      </c>
      <c r="F8" s="77"/>
      <c r="G8" s="77"/>
      <c r="H8" s="80" t="s">
        <v>339</v>
      </c>
      <c r="I8" s="77" t="s">
        <v>8</v>
      </c>
      <c r="J8" s="82"/>
      <c r="K8" s="87" t="s">
        <v>351</v>
      </c>
      <c r="L8" s="88" t="s">
        <v>342</v>
      </c>
    </row>
    <row r="9" spans="1:12" ht="16.5" thickTop="1" thickBot="1">
      <c r="A9" s="61" t="s">
        <v>336</v>
      </c>
      <c r="B9" s="63" t="s">
        <v>15</v>
      </c>
      <c r="C9" s="67">
        <v>43762</v>
      </c>
      <c r="D9" s="74">
        <v>0.58333333333333337</v>
      </c>
      <c r="E9" s="75" t="s">
        <v>337</v>
      </c>
      <c r="F9" s="76">
        <v>2</v>
      </c>
      <c r="G9" s="76" t="s">
        <v>352</v>
      </c>
      <c r="H9" s="80" t="s">
        <v>337</v>
      </c>
      <c r="I9" s="76" t="s">
        <v>353</v>
      </c>
      <c r="J9" s="81" t="s">
        <v>354</v>
      </c>
      <c r="K9" s="85"/>
      <c r="L9" s="88" t="s">
        <v>342</v>
      </c>
    </row>
    <row r="10" spans="1:12" ht="16.5" thickTop="1" thickBot="1">
      <c r="A10" s="61" t="s">
        <v>336</v>
      </c>
      <c r="B10" s="63" t="s">
        <v>15</v>
      </c>
      <c r="C10" s="67">
        <v>43789</v>
      </c>
      <c r="D10" s="72">
        <v>0.33333333333333331</v>
      </c>
      <c r="E10" s="75" t="s">
        <v>337</v>
      </c>
      <c r="F10" s="76">
        <v>2</v>
      </c>
      <c r="G10" s="76" t="s">
        <v>355</v>
      </c>
      <c r="H10" s="80" t="s">
        <v>337</v>
      </c>
      <c r="I10" s="76" t="s">
        <v>353</v>
      </c>
      <c r="J10" s="81"/>
      <c r="K10" s="85"/>
      <c r="L10" s="88" t="s">
        <v>342</v>
      </c>
    </row>
    <row r="11" spans="1:12" ht="16.5" thickTop="1" thickBot="1">
      <c r="A11" s="61" t="s">
        <v>336</v>
      </c>
      <c r="B11" s="63" t="s">
        <v>15</v>
      </c>
      <c r="C11" s="67">
        <v>43789</v>
      </c>
      <c r="D11" s="72">
        <v>0.41666666666666669</v>
      </c>
      <c r="E11" s="75" t="s">
        <v>337</v>
      </c>
      <c r="F11" s="76">
        <v>1</v>
      </c>
      <c r="G11" s="76" t="s">
        <v>356</v>
      </c>
      <c r="H11" s="80" t="s">
        <v>339</v>
      </c>
      <c r="I11" s="76" t="s">
        <v>8</v>
      </c>
      <c r="J11" s="81"/>
      <c r="K11" s="85"/>
      <c r="L11" s="88" t="s">
        <v>342</v>
      </c>
    </row>
    <row r="12" spans="1:12" ht="16.5" thickTop="1" thickBot="1">
      <c r="A12" s="61" t="s">
        <v>336</v>
      </c>
      <c r="B12" s="63" t="s">
        <v>15</v>
      </c>
      <c r="C12" s="67">
        <v>43796</v>
      </c>
      <c r="D12" s="72">
        <v>0.58333333333333337</v>
      </c>
      <c r="E12" s="75" t="s">
        <v>337</v>
      </c>
      <c r="F12" s="76">
        <v>2</v>
      </c>
      <c r="G12" s="76" t="s">
        <v>357</v>
      </c>
      <c r="H12" s="80" t="s">
        <v>339</v>
      </c>
      <c r="I12" s="76" t="s">
        <v>8</v>
      </c>
      <c r="J12" s="81"/>
      <c r="K12" s="85"/>
      <c r="L12" s="88" t="s">
        <v>342</v>
      </c>
    </row>
    <row r="13" spans="1:12" ht="16.5" thickTop="1" thickBot="1">
      <c r="A13" s="61" t="s">
        <v>336</v>
      </c>
      <c r="B13" s="63" t="s">
        <v>15</v>
      </c>
      <c r="C13" s="67">
        <v>43797</v>
      </c>
      <c r="D13" s="72">
        <v>0.58333333333333337</v>
      </c>
      <c r="E13" s="75" t="s">
        <v>337</v>
      </c>
      <c r="F13" s="76">
        <v>1</v>
      </c>
      <c r="G13" s="76" t="s">
        <v>358</v>
      </c>
      <c r="H13" s="80" t="s">
        <v>339</v>
      </c>
      <c r="I13" s="76" t="s">
        <v>8</v>
      </c>
      <c r="J13" s="81"/>
      <c r="K13" s="85" t="s">
        <v>359</v>
      </c>
      <c r="L13" s="88" t="s">
        <v>342</v>
      </c>
    </row>
    <row r="14" spans="1:12" ht="16.5" thickTop="1" thickBot="1">
      <c r="A14" s="61" t="s">
        <v>336</v>
      </c>
      <c r="B14" s="63" t="s">
        <v>15</v>
      </c>
      <c r="C14" s="67">
        <v>43808</v>
      </c>
      <c r="D14" s="72">
        <v>0.41666666666666669</v>
      </c>
      <c r="E14" s="75" t="s">
        <v>337</v>
      </c>
      <c r="F14" s="76">
        <v>1</v>
      </c>
      <c r="G14" s="76"/>
      <c r="H14" s="80" t="s">
        <v>339</v>
      </c>
      <c r="I14" s="76" t="s">
        <v>8</v>
      </c>
      <c r="J14" s="81"/>
      <c r="K14" s="85"/>
      <c r="L14" s="88" t="s">
        <v>342</v>
      </c>
    </row>
    <row r="15" spans="1:12" ht="16.5" thickTop="1" thickBot="1">
      <c r="A15" s="61" t="s">
        <v>336</v>
      </c>
      <c r="B15" s="63" t="s">
        <v>15</v>
      </c>
      <c r="C15" s="67">
        <v>43808</v>
      </c>
      <c r="D15" s="72">
        <v>0.58333333333333337</v>
      </c>
      <c r="E15" s="75" t="s">
        <v>337</v>
      </c>
      <c r="F15" s="76">
        <v>1</v>
      </c>
      <c r="G15" s="76"/>
      <c r="H15" s="80" t="s">
        <v>337</v>
      </c>
      <c r="I15" s="76" t="s">
        <v>361</v>
      </c>
      <c r="J15" s="81" t="s">
        <v>362</v>
      </c>
      <c r="K15" s="85"/>
      <c r="L15" s="88" t="s">
        <v>342</v>
      </c>
    </row>
    <row r="16" spans="1:12" ht="16.5" thickTop="1" thickBot="1">
      <c r="A16" s="61" t="s">
        <v>336</v>
      </c>
      <c r="B16" s="63" t="s">
        <v>15</v>
      </c>
      <c r="C16" s="67">
        <v>43810</v>
      </c>
      <c r="D16" s="72">
        <v>0.41666666666666669</v>
      </c>
      <c r="E16" s="75" t="s">
        <v>337</v>
      </c>
      <c r="F16" s="76">
        <v>1</v>
      </c>
      <c r="G16" s="76" t="s">
        <v>360</v>
      </c>
      <c r="H16" s="80" t="s">
        <v>339</v>
      </c>
      <c r="I16" s="76" t="s">
        <v>8</v>
      </c>
      <c r="J16" s="81"/>
      <c r="K16" s="85"/>
      <c r="L16" s="88" t="s">
        <v>342</v>
      </c>
    </row>
    <row r="17" spans="1:12" ht="16.5" thickTop="1" thickBot="1">
      <c r="A17" s="61" t="s">
        <v>336</v>
      </c>
      <c r="B17" s="63" t="s">
        <v>15</v>
      </c>
      <c r="C17" s="67">
        <v>43815</v>
      </c>
      <c r="D17" s="72">
        <v>0.58333333333333337</v>
      </c>
      <c r="E17" s="75" t="s">
        <v>337</v>
      </c>
      <c r="F17" s="76">
        <v>2</v>
      </c>
      <c r="G17" s="76" t="s">
        <v>363</v>
      </c>
      <c r="H17" s="80" t="s">
        <v>339</v>
      </c>
      <c r="I17" s="76" t="s">
        <v>8</v>
      </c>
      <c r="J17" s="81"/>
      <c r="K17" s="85" t="s">
        <v>364</v>
      </c>
      <c r="L17" s="88" t="s">
        <v>365</v>
      </c>
    </row>
    <row r="18" spans="1:12" ht="16.5" thickTop="1" thickBot="1">
      <c r="A18" s="61" t="s">
        <v>336</v>
      </c>
      <c r="B18" s="63" t="s">
        <v>15</v>
      </c>
      <c r="C18" s="69">
        <v>43818</v>
      </c>
      <c r="D18" s="74">
        <v>0</v>
      </c>
      <c r="E18" s="75" t="s">
        <v>337</v>
      </c>
      <c r="F18" s="77">
        <v>1</v>
      </c>
      <c r="G18" s="77" t="s">
        <v>366</v>
      </c>
      <c r="H18" s="80" t="s">
        <v>339</v>
      </c>
      <c r="I18" s="77" t="s">
        <v>8</v>
      </c>
      <c r="J18" s="82"/>
      <c r="K18" s="87"/>
      <c r="L18" s="88" t="s">
        <v>342</v>
      </c>
    </row>
    <row r="19" spans="1:12" ht="16.5" thickTop="1" thickBot="1">
      <c r="A19" s="61" t="s">
        <v>336</v>
      </c>
      <c r="B19" s="63" t="s">
        <v>15</v>
      </c>
      <c r="C19" s="67">
        <v>43819</v>
      </c>
      <c r="D19" s="72">
        <v>0</v>
      </c>
      <c r="E19" s="75" t="s">
        <v>337</v>
      </c>
      <c r="F19" s="76">
        <v>1</v>
      </c>
      <c r="G19" s="76" t="s">
        <v>367</v>
      </c>
      <c r="H19" s="80" t="s">
        <v>339</v>
      </c>
      <c r="I19" s="76" t="s">
        <v>8</v>
      </c>
      <c r="J19" s="81"/>
      <c r="K19" s="85"/>
      <c r="L19" s="88" t="s">
        <v>342</v>
      </c>
    </row>
    <row r="20" spans="1:12" ht="16.5" thickTop="1" thickBot="1">
      <c r="A20" s="61" t="s">
        <v>336</v>
      </c>
      <c r="B20" s="63" t="s">
        <v>15</v>
      </c>
      <c r="C20" s="67">
        <v>43823</v>
      </c>
      <c r="D20" s="72">
        <v>0</v>
      </c>
      <c r="E20" s="76" t="s">
        <v>339</v>
      </c>
      <c r="F20" s="76"/>
      <c r="G20" s="76"/>
      <c r="H20" s="80" t="s">
        <v>337</v>
      </c>
      <c r="I20" s="76" t="s">
        <v>368</v>
      </c>
      <c r="J20" s="81" t="s">
        <v>369</v>
      </c>
      <c r="K20" s="85"/>
      <c r="L20" s="88" t="s">
        <v>342</v>
      </c>
    </row>
    <row r="21" spans="1:12" ht="16.5" thickTop="1" thickBot="1">
      <c r="A21" s="61" t="s">
        <v>336</v>
      </c>
      <c r="B21" s="63" t="s">
        <v>15</v>
      </c>
      <c r="C21" s="67">
        <v>43824</v>
      </c>
      <c r="D21" s="72">
        <v>0</v>
      </c>
      <c r="E21" s="75" t="s">
        <v>337</v>
      </c>
      <c r="F21" s="76">
        <v>1</v>
      </c>
      <c r="G21" s="76" t="s">
        <v>370</v>
      </c>
      <c r="H21" s="80" t="s">
        <v>339</v>
      </c>
      <c r="I21" s="76" t="s">
        <v>8</v>
      </c>
      <c r="J21" s="81"/>
      <c r="K21" s="85"/>
      <c r="L21" s="88" t="s">
        <v>342</v>
      </c>
    </row>
    <row r="22" spans="1:12" ht="16.5" thickTop="1" thickBot="1">
      <c r="A22" s="61" t="s">
        <v>336</v>
      </c>
      <c r="B22" s="63" t="s">
        <v>15</v>
      </c>
      <c r="C22" s="67">
        <v>43825</v>
      </c>
      <c r="D22" s="72">
        <v>0</v>
      </c>
      <c r="E22" s="76" t="s">
        <v>339</v>
      </c>
      <c r="F22" s="76"/>
      <c r="G22" s="76"/>
      <c r="H22" s="80" t="s">
        <v>337</v>
      </c>
      <c r="I22" s="76" t="s">
        <v>368</v>
      </c>
      <c r="J22" s="81" t="s">
        <v>369</v>
      </c>
      <c r="K22" s="85"/>
      <c r="L22" s="88" t="s">
        <v>342</v>
      </c>
    </row>
    <row r="23" spans="1:12" ht="16.5" thickTop="1" thickBot="1">
      <c r="A23" s="61" t="s">
        <v>336</v>
      </c>
      <c r="B23" s="63" t="s">
        <v>15</v>
      </c>
      <c r="C23" s="67">
        <v>43826</v>
      </c>
      <c r="D23" s="72">
        <v>0</v>
      </c>
      <c r="E23" s="76" t="s">
        <v>339</v>
      </c>
      <c r="F23" s="76"/>
      <c r="G23" s="76"/>
      <c r="H23" s="80" t="s">
        <v>337</v>
      </c>
      <c r="I23" s="76" t="s">
        <v>371</v>
      </c>
      <c r="J23" s="81" t="s">
        <v>372</v>
      </c>
      <c r="K23" s="85"/>
      <c r="L23" s="88" t="s">
        <v>342</v>
      </c>
    </row>
    <row r="24" spans="1:12" ht="16.5" thickTop="1" thickBot="1">
      <c r="A24" s="61" t="s">
        <v>336</v>
      </c>
      <c r="B24" s="63" t="s">
        <v>15</v>
      </c>
      <c r="C24" s="67">
        <v>43830</v>
      </c>
      <c r="D24" s="72">
        <v>0.35416666666666669</v>
      </c>
      <c r="E24" s="75" t="s">
        <v>337</v>
      </c>
      <c r="F24" s="76">
        <v>1</v>
      </c>
      <c r="G24" s="76" t="s">
        <v>373</v>
      </c>
      <c r="H24" s="80" t="s">
        <v>337</v>
      </c>
      <c r="I24" s="76" t="s">
        <v>349</v>
      </c>
      <c r="J24" s="81"/>
      <c r="K24" s="85" t="s">
        <v>374</v>
      </c>
      <c r="L24" s="88" t="s">
        <v>342</v>
      </c>
    </row>
    <row r="25" spans="1:12" ht="16.5" thickTop="1" thickBot="1">
      <c r="A25" s="61" t="s">
        <v>336</v>
      </c>
      <c r="B25" s="63" t="s">
        <v>15</v>
      </c>
      <c r="C25" s="67">
        <v>43832</v>
      </c>
      <c r="D25" s="72">
        <v>0.33333333333333331</v>
      </c>
      <c r="E25" s="75" t="s">
        <v>337</v>
      </c>
      <c r="F25" s="76">
        <v>1</v>
      </c>
      <c r="G25" s="76"/>
      <c r="H25" s="80" t="s">
        <v>339</v>
      </c>
      <c r="I25" s="76" t="s">
        <v>8</v>
      </c>
      <c r="J25" s="81"/>
      <c r="K25" s="85"/>
      <c r="L25" s="88" t="s">
        <v>342</v>
      </c>
    </row>
    <row r="26" spans="1:12" ht="16.5" thickTop="1" thickBot="1">
      <c r="A26" s="54" t="s">
        <v>336</v>
      </c>
      <c r="B26" s="59" t="s">
        <v>15</v>
      </c>
      <c r="C26" s="55">
        <v>43832</v>
      </c>
      <c r="D26" s="56">
        <v>0.41666666666666669</v>
      </c>
      <c r="E26" s="75" t="s">
        <v>337</v>
      </c>
      <c r="F26" s="54">
        <v>1</v>
      </c>
      <c r="G26" s="54"/>
      <c r="H26" s="80" t="s">
        <v>339</v>
      </c>
      <c r="I26" s="54" t="s">
        <v>8</v>
      </c>
      <c r="J26" s="57"/>
      <c r="K26" s="58"/>
      <c r="L26" s="54" t="s">
        <v>342</v>
      </c>
    </row>
    <row r="27" spans="1:12" ht="16.5" thickTop="1" thickBot="1">
      <c r="A27" s="54" t="s">
        <v>336</v>
      </c>
      <c r="B27" s="59" t="s">
        <v>15</v>
      </c>
      <c r="C27" s="55">
        <v>43833</v>
      </c>
      <c r="D27" s="56">
        <v>0.33333333333333331</v>
      </c>
      <c r="E27" s="75" t="s">
        <v>337</v>
      </c>
      <c r="F27" s="54">
        <v>1</v>
      </c>
      <c r="G27" s="54"/>
      <c r="H27" s="80" t="s">
        <v>339</v>
      </c>
      <c r="I27" s="54" t="s">
        <v>8</v>
      </c>
      <c r="J27" s="57"/>
      <c r="K27" s="58"/>
      <c r="L27" s="54" t="s">
        <v>342</v>
      </c>
    </row>
    <row r="28" spans="1:12" ht="16.5" thickTop="1" thickBot="1">
      <c r="A28" s="54" t="s">
        <v>336</v>
      </c>
      <c r="B28" s="59" t="s">
        <v>15</v>
      </c>
      <c r="C28" s="55">
        <v>43833</v>
      </c>
      <c r="D28" s="56">
        <v>0.41666666666666669</v>
      </c>
      <c r="E28" s="75" t="s">
        <v>337</v>
      </c>
      <c r="F28" s="54">
        <v>1</v>
      </c>
      <c r="G28" s="54"/>
      <c r="H28" s="80" t="s">
        <v>339</v>
      </c>
      <c r="I28" s="54" t="s">
        <v>8</v>
      </c>
      <c r="J28" s="57"/>
      <c r="K28" s="58"/>
      <c r="L28" s="54" t="s">
        <v>342</v>
      </c>
    </row>
    <row r="29" spans="1:12" ht="16.5" thickTop="1" thickBot="1">
      <c r="A29" s="60" t="s">
        <v>118</v>
      </c>
      <c r="B29" s="60" t="s">
        <v>119</v>
      </c>
      <c r="C29" s="65">
        <v>43836</v>
      </c>
      <c r="D29" s="70" t="s">
        <v>120</v>
      </c>
      <c r="E29" s="75" t="s">
        <v>337</v>
      </c>
      <c r="F29" s="78">
        <v>1</v>
      </c>
      <c r="G29" s="60" t="s">
        <v>111</v>
      </c>
      <c r="H29" s="80" t="s">
        <v>337</v>
      </c>
      <c r="I29" s="78">
        <v>4</v>
      </c>
      <c r="J29" s="60" t="s">
        <v>112</v>
      </c>
      <c r="K29" s="83"/>
      <c r="L29" s="83" t="s">
        <v>123</v>
      </c>
    </row>
    <row r="30" spans="1:12" ht="16.5" thickTop="1" thickBot="1">
      <c r="A30" s="54" t="s">
        <v>336</v>
      </c>
      <c r="B30" s="59" t="s">
        <v>15</v>
      </c>
      <c r="C30" s="55">
        <v>43836</v>
      </c>
      <c r="D30" s="56">
        <v>0.41666666666666669</v>
      </c>
      <c r="E30" s="75" t="s">
        <v>337</v>
      </c>
      <c r="F30" s="54">
        <v>2</v>
      </c>
      <c r="G30" s="54" t="s">
        <v>375</v>
      </c>
      <c r="H30" s="80" t="s">
        <v>337</v>
      </c>
      <c r="I30" s="54" t="s">
        <v>340</v>
      </c>
      <c r="J30" s="57" t="s">
        <v>376</v>
      </c>
      <c r="K30" s="58"/>
      <c r="L30" s="54" t="s">
        <v>342</v>
      </c>
    </row>
    <row r="31" spans="1:12" ht="16.5" thickTop="1" thickBot="1">
      <c r="A31" s="60" t="s">
        <v>118</v>
      </c>
      <c r="B31" s="60" t="s">
        <v>119</v>
      </c>
      <c r="C31" s="65">
        <v>43837</v>
      </c>
      <c r="D31" s="70" t="s">
        <v>121</v>
      </c>
      <c r="E31" s="75" t="s">
        <v>337</v>
      </c>
      <c r="F31" s="78">
        <v>1</v>
      </c>
      <c r="G31" s="60" t="s">
        <v>113</v>
      </c>
      <c r="H31" s="80" t="s">
        <v>337</v>
      </c>
      <c r="I31" s="78">
        <v>3</v>
      </c>
      <c r="J31" s="60" t="s">
        <v>114</v>
      </c>
      <c r="K31" s="83"/>
      <c r="L31" s="83" t="s">
        <v>123</v>
      </c>
    </row>
    <row r="32" spans="1:12" ht="16.5" thickTop="1" thickBot="1">
      <c r="A32" s="54" t="s">
        <v>336</v>
      </c>
      <c r="B32" s="59" t="s">
        <v>15</v>
      </c>
      <c r="C32" s="55">
        <v>43837</v>
      </c>
      <c r="D32" s="56">
        <v>0.58333333333333337</v>
      </c>
      <c r="E32" s="75" t="s">
        <v>337</v>
      </c>
      <c r="F32" s="54">
        <v>1</v>
      </c>
      <c r="G32" s="54" t="s">
        <v>377</v>
      </c>
      <c r="H32" s="80" t="s">
        <v>337</v>
      </c>
      <c r="I32" s="76" t="s">
        <v>361</v>
      </c>
      <c r="J32" s="57" t="s">
        <v>378</v>
      </c>
      <c r="K32" s="58"/>
      <c r="L32" s="54" t="s">
        <v>342</v>
      </c>
    </row>
    <row r="33" spans="1:12" ht="16.5" thickTop="1" thickBot="1">
      <c r="A33" s="60" t="s">
        <v>118</v>
      </c>
      <c r="B33" s="60" t="s">
        <v>119</v>
      </c>
      <c r="C33" s="65">
        <v>43838</v>
      </c>
      <c r="D33" s="70" t="s">
        <v>120</v>
      </c>
      <c r="E33" s="75" t="s">
        <v>337</v>
      </c>
      <c r="F33" s="78">
        <v>1</v>
      </c>
      <c r="G33" s="60" t="s">
        <v>115</v>
      </c>
      <c r="H33" s="80" t="s">
        <v>337</v>
      </c>
      <c r="I33" s="78">
        <v>3</v>
      </c>
      <c r="J33" s="60" t="s">
        <v>115</v>
      </c>
      <c r="K33" s="83"/>
      <c r="L33" s="83" t="s">
        <v>123</v>
      </c>
    </row>
    <row r="34" spans="1:12" ht="16.5" thickTop="1" thickBot="1">
      <c r="A34" s="54" t="s">
        <v>336</v>
      </c>
      <c r="B34" s="59" t="s">
        <v>15</v>
      </c>
      <c r="C34" s="55">
        <v>43838</v>
      </c>
      <c r="D34" s="56">
        <v>0.4375</v>
      </c>
      <c r="E34" s="76" t="s">
        <v>339</v>
      </c>
      <c r="F34" s="54"/>
      <c r="G34" s="54"/>
      <c r="H34" s="80" t="s">
        <v>339</v>
      </c>
      <c r="I34" s="54" t="s">
        <v>8</v>
      </c>
      <c r="J34" s="57"/>
      <c r="K34" s="58" t="s">
        <v>379</v>
      </c>
      <c r="L34" s="54" t="s">
        <v>342</v>
      </c>
    </row>
    <row r="35" spans="1:12" ht="16.5" thickTop="1" thickBot="1">
      <c r="A35" s="60" t="s">
        <v>118</v>
      </c>
      <c r="B35" s="60" t="s">
        <v>119</v>
      </c>
      <c r="C35" s="65">
        <v>43839</v>
      </c>
      <c r="D35" s="70" t="s">
        <v>120</v>
      </c>
      <c r="E35" s="75" t="s">
        <v>337</v>
      </c>
      <c r="F35" s="78">
        <v>2</v>
      </c>
      <c r="G35" s="60" t="s">
        <v>116</v>
      </c>
      <c r="H35" s="80" t="s">
        <v>337</v>
      </c>
      <c r="I35" s="78">
        <v>3</v>
      </c>
      <c r="J35" s="60" t="s">
        <v>117</v>
      </c>
      <c r="K35" s="83"/>
      <c r="L35" s="83" t="s">
        <v>123</v>
      </c>
    </row>
    <row r="36" spans="1:12" ht="16.5" thickTop="1" thickBot="1">
      <c r="A36" s="54" t="s">
        <v>336</v>
      </c>
      <c r="B36" s="59" t="s">
        <v>15</v>
      </c>
      <c r="C36" s="55">
        <v>43839</v>
      </c>
      <c r="D36" s="56">
        <v>0.59375</v>
      </c>
      <c r="E36" s="75" t="s">
        <v>337</v>
      </c>
      <c r="F36" s="54">
        <v>1</v>
      </c>
      <c r="G36" s="54" t="s">
        <v>380</v>
      </c>
      <c r="H36" s="80" t="s">
        <v>337</v>
      </c>
      <c r="I36" s="54" t="s">
        <v>349</v>
      </c>
      <c r="J36" s="57"/>
      <c r="K36" s="58"/>
      <c r="L36" s="54" t="s">
        <v>342</v>
      </c>
    </row>
    <row r="37" spans="1:12" ht="16.5" thickTop="1" thickBot="1">
      <c r="A37" s="60" t="s">
        <v>118</v>
      </c>
      <c r="B37" s="60" t="s">
        <v>119</v>
      </c>
      <c r="C37" s="65">
        <v>43840</v>
      </c>
      <c r="D37" s="70">
        <v>0.61458333333333337</v>
      </c>
      <c r="E37" s="75" t="s">
        <v>337</v>
      </c>
      <c r="F37" s="78">
        <v>1</v>
      </c>
      <c r="G37" s="60" t="s">
        <v>115</v>
      </c>
      <c r="H37" s="80" t="s">
        <v>337</v>
      </c>
      <c r="I37" s="78">
        <v>1</v>
      </c>
      <c r="J37" s="60" t="s">
        <v>115</v>
      </c>
      <c r="K37" s="83"/>
      <c r="L37" s="83" t="s">
        <v>123</v>
      </c>
    </row>
    <row r="38" spans="1:12" ht="16.5" thickTop="1" thickBot="1">
      <c r="A38" s="60" t="s">
        <v>118</v>
      </c>
      <c r="B38" s="60" t="s">
        <v>119</v>
      </c>
      <c r="C38" s="68">
        <v>43844</v>
      </c>
      <c r="D38" s="73">
        <v>43846.5625</v>
      </c>
      <c r="E38" s="76" t="s">
        <v>339</v>
      </c>
      <c r="F38" s="79"/>
      <c r="G38" s="62"/>
      <c r="H38" s="80" t="s">
        <v>339</v>
      </c>
      <c r="I38" s="79">
        <v>2</v>
      </c>
      <c r="J38" s="62" t="s">
        <v>112</v>
      </c>
      <c r="K38" s="86" t="s">
        <v>145</v>
      </c>
      <c r="L38" s="83" t="s">
        <v>123</v>
      </c>
    </row>
    <row r="39" spans="1:12" ht="16.5" thickTop="1" thickBot="1">
      <c r="A39" s="60" t="s">
        <v>118</v>
      </c>
      <c r="B39" s="60" t="s">
        <v>119</v>
      </c>
      <c r="C39" s="68">
        <v>43845</v>
      </c>
      <c r="D39" s="73">
        <v>0.3125</v>
      </c>
      <c r="E39" s="76" t="s">
        <v>339</v>
      </c>
      <c r="F39" s="79"/>
      <c r="G39" s="62"/>
      <c r="H39" s="80" t="s">
        <v>339</v>
      </c>
      <c r="I39" s="79">
        <v>3</v>
      </c>
      <c r="J39" s="62" t="s">
        <v>40</v>
      </c>
      <c r="K39" s="86"/>
      <c r="L39" s="83" t="s">
        <v>123</v>
      </c>
    </row>
    <row r="40" spans="1:12" ht="16.5" thickTop="1" thickBot="1">
      <c r="A40" s="54" t="s">
        <v>336</v>
      </c>
      <c r="B40" s="59" t="s">
        <v>15</v>
      </c>
      <c r="C40" s="55">
        <v>43845</v>
      </c>
      <c r="D40" s="56">
        <v>0</v>
      </c>
      <c r="E40" s="75" t="s">
        <v>337</v>
      </c>
      <c r="F40" s="54">
        <v>1</v>
      </c>
      <c r="G40" s="54" t="s">
        <v>381</v>
      </c>
      <c r="H40" s="80" t="s">
        <v>337</v>
      </c>
      <c r="I40" s="89" t="s">
        <v>14</v>
      </c>
      <c r="J40" s="57" t="s">
        <v>382</v>
      </c>
      <c r="K40" s="58"/>
      <c r="L40" s="54" t="s">
        <v>342</v>
      </c>
    </row>
    <row r="41" spans="1:12" ht="16.5" thickTop="1" thickBot="1">
      <c r="A41" s="60" t="s">
        <v>118</v>
      </c>
      <c r="B41" s="60" t="s">
        <v>119</v>
      </c>
      <c r="C41" s="68">
        <v>43846</v>
      </c>
      <c r="D41" s="73">
        <v>0.3125</v>
      </c>
      <c r="E41" s="75" t="s">
        <v>337</v>
      </c>
      <c r="F41" s="79">
        <v>2</v>
      </c>
      <c r="G41" s="62" t="s">
        <v>146</v>
      </c>
      <c r="H41" s="80" t="s">
        <v>337</v>
      </c>
      <c r="I41" s="89" t="s">
        <v>14</v>
      </c>
      <c r="J41" s="62" t="s">
        <v>147</v>
      </c>
      <c r="K41" s="86" t="s">
        <v>148</v>
      </c>
      <c r="L41" s="83" t="s">
        <v>123</v>
      </c>
    </row>
    <row r="42" spans="1:12" ht="16.5" thickTop="1" thickBot="1">
      <c r="A42" s="54" t="s">
        <v>336</v>
      </c>
      <c r="B42" s="59" t="s">
        <v>15</v>
      </c>
      <c r="C42" s="55">
        <v>43846</v>
      </c>
      <c r="D42" s="56">
        <v>0</v>
      </c>
      <c r="E42" s="76" t="s">
        <v>339</v>
      </c>
      <c r="F42" s="54"/>
      <c r="G42" s="54"/>
      <c r="H42" s="80" t="s">
        <v>337</v>
      </c>
      <c r="I42" s="89" t="s">
        <v>14</v>
      </c>
      <c r="J42" s="57" t="s">
        <v>383</v>
      </c>
      <c r="K42" s="58" t="s">
        <v>384</v>
      </c>
      <c r="L42" s="54" t="s">
        <v>342</v>
      </c>
    </row>
    <row r="43" spans="1:12" ht="16.5" thickTop="1" thickBot="1">
      <c r="A43" s="60" t="s">
        <v>118</v>
      </c>
      <c r="B43" s="60" t="s">
        <v>119</v>
      </c>
      <c r="C43" s="68">
        <v>43847</v>
      </c>
      <c r="D43" s="73">
        <v>0.33333333333333331</v>
      </c>
      <c r="E43" s="75" t="s">
        <v>337</v>
      </c>
      <c r="F43" s="79">
        <v>1</v>
      </c>
      <c r="G43" s="62" t="s">
        <v>147</v>
      </c>
      <c r="H43" s="80" t="s">
        <v>339</v>
      </c>
      <c r="I43" s="79"/>
      <c r="J43" s="62"/>
      <c r="K43" s="86"/>
      <c r="L43" s="83" t="s">
        <v>123</v>
      </c>
    </row>
    <row r="44" spans="1:12" ht="16.5" thickTop="1" thickBot="1">
      <c r="A44" s="54" t="s">
        <v>336</v>
      </c>
      <c r="B44" s="59" t="s">
        <v>15</v>
      </c>
      <c r="C44" s="55">
        <v>43847</v>
      </c>
      <c r="D44" s="56">
        <v>0</v>
      </c>
      <c r="E44" s="75" t="s">
        <v>337</v>
      </c>
      <c r="F44" s="54">
        <v>1</v>
      </c>
      <c r="G44" s="54" t="s">
        <v>385</v>
      </c>
      <c r="H44" s="80" t="s">
        <v>339</v>
      </c>
      <c r="I44" s="54" t="s">
        <v>8</v>
      </c>
      <c r="J44" s="57"/>
      <c r="K44" s="58"/>
      <c r="L44" s="54" t="s">
        <v>342</v>
      </c>
    </row>
    <row r="45" spans="1:12" ht="16.5" thickTop="1" thickBot="1">
      <c r="A45" s="60" t="s">
        <v>118</v>
      </c>
      <c r="B45" s="60" t="s">
        <v>119</v>
      </c>
      <c r="C45" s="68">
        <v>43848</v>
      </c>
      <c r="D45" s="73">
        <v>0.35416666666666669</v>
      </c>
      <c r="E45" s="75" t="s">
        <v>337</v>
      </c>
      <c r="F45" s="79">
        <v>1</v>
      </c>
      <c r="G45" s="62" t="s">
        <v>149</v>
      </c>
      <c r="H45" s="80" t="s">
        <v>337</v>
      </c>
      <c r="I45" s="79">
        <v>3</v>
      </c>
      <c r="J45" s="62" t="s">
        <v>149</v>
      </c>
      <c r="K45" s="86" t="s">
        <v>150</v>
      </c>
      <c r="L45" s="83" t="s">
        <v>123</v>
      </c>
    </row>
    <row r="46" spans="1:12" ht="16.5" thickTop="1" thickBot="1">
      <c r="A46" s="60" t="s">
        <v>118</v>
      </c>
      <c r="B46" s="60" t="s">
        <v>119</v>
      </c>
      <c r="C46" s="68">
        <v>43848</v>
      </c>
      <c r="D46" s="73">
        <v>0.4375</v>
      </c>
      <c r="E46" s="75" t="s">
        <v>337</v>
      </c>
      <c r="F46" s="79">
        <v>3</v>
      </c>
      <c r="G46" s="62" t="s">
        <v>149</v>
      </c>
      <c r="H46" s="80" t="s">
        <v>337</v>
      </c>
      <c r="I46" s="79">
        <v>2</v>
      </c>
      <c r="J46" s="62" t="s">
        <v>149</v>
      </c>
      <c r="K46" s="86"/>
      <c r="L46" s="83" t="s">
        <v>123</v>
      </c>
    </row>
    <row r="47" spans="1:12" ht="16.5" thickTop="1" thickBot="1">
      <c r="A47" s="54" t="s">
        <v>336</v>
      </c>
      <c r="B47" s="59" t="s">
        <v>15</v>
      </c>
      <c r="C47" s="55">
        <v>43848</v>
      </c>
      <c r="D47" s="56">
        <v>0.41666666666666669</v>
      </c>
      <c r="E47" s="75" t="s">
        <v>337</v>
      </c>
      <c r="F47" s="54">
        <v>3</v>
      </c>
      <c r="G47" s="54" t="s">
        <v>386</v>
      </c>
      <c r="H47" s="80" t="s">
        <v>339</v>
      </c>
      <c r="I47" s="54" t="s">
        <v>8</v>
      </c>
      <c r="J47" s="57"/>
      <c r="K47" s="58"/>
      <c r="L47" s="54" t="s">
        <v>342</v>
      </c>
    </row>
    <row r="48" spans="1:12" ht="16.5" thickTop="1" thickBot="1">
      <c r="A48" s="60" t="s">
        <v>118</v>
      </c>
      <c r="B48" s="60" t="s">
        <v>119</v>
      </c>
      <c r="C48" s="68">
        <v>43849</v>
      </c>
      <c r="D48" s="73">
        <v>0.42708333333333331</v>
      </c>
      <c r="E48" s="75" t="s">
        <v>337</v>
      </c>
      <c r="F48" s="79">
        <v>2</v>
      </c>
      <c r="G48" s="62" t="s">
        <v>155</v>
      </c>
      <c r="H48" s="80" t="s">
        <v>337</v>
      </c>
      <c r="I48" s="89" t="s">
        <v>14</v>
      </c>
      <c r="J48" s="62" t="s">
        <v>147</v>
      </c>
      <c r="K48" s="86"/>
      <c r="L48" s="83" t="s">
        <v>123</v>
      </c>
    </row>
    <row r="49" spans="1:12" ht="16.5" thickTop="1" thickBot="1">
      <c r="A49" s="60" t="s">
        <v>118</v>
      </c>
      <c r="B49" s="60" t="s">
        <v>119</v>
      </c>
      <c r="C49" s="68">
        <v>43850</v>
      </c>
      <c r="D49" s="73">
        <v>0.54166666666666663</v>
      </c>
      <c r="E49" s="75" t="s">
        <v>337</v>
      </c>
      <c r="F49" s="79">
        <v>2</v>
      </c>
      <c r="G49" s="62" t="s">
        <v>151</v>
      </c>
      <c r="H49" s="80" t="s">
        <v>337</v>
      </c>
      <c r="I49" s="79">
        <v>1</v>
      </c>
      <c r="J49" s="62" t="s">
        <v>149</v>
      </c>
      <c r="K49" s="86"/>
      <c r="L49" s="83" t="s">
        <v>123</v>
      </c>
    </row>
    <row r="50" spans="1:12" ht="16.5" thickTop="1" thickBot="1">
      <c r="A50" s="54" t="s">
        <v>336</v>
      </c>
      <c r="B50" s="59" t="s">
        <v>15</v>
      </c>
      <c r="C50" s="55">
        <v>43850</v>
      </c>
      <c r="D50" s="56">
        <v>0.4236111111111111</v>
      </c>
      <c r="E50" s="75" t="s">
        <v>337</v>
      </c>
      <c r="F50" s="54">
        <v>2</v>
      </c>
      <c r="G50" s="54" t="s">
        <v>387</v>
      </c>
      <c r="H50" s="80" t="s">
        <v>337</v>
      </c>
      <c r="I50" s="76" t="s">
        <v>368</v>
      </c>
      <c r="J50" s="57" t="s">
        <v>388</v>
      </c>
      <c r="K50" s="58" t="s">
        <v>389</v>
      </c>
      <c r="L50" s="54" t="s">
        <v>342</v>
      </c>
    </row>
    <row r="51" spans="1:12" ht="16.5" thickTop="1" thickBot="1">
      <c r="A51" s="54" t="s">
        <v>336</v>
      </c>
      <c r="B51" s="59" t="s">
        <v>15</v>
      </c>
      <c r="C51" s="55">
        <v>43850</v>
      </c>
      <c r="D51" s="56">
        <v>0.60416666666666663</v>
      </c>
      <c r="E51" s="75" t="s">
        <v>337</v>
      </c>
      <c r="F51" s="54">
        <v>1</v>
      </c>
      <c r="G51" s="54" t="s">
        <v>390</v>
      </c>
      <c r="H51" s="80" t="s">
        <v>339</v>
      </c>
      <c r="I51" s="54" t="s">
        <v>8</v>
      </c>
      <c r="J51" s="57"/>
      <c r="K51" s="58"/>
      <c r="L51" s="54" t="s">
        <v>342</v>
      </c>
    </row>
    <row r="52" spans="1:12" ht="16.5" thickTop="1" thickBot="1">
      <c r="A52" s="60" t="s">
        <v>118</v>
      </c>
      <c r="B52" s="60" t="s">
        <v>119</v>
      </c>
      <c r="C52" s="68">
        <v>43851</v>
      </c>
      <c r="D52" s="73">
        <v>0.41666666666666669</v>
      </c>
      <c r="E52" s="75" t="s">
        <v>337</v>
      </c>
      <c r="F52" s="79">
        <v>2</v>
      </c>
      <c r="G52" s="62" t="s">
        <v>147</v>
      </c>
      <c r="H52" s="80" t="s">
        <v>339</v>
      </c>
      <c r="I52" s="79"/>
      <c r="J52" s="62"/>
      <c r="K52" s="86"/>
      <c r="L52" s="83" t="s">
        <v>123</v>
      </c>
    </row>
    <row r="53" spans="1:12" ht="16.5" thickTop="1" thickBot="1">
      <c r="A53" s="60" t="s">
        <v>118</v>
      </c>
      <c r="B53" s="60" t="s">
        <v>119</v>
      </c>
      <c r="C53" s="68">
        <v>43851</v>
      </c>
      <c r="D53" s="73">
        <v>0.625</v>
      </c>
      <c r="E53" s="75" t="s">
        <v>337</v>
      </c>
      <c r="F53" s="79">
        <v>3</v>
      </c>
      <c r="G53" s="62" t="s">
        <v>152</v>
      </c>
      <c r="H53" s="80" t="s">
        <v>339</v>
      </c>
      <c r="I53" s="79"/>
      <c r="J53" s="62"/>
      <c r="K53" s="86" t="s">
        <v>153</v>
      </c>
      <c r="L53" s="83" t="s">
        <v>123</v>
      </c>
    </row>
    <row r="54" spans="1:12" ht="16.5" thickTop="1" thickBot="1">
      <c r="A54" s="60" t="s">
        <v>118</v>
      </c>
      <c r="B54" s="60" t="s">
        <v>119</v>
      </c>
      <c r="C54" s="68">
        <v>43852</v>
      </c>
      <c r="D54" s="73">
        <v>0.5625</v>
      </c>
      <c r="E54" s="75" t="s">
        <v>337</v>
      </c>
      <c r="F54" s="79">
        <v>1</v>
      </c>
      <c r="G54" s="62" t="s">
        <v>147</v>
      </c>
      <c r="H54" s="80" t="s">
        <v>337</v>
      </c>
      <c r="I54" s="76" t="s">
        <v>368</v>
      </c>
      <c r="J54" s="62" t="s">
        <v>43</v>
      </c>
      <c r="K54" s="86" t="s">
        <v>154</v>
      </c>
      <c r="L54" s="83" t="s">
        <v>123</v>
      </c>
    </row>
    <row r="55" spans="1:12" ht="16.5" thickTop="1" thickBot="1">
      <c r="A55" s="54" t="s">
        <v>336</v>
      </c>
      <c r="B55" s="59" t="s">
        <v>15</v>
      </c>
      <c r="C55" s="55">
        <v>43853</v>
      </c>
      <c r="D55" s="56">
        <v>0.58333333333333337</v>
      </c>
      <c r="E55" s="75" t="s">
        <v>337</v>
      </c>
      <c r="F55" s="54">
        <v>3</v>
      </c>
      <c r="G55" s="54"/>
      <c r="H55" s="80" t="s">
        <v>337</v>
      </c>
      <c r="I55" s="76" t="s">
        <v>361</v>
      </c>
      <c r="J55" s="57"/>
      <c r="K55" s="58" t="s">
        <v>391</v>
      </c>
      <c r="L55" s="54" t="s">
        <v>342</v>
      </c>
    </row>
    <row r="56" spans="1:12" ht="16.5" thickTop="1" thickBot="1">
      <c r="A56" s="60" t="s">
        <v>118</v>
      </c>
      <c r="B56" s="60" t="s">
        <v>119</v>
      </c>
      <c r="C56" s="68">
        <v>43854</v>
      </c>
      <c r="D56" s="73">
        <v>0.64583333333333337</v>
      </c>
      <c r="E56" s="75" t="s">
        <v>337</v>
      </c>
      <c r="F56" s="79">
        <v>1</v>
      </c>
      <c r="G56" s="62" t="s">
        <v>147</v>
      </c>
      <c r="H56" s="80" t="s">
        <v>337</v>
      </c>
      <c r="I56" s="79">
        <v>6</v>
      </c>
      <c r="J56" s="62" t="s">
        <v>43</v>
      </c>
      <c r="K56" s="86"/>
      <c r="L56" s="83" t="s">
        <v>123</v>
      </c>
    </row>
    <row r="57" spans="1:12" ht="16.5" thickTop="1" thickBot="1">
      <c r="A57" s="60" t="s">
        <v>118</v>
      </c>
      <c r="B57" s="60" t="s">
        <v>119</v>
      </c>
      <c r="C57" s="68">
        <v>43855</v>
      </c>
      <c r="D57" s="73">
        <v>0.64583333333333337</v>
      </c>
      <c r="E57" s="75" t="s">
        <v>337</v>
      </c>
      <c r="F57" s="79">
        <v>2</v>
      </c>
      <c r="G57" s="62" t="s">
        <v>169</v>
      </c>
      <c r="H57" s="80" t="s">
        <v>339</v>
      </c>
      <c r="I57" s="79"/>
      <c r="J57" s="62"/>
      <c r="K57" s="86"/>
      <c r="L57" s="83" t="s">
        <v>123</v>
      </c>
    </row>
    <row r="58" spans="1:12" ht="16.5" thickTop="1" thickBot="1">
      <c r="A58" s="60" t="s">
        <v>118</v>
      </c>
      <c r="B58" s="60" t="s">
        <v>119</v>
      </c>
      <c r="C58" s="68">
        <v>43856</v>
      </c>
      <c r="D58" s="73">
        <v>0.69791666666666663</v>
      </c>
      <c r="E58" s="75" t="s">
        <v>337</v>
      </c>
      <c r="F58" s="79">
        <v>1</v>
      </c>
      <c r="G58" s="62" t="s">
        <v>147</v>
      </c>
      <c r="H58" s="80" t="s">
        <v>337</v>
      </c>
      <c r="I58" s="79">
        <v>5</v>
      </c>
      <c r="J58" s="62" t="s">
        <v>43</v>
      </c>
      <c r="K58" s="86"/>
      <c r="L58" s="83" t="s">
        <v>123</v>
      </c>
    </row>
    <row r="59" spans="1:12" ht="16.5" thickTop="1" thickBot="1">
      <c r="A59" s="60" t="s">
        <v>118</v>
      </c>
      <c r="B59" s="60" t="s">
        <v>119</v>
      </c>
      <c r="C59" s="68">
        <v>43857</v>
      </c>
      <c r="D59" s="73">
        <v>0.27777777777777779</v>
      </c>
      <c r="E59" s="75" t="s">
        <v>337</v>
      </c>
      <c r="F59" s="79">
        <v>1</v>
      </c>
      <c r="G59" s="62" t="s">
        <v>170</v>
      </c>
      <c r="H59" s="80" t="s">
        <v>337</v>
      </c>
      <c r="I59" s="79">
        <v>2</v>
      </c>
      <c r="J59" s="62" t="s">
        <v>149</v>
      </c>
      <c r="K59" s="86"/>
      <c r="L59" s="83" t="s">
        <v>123</v>
      </c>
    </row>
    <row r="60" spans="1:12" ht="16.5" thickTop="1" thickBot="1">
      <c r="A60" s="54" t="s">
        <v>336</v>
      </c>
      <c r="B60" s="59" t="s">
        <v>15</v>
      </c>
      <c r="C60" s="55">
        <v>43857</v>
      </c>
      <c r="D60" s="56">
        <v>0.58333333333333337</v>
      </c>
      <c r="E60" s="75" t="s">
        <v>337</v>
      </c>
      <c r="F60" s="54">
        <v>5</v>
      </c>
      <c r="G60" s="54" t="s">
        <v>392</v>
      </c>
      <c r="H60" s="80" t="s">
        <v>337</v>
      </c>
      <c r="I60" s="54" t="s">
        <v>340</v>
      </c>
      <c r="J60" s="57"/>
      <c r="K60" s="58"/>
      <c r="L60" s="54" t="s">
        <v>342</v>
      </c>
    </row>
    <row r="61" spans="1:12" ht="16.5" thickTop="1" thickBot="1">
      <c r="A61" s="60" t="s">
        <v>118</v>
      </c>
      <c r="B61" s="60" t="s">
        <v>119</v>
      </c>
      <c r="C61" s="68">
        <v>43858</v>
      </c>
      <c r="D61" s="73">
        <v>0.30208333333333331</v>
      </c>
      <c r="E61" s="75" t="s">
        <v>337</v>
      </c>
      <c r="F61" s="79">
        <v>1</v>
      </c>
      <c r="G61" s="62" t="s">
        <v>147</v>
      </c>
      <c r="H61" s="80" t="s">
        <v>337</v>
      </c>
      <c r="I61" s="89" t="s">
        <v>14</v>
      </c>
      <c r="J61" s="62" t="s">
        <v>43</v>
      </c>
      <c r="K61" s="86"/>
      <c r="L61" s="83" t="s">
        <v>123</v>
      </c>
    </row>
    <row r="62" spans="1:12" ht="16.5" thickTop="1" thickBot="1">
      <c r="A62" s="54" t="s">
        <v>336</v>
      </c>
      <c r="B62" s="59" t="s">
        <v>15</v>
      </c>
      <c r="C62" s="55">
        <v>43858</v>
      </c>
      <c r="D62" s="56">
        <v>0.58333333333333337</v>
      </c>
      <c r="E62" s="75" t="s">
        <v>337</v>
      </c>
      <c r="F62" s="54">
        <v>4</v>
      </c>
      <c r="G62" s="54"/>
      <c r="H62" s="80" t="s">
        <v>337</v>
      </c>
      <c r="I62" s="89" t="s">
        <v>14</v>
      </c>
      <c r="J62" s="57" t="s">
        <v>393</v>
      </c>
      <c r="K62" s="58"/>
      <c r="L62" s="54" t="s">
        <v>342</v>
      </c>
    </row>
    <row r="63" spans="1:12" ht="16.5" thickTop="1" thickBot="1">
      <c r="A63" s="60" t="s">
        <v>118</v>
      </c>
      <c r="B63" s="60" t="s">
        <v>119</v>
      </c>
      <c r="C63" s="68">
        <v>43859</v>
      </c>
      <c r="D63" s="73">
        <v>0.30208333333333331</v>
      </c>
      <c r="E63" s="75" t="s">
        <v>337</v>
      </c>
      <c r="F63" s="79">
        <v>6</v>
      </c>
      <c r="G63" s="62" t="s">
        <v>171</v>
      </c>
      <c r="H63" s="80" t="s">
        <v>337</v>
      </c>
      <c r="I63" s="76" t="s">
        <v>361</v>
      </c>
      <c r="J63" s="62" t="s">
        <v>173</v>
      </c>
      <c r="K63" s="86"/>
      <c r="L63" s="83" t="s">
        <v>123</v>
      </c>
    </row>
    <row r="64" spans="1:12" ht="16.5" thickTop="1" thickBot="1">
      <c r="A64" s="54" t="s">
        <v>336</v>
      </c>
      <c r="B64" s="59" t="s">
        <v>15</v>
      </c>
      <c r="C64" s="55">
        <v>43859</v>
      </c>
      <c r="D64" s="56">
        <v>0.58333333333333337</v>
      </c>
      <c r="E64" s="75" t="s">
        <v>337</v>
      </c>
      <c r="F64" s="54">
        <v>1</v>
      </c>
      <c r="G64" s="54"/>
      <c r="H64" s="80" t="s">
        <v>339</v>
      </c>
      <c r="I64" s="54" t="s">
        <v>8</v>
      </c>
      <c r="J64" s="57"/>
      <c r="K64" s="58" t="s">
        <v>394</v>
      </c>
      <c r="L64" s="54" t="s">
        <v>342</v>
      </c>
    </row>
    <row r="65" spans="1:12" ht="16.5" thickTop="1" thickBot="1">
      <c r="A65" s="60" t="s">
        <v>118</v>
      </c>
      <c r="B65" s="60" t="s">
        <v>119</v>
      </c>
      <c r="C65" s="68">
        <v>43860</v>
      </c>
      <c r="D65" s="73">
        <v>0.30208333333333331</v>
      </c>
      <c r="E65" s="75" t="s">
        <v>337</v>
      </c>
      <c r="F65" s="79">
        <v>4</v>
      </c>
      <c r="G65" s="62" t="s">
        <v>172</v>
      </c>
      <c r="H65" s="80" t="s">
        <v>337</v>
      </c>
      <c r="I65" s="76" t="s">
        <v>361</v>
      </c>
      <c r="J65" s="62" t="s">
        <v>147</v>
      </c>
      <c r="K65" s="86"/>
      <c r="L65" s="83" t="s">
        <v>123</v>
      </c>
    </row>
    <row r="66" spans="1:12" ht="16.5" thickTop="1" thickBot="1">
      <c r="A66" s="54" t="s">
        <v>336</v>
      </c>
      <c r="B66" s="59" t="s">
        <v>15</v>
      </c>
      <c r="C66" s="55">
        <v>43860</v>
      </c>
      <c r="D66" s="56">
        <v>0.33333333333333331</v>
      </c>
      <c r="E66" s="75" t="s">
        <v>337</v>
      </c>
      <c r="F66" s="54">
        <v>1</v>
      </c>
      <c r="G66" s="54" t="s">
        <v>395</v>
      </c>
      <c r="H66" s="80" t="s">
        <v>339</v>
      </c>
      <c r="I66" s="54" t="s">
        <v>8</v>
      </c>
      <c r="J66" s="57"/>
      <c r="K66" s="58"/>
      <c r="L66" s="54" t="s">
        <v>342</v>
      </c>
    </row>
    <row r="67" spans="1:12" ht="16.5" thickTop="1" thickBot="1">
      <c r="A67" s="62" t="s">
        <v>175</v>
      </c>
      <c r="B67" s="60" t="s">
        <v>119</v>
      </c>
      <c r="C67" s="68">
        <v>43861</v>
      </c>
      <c r="D67" s="73">
        <v>0.375</v>
      </c>
      <c r="E67" s="76" t="s">
        <v>339</v>
      </c>
      <c r="F67" s="79"/>
      <c r="G67" s="62"/>
      <c r="H67" s="80" t="s">
        <v>337</v>
      </c>
      <c r="I67" s="79">
        <v>5</v>
      </c>
      <c r="J67" s="62" t="s">
        <v>174</v>
      </c>
      <c r="K67" s="86"/>
      <c r="L67" s="83" t="s">
        <v>123</v>
      </c>
    </row>
    <row r="68" spans="1:12" ht="16.5" thickTop="1" thickBot="1">
      <c r="A68" s="54" t="s">
        <v>336</v>
      </c>
      <c r="B68" s="59" t="s">
        <v>15</v>
      </c>
      <c r="C68" s="55">
        <v>43861</v>
      </c>
      <c r="D68" s="56">
        <v>0.33333333333333331</v>
      </c>
      <c r="E68" s="75" t="s">
        <v>337</v>
      </c>
      <c r="F68" s="54">
        <v>2</v>
      </c>
      <c r="G68" s="54" t="s">
        <v>396</v>
      </c>
      <c r="H68" s="80" t="s">
        <v>337</v>
      </c>
      <c r="I68" s="54" t="s">
        <v>397</v>
      </c>
      <c r="J68" s="57" t="s">
        <v>398</v>
      </c>
      <c r="K68" s="58" t="s">
        <v>399</v>
      </c>
      <c r="L68" s="54" t="s">
        <v>342</v>
      </c>
    </row>
    <row r="69" spans="1:12" ht="16.5" thickTop="1" thickBot="1">
      <c r="A69" s="54" t="s">
        <v>336</v>
      </c>
      <c r="B69" s="59" t="s">
        <v>15</v>
      </c>
      <c r="C69" s="55">
        <v>43868</v>
      </c>
      <c r="D69" s="56">
        <v>0.58333333333333337</v>
      </c>
      <c r="E69" s="75" t="s">
        <v>337</v>
      </c>
      <c r="F69" s="54">
        <v>2</v>
      </c>
      <c r="G69" s="54" t="s">
        <v>400</v>
      </c>
      <c r="H69" s="80" t="s">
        <v>337</v>
      </c>
      <c r="I69" s="54" t="s">
        <v>349</v>
      </c>
      <c r="J69" s="57" t="s">
        <v>401</v>
      </c>
      <c r="K69" s="58"/>
      <c r="L69" s="54" t="s">
        <v>342</v>
      </c>
    </row>
    <row r="70" spans="1:12" ht="16.5" thickTop="1" thickBot="1">
      <c r="A70" s="54" t="s">
        <v>336</v>
      </c>
      <c r="B70" s="59" t="s">
        <v>15</v>
      </c>
      <c r="C70" s="55">
        <v>43871</v>
      </c>
      <c r="D70" s="56">
        <v>0.58333333333333337</v>
      </c>
      <c r="E70" s="75" t="s">
        <v>337</v>
      </c>
      <c r="F70" s="54">
        <v>2</v>
      </c>
      <c r="G70" s="54" t="s">
        <v>402</v>
      </c>
      <c r="H70" s="80" t="s">
        <v>337</v>
      </c>
      <c r="I70" s="54" t="s">
        <v>340</v>
      </c>
      <c r="J70" s="57"/>
      <c r="K70" s="58"/>
      <c r="L70" s="54" t="s">
        <v>342</v>
      </c>
    </row>
    <row r="71" spans="1:12" ht="16.5" thickTop="1" thickBot="1">
      <c r="A71" s="54" t="s">
        <v>336</v>
      </c>
      <c r="B71" s="59" t="s">
        <v>15</v>
      </c>
      <c r="C71" s="55">
        <v>43872</v>
      </c>
      <c r="D71" s="56">
        <v>0.625</v>
      </c>
      <c r="E71" s="75" t="s">
        <v>337</v>
      </c>
      <c r="F71" s="54">
        <v>3</v>
      </c>
      <c r="G71" s="54" t="s">
        <v>403</v>
      </c>
      <c r="H71" s="80" t="s">
        <v>339</v>
      </c>
      <c r="I71" s="54" t="s">
        <v>8</v>
      </c>
      <c r="J71" s="57"/>
      <c r="K71" s="58"/>
      <c r="L71" s="54" t="s">
        <v>342</v>
      </c>
    </row>
    <row r="72" spans="1:12" ht="16.5" thickTop="1" thickBot="1">
      <c r="A72" s="54" t="s">
        <v>336</v>
      </c>
      <c r="B72" s="59" t="s">
        <v>15</v>
      </c>
      <c r="C72" s="55">
        <v>43873</v>
      </c>
      <c r="D72" s="56">
        <v>0.32291666666666669</v>
      </c>
      <c r="E72" s="75" t="s">
        <v>337</v>
      </c>
      <c r="F72" s="54">
        <v>1</v>
      </c>
      <c r="G72" s="54" t="s">
        <v>404</v>
      </c>
      <c r="H72" s="80" t="s">
        <v>337</v>
      </c>
      <c r="I72" s="54" t="s">
        <v>353</v>
      </c>
      <c r="J72" s="57"/>
      <c r="K72" s="58" t="s">
        <v>405</v>
      </c>
      <c r="L72" s="54" t="s">
        <v>342</v>
      </c>
    </row>
    <row r="73" spans="1:12" ht="16.5" thickTop="1" thickBot="1">
      <c r="A73" s="54" t="s">
        <v>336</v>
      </c>
      <c r="B73" s="59" t="s">
        <v>15</v>
      </c>
      <c r="C73" s="55">
        <v>43878</v>
      </c>
      <c r="D73" s="56">
        <v>0.33333333333333331</v>
      </c>
      <c r="E73" s="76" t="s">
        <v>339</v>
      </c>
      <c r="F73" s="54"/>
      <c r="G73" s="54"/>
      <c r="H73" s="80" t="s">
        <v>337</v>
      </c>
      <c r="I73" s="89" t="s">
        <v>14</v>
      </c>
      <c r="J73" s="57" t="s">
        <v>406</v>
      </c>
      <c r="K73" s="58" t="s">
        <v>407</v>
      </c>
      <c r="L73" s="54" t="s">
        <v>342</v>
      </c>
    </row>
    <row r="74" spans="1:12" ht="16.5" thickTop="1" thickBot="1">
      <c r="A74" s="54" t="s">
        <v>336</v>
      </c>
      <c r="B74" s="59" t="s">
        <v>15</v>
      </c>
      <c r="C74" s="55">
        <v>43881</v>
      </c>
      <c r="D74" s="56">
        <v>0.33333333333333331</v>
      </c>
      <c r="E74" s="76" t="s">
        <v>339</v>
      </c>
      <c r="F74" s="54"/>
      <c r="G74" s="54"/>
      <c r="H74" s="80" t="s">
        <v>337</v>
      </c>
      <c r="I74" s="54" t="s">
        <v>8</v>
      </c>
      <c r="J74" s="57"/>
      <c r="K74" s="58"/>
      <c r="L74" s="54" t="s">
        <v>342</v>
      </c>
    </row>
    <row r="75" spans="1:12" ht="16.5" thickTop="1" thickBot="1">
      <c r="A75" s="54" t="s">
        <v>336</v>
      </c>
      <c r="B75" s="59" t="s">
        <v>15</v>
      </c>
      <c r="C75" s="55">
        <v>43882</v>
      </c>
      <c r="D75" s="56">
        <v>0.58333333333333337</v>
      </c>
      <c r="E75" s="75" t="s">
        <v>337</v>
      </c>
      <c r="F75" s="54">
        <v>2</v>
      </c>
      <c r="G75" s="54" t="s">
        <v>408</v>
      </c>
      <c r="H75" s="80" t="s">
        <v>337</v>
      </c>
      <c r="I75" s="54" t="s">
        <v>340</v>
      </c>
      <c r="J75" s="57"/>
      <c r="K75" s="58" t="s">
        <v>409</v>
      </c>
      <c r="L75" s="54" t="s">
        <v>342</v>
      </c>
    </row>
    <row r="76" spans="1:12" ht="15.75" thickTop="1">
      <c r="A76" s="54" t="s">
        <v>336</v>
      </c>
      <c r="B76" s="59" t="s">
        <v>15</v>
      </c>
      <c r="C76" s="55">
        <v>43885</v>
      </c>
      <c r="D76" s="56">
        <v>0.58333333333333337</v>
      </c>
      <c r="E76" s="75" t="s">
        <v>337</v>
      </c>
      <c r="F76" s="54">
        <v>1</v>
      </c>
      <c r="G76" s="54" t="s">
        <v>410</v>
      </c>
      <c r="H76" s="80" t="s">
        <v>337</v>
      </c>
      <c r="I76" s="76" t="s">
        <v>368</v>
      </c>
      <c r="J76" s="57" t="s">
        <v>411</v>
      </c>
      <c r="K76" s="58"/>
      <c r="L76" s="54" t="s">
        <v>342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Table_MPS</vt:lpstr>
      <vt:lpstr>Location Grid</vt:lpstr>
      <vt:lpstr>Moon</vt:lpstr>
      <vt:lpstr>Tidal_coeficient</vt:lpstr>
      <vt:lpstr>Table Club</vt:lpstr>
      <vt:lpstr>Moon!Categorie_MoonPhase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 Boube</dc:creator>
  <cp:lastModifiedBy>Tatiana Boube</cp:lastModifiedBy>
  <dcterms:created xsi:type="dcterms:W3CDTF">2019-12-08T21:33:00Z</dcterms:created>
  <dcterms:modified xsi:type="dcterms:W3CDTF">2020-04-05T16:59:28Z</dcterms:modified>
</cp:coreProperties>
</file>